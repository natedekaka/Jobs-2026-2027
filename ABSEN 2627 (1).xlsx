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90" windowHeight="11920" tabRatio="500" activeTab="2"/>
  </bookViews>
  <sheets>
    <sheet name="KELAS XII" sheetId="1" r:id="rId1"/>
    <sheet name="KELAS XI" sheetId="2" r:id="rId2"/>
    <sheet name="KELAS X" sheetId="3" r:id="rId3"/>
    <sheet name="BUKU INDUK BELUM" sheetId="4" r:id="rId4"/>
    <sheet name="Sheet1" sheetId="5" r:id="rId5"/>
    <sheet name="Sheet2" sheetId="6" r:id="rId6"/>
    <sheet name="BUKU INDUK 2526" sheetId="7" r:id="rId7"/>
    <sheet name="XII IPS" sheetId="8" state="hidden" r:id="rId8"/>
  </sheets>
  <externalReferences>
    <externalReference r:id="rId9"/>
  </externalReferences>
  <definedNames>
    <definedName name="_xlnm._FilterDatabase" localSheetId="0" hidden="1">'KELAS XII'!$A$12:$E$110</definedName>
    <definedName name="_xlnm._FilterDatabase" localSheetId="1" hidden="1">'KELAS XI'!$A$12:$E$329</definedName>
    <definedName name="_xlnm._FilterDatabase" localSheetId="2" hidden="1">'KELAS X'!$A$12:$E$329</definedName>
    <definedName name="_xlnm.Print_Area" localSheetId="3">'BUKU INDUK BELUM'!$C$7:$E$247</definedName>
    <definedName name="_xlnm.Print_Titles" localSheetId="7">'XII IPS'!$1:$10</definedName>
    <definedName name="tgl_input">[1]input!$O$2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D52" authorId="0">
      <text>
        <r>
          <rPr>
            <sz val="10"/>
            <rFont val="Arial"/>
            <charset val="134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G53" authorId="0">
      <text>
        <r>
          <rPr>
            <sz val="10"/>
            <rFont val="Arial"/>
            <charset val="134"/>
          </rPr>
          <t>Responder updated this value.</t>
        </r>
      </text>
    </comment>
    <comment ref="H90" authorId="0">
      <text>
        <r>
          <rPr>
            <sz val="10"/>
            <rFont val="Arial"/>
            <charset val="134"/>
          </rPr>
          <t>Responder updated this value.</t>
        </r>
      </text>
    </comment>
    <comment ref="V253" authorId="0">
      <text>
        <r>
          <rPr>
            <sz val="10"/>
            <rFont val="Arial"/>
            <charset val="134"/>
          </rPr>
          <t>Responder updated this value.</t>
        </r>
      </text>
    </comment>
    <comment ref="P493" authorId="0">
      <text>
        <r>
          <rPr>
            <sz val="10"/>
            <rFont val="Arial"/>
            <charset val="134"/>
          </rPr>
          <t>Responder updated this value.</t>
        </r>
      </text>
    </comment>
    <comment ref="AH493" authorId="0">
      <text>
        <r>
          <rPr>
            <sz val="10"/>
            <rFont val="Arial"/>
            <charset val="134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<sst xmlns="http://schemas.openxmlformats.org/spreadsheetml/2006/main" count="26243" uniqueCount="7502">
  <si>
    <t xml:space="preserve">  </t>
  </si>
  <si>
    <t>PEMERINTAH DAERAH PROVINSI JAWA BARAT</t>
  </si>
  <si>
    <t>DINAS PENDIDIKAN</t>
  </si>
  <si>
    <t>CABANG DINAS PENDIDIKAN WILAYAH VII</t>
  </si>
  <si>
    <t>SMA NEGERI 6 CIMAHI</t>
  </si>
  <si>
    <t>Jalan Melong Raya Nomor 172 Cijerah – Cimahi Selatan Telepon 022 6010934
Website : https://sman6cmh.sch.id email : sman6cmh@gmail.com
Cimahi Selatan - Kota Cimahi 40534</t>
  </si>
  <si>
    <t>DAFTAR PESERTA DIDIK
TAHUN PELAJARAN 2026/2027</t>
  </si>
  <si>
    <t>Kelas : XII-1</t>
  </si>
  <si>
    <t>Wali Kelas:</t>
  </si>
  <si>
    <t>NENI TRI DEWI R, S.Pd</t>
  </si>
  <si>
    <t>No</t>
  </si>
  <si>
    <t>NIS</t>
  </si>
  <si>
    <t>NISN</t>
  </si>
  <si>
    <t>NAMA</t>
  </si>
  <si>
    <t>L/P</t>
  </si>
  <si>
    <t>31-08-2026</t>
  </si>
  <si>
    <t>0099334640</t>
  </si>
  <si>
    <t>ALEA NUR BINTANG ANZARI</t>
  </si>
  <si>
    <t>P</t>
  </si>
  <si>
    <t>0095292831</t>
  </si>
  <si>
    <t>ALODIA FIDELA ATMAJAYA HARMONO</t>
  </si>
  <si>
    <t>0098240225</t>
  </si>
  <si>
    <t>ANDRE</t>
  </si>
  <si>
    <t>L</t>
  </si>
  <si>
    <t>0097255360</t>
  </si>
  <si>
    <t>ANNISA ILMAN HANIFA</t>
  </si>
  <si>
    <t>0083742368</t>
  </si>
  <si>
    <t>BOBBY ADONOVAN</t>
  </si>
  <si>
    <t>s</t>
  </si>
  <si>
    <t>0099534089</t>
  </si>
  <si>
    <t>CALLISTA AURYN ANNAURA</t>
  </si>
  <si>
    <t>0094429770</t>
  </si>
  <si>
    <t>CHESTA MAHARDIKA</t>
  </si>
  <si>
    <t>0085044133</t>
  </si>
  <si>
    <t>DANIAL MOCH MISBAH</t>
  </si>
  <si>
    <t>0091904278</t>
  </si>
  <si>
    <t>DAVID ADITAMA BACHRUN</t>
  </si>
  <si>
    <t>i</t>
  </si>
  <si>
    <t>0098286456</t>
  </si>
  <si>
    <t>DEWI ANGGRAENI SINAGA</t>
  </si>
  <si>
    <t>0094624518</t>
  </si>
  <si>
    <t>DWI AL FITRIYANI PUTRI KUSNADI</t>
  </si>
  <si>
    <t>0097184233</t>
  </si>
  <si>
    <t>FADHYL RIZQY PRATAMA</t>
  </si>
  <si>
    <t>0092015852</t>
  </si>
  <si>
    <t>FAJRI HADIYAN ANGGARA</t>
  </si>
  <si>
    <t>0098153655</t>
  </si>
  <si>
    <t>FERNANDY ARDIANA SYAHRAYAN</t>
  </si>
  <si>
    <t>0092374420</t>
  </si>
  <si>
    <t>GHAITSA NAJWA KAMILA</t>
  </si>
  <si>
    <t>0093070911</t>
  </si>
  <si>
    <t>GELLARDY RAVA GUSMINAR</t>
  </si>
  <si>
    <t>0087870138</t>
  </si>
  <si>
    <t>INDRI GUSMIANA</t>
  </si>
  <si>
    <t>0081228149</t>
  </si>
  <si>
    <t>KAISYA RAHMAH ANGGUN PRIBADI</t>
  </si>
  <si>
    <t>0095598217</t>
  </si>
  <si>
    <t>KIRANA PUSPITA MAHARANI</t>
  </si>
  <si>
    <t>0096129871</t>
  </si>
  <si>
    <t>LAKEISHA AZIZAH</t>
  </si>
  <si>
    <t xml:space="preserve"> </t>
  </si>
  <si>
    <t>0082810569</t>
  </si>
  <si>
    <t>MAESYA SABANI</t>
  </si>
  <si>
    <t>0081144388</t>
  </si>
  <si>
    <t>NADHIIFAH KIRANA SUMANTRI</t>
  </si>
  <si>
    <t>0088497035</t>
  </si>
  <si>
    <t>NAURA SHAIRA OKTAVIANTI PRATAMI</t>
  </si>
  <si>
    <t>0082717931</t>
  </si>
  <si>
    <t>NAZMA RAISHA PUTRI</t>
  </si>
  <si>
    <t>0088525509</t>
  </si>
  <si>
    <t>NAZWA DWI ANGGRAENI</t>
  </si>
  <si>
    <t>0095731844</t>
  </si>
  <si>
    <t>NESYA HAURA TASMIRA</t>
  </si>
  <si>
    <t>0093497754</t>
  </si>
  <si>
    <t>PUTRI KIRANI SALWIYAH KHALID</t>
  </si>
  <si>
    <t>0086545584</t>
  </si>
  <si>
    <t>RAISSA NAZDAH ABDIYANI</t>
  </si>
  <si>
    <t>0087399214</t>
  </si>
  <si>
    <t>RAISYA AMALIA</t>
  </si>
  <si>
    <t>0092841307</t>
  </si>
  <si>
    <t>REHAN HUSNI SALIM</t>
  </si>
  <si>
    <t>0085821008</t>
  </si>
  <si>
    <t>RENANDO BRAVOCIANO</t>
  </si>
  <si>
    <t>3080779226</t>
  </si>
  <si>
    <t>SIFA ANGGRAENI</t>
  </si>
  <si>
    <t>0095289888</t>
  </si>
  <si>
    <t>WINDY ALYA MUTIARA RAHMAH</t>
  </si>
  <si>
    <t>0097220505</t>
  </si>
  <si>
    <t>ZAHRA AULIA KIRANIA</t>
  </si>
  <si>
    <t>Laki-laki</t>
  </si>
  <si>
    <t>Perempuan</t>
  </si>
  <si>
    <t>Kepala Sekolah</t>
  </si>
  <si>
    <t>Cimahi, ......................</t>
  </si>
  <si>
    <t>SUSANTO, S.Pd.</t>
  </si>
  <si>
    <t>_____________________</t>
  </si>
  <si>
    <t>NIP. 197203252006041009</t>
  </si>
  <si>
    <t>Kelas : XII-2</t>
  </si>
  <si>
    <t>RITA NOVRIANTI, S.Pd</t>
  </si>
  <si>
    <t>0089561949</t>
  </si>
  <si>
    <t>ALFAIRA BERLIYANI</t>
  </si>
  <si>
    <t>0094191941</t>
  </si>
  <si>
    <t>AMELIA RAHMA ARISTAWATI</t>
  </si>
  <si>
    <t>0083626044</t>
  </si>
  <si>
    <t>ANGGITA ASTYANI</t>
  </si>
  <si>
    <t>0076086800</t>
  </si>
  <si>
    <t>AULIA AZKA MUKAYYIS</t>
  </si>
  <si>
    <t>0095913000</t>
  </si>
  <si>
    <t>AURA DWI ANZHANI</t>
  </si>
  <si>
    <t>0095646442</t>
  </si>
  <si>
    <t>AZKA BAHARRIZKI PUTRA HERMANTO</t>
  </si>
  <si>
    <t>0088164501</t>
  </si>
  <si>
    <t>CINTA DWI APRILIANA</t>
  </si>
  <si>
    <t>0094718442</t>
  </si>
  <si>
    <t>DERIEL RAFIQAYSA</t>
  </si>
  <si>
    <t>0098792210</t>
  </si>
  <si>
    <t>EFFLLY RACHMAWATI NOERANI</t>
  </si>
  <si>
    <t>0089043956</t>
  </si>
  <si>
    <t>FAREL ANDHIKA PUTRA</t>
  </si>
  <si>
    <t>0089421468</t>
  </si>
  <si>
    <t>FATHIN ABIYYU SUKMA</t>
  </si>
  <si>
    <t>0082191290</t>
  </si>
  <si>
    <t>FITRIA RIZQI AMALIA SUCI</t>
  </si>
  <si>
    <t>0081154931</t>
  </si>
  <si>
    <t>GUIDO JOSAFAT</t>
  </si>
  <si>
    <t>0091261825</t>
  </si>
  <si>
    <t>KAYLA HUMAIRA MAULIDA AZZAHRA</t>
  </si>
  <si>
    <t>0093688574</t>
  </si>
  <si>
    <t>KEIKO AQILA ANANDIRA</t>
  </si>
  <si>
    <t>0081219411</t>
  </si>
  <si>
    <t>KESYA KIANYA QUROTAAYUNI</t>
  </si>
  <si>
    <t>0083397715</t>
  </si>
  <si>
    <t>KEYSA REGITA NURFITRI ADRIANA</t>
  </si>
  <si>
    <t>0097884501</t>
  </si>
  <si>
    <t>KEYZILA NAFFISAHANIF</t>
  </si>
  <si>
    <t>0089647345</t>
  </si>
  <si>
    <t>LAUDYA CANTIKA SARI</t>
  </si>
  <si>
    <t>0097310415</t>
  </si>
  <si>
    <t>LESTARI DWI ALTHAFUNISA</t>
  </si>
  <si>
    <t>0097736063</t>
  </si>
  <si>
    <t>MUHAMMAD AHNAF ALFAREZI</t>
  </si>
  <si>
    <t>0097653167</t>
  </si>
  <si>
    <t>MUHAMMAD FAUZAN AZMI HANIF</t>
  </si>
  <si>
    <t>0084533001</t>
  </si>
  <si>
    <t>NABIILA NUR TAMIIMAH</t>
  </si>
  <si>
    <t>0087907930</t>
  </si>
  <si>
    <t>NABILA GUNAWAN</t>
  </si>
  <si>
    <t>0096356610</t>
  </si>
  <si>
    <t>NADIA MAHARANI</t>
  </si>
  <si>
    <t>0082559240</t>
  </si>
  <si>
    <t>NADYA NUR ATTIFA RISALMA</t>
  </si>
  <si>
    <t>0082371648</t>
  </si>
  <si>
    <t>NAYARI ISNA LATIFAH</t>
  </si>
  <si>
    <t>0092490103</t>
  </si>
  <si>
    <t>NAZLA NAIMAH SIBGHATULLAH</t>
  </si>
  <si>
    <t>0081488693</t>
  </si>
  <si>
    <t>RADEN MUHAMMAD RAFI SHOLIHUDDIN</t>
  </si>
  <si>
    <t>0098938060</t>
  </si>
  <si>
    <t>RAFI IKHSAN ALRASYID</t>
  </si>
  <si>
    <t>0094992588</t>
  </si>
  <si>
    <t>RAISYA ANGELIA</t>
  </si>
  <si>
    <t>0083968805</t>
  </si>
  <si>
    <t>SAFFANAH PUTRI KAMILAH</t>
  </si>
  <si>
    <t>0086315065</t>
  </si>
  <si>
    <t>SILMI AGHNIYA AZ-ZAHRA</t>
  </si>
  <si>
    <t>0099942370</t>
  </si>
  <si>
    <t>TANTI AZIZAH PUTRI JAMALUDIN</t>
  </si>
  <si>
    <t>0092641855</t>
  </si>
  <si>
    <t>TASYA ASTI AURELIA</t>
  </si>
  <si>
    <t>Kelas : XII-3</t>
  </si>
  <si>
    <t>INDAH JUWITA, S.Pd.</t>
  </si>
  <si>
    <t>0081443370</t>
  </si>
  <si>
    <t>ABDHI RESTU PRATAMA</t>
  </si>
  <si>
    <t>0077233308</t>
  </si>
  <si>
    <t>ADEELA HALWA KHAIRANI</t>
  </si>
  <si>
    <t>0095530152</t>
  </si>
  <si>
    <t>AGNA ARUNI AMALIA</t>
  </si>
  <si>
    <t>0098409105</t>
  </si>
  <si>
    <t>ALVIN NURAHMAN</t>
  </si>
  <si>
    <t>0085965772</t>
  </si>
  <si>
    <t>AMALIA TRIYANI</t>
  </si>
  <si>
    <t>0086322601</t>
  </si>
  <si>
    <t>AMELIA PUTRI PRATIWI</t>
  </si>
  <si>
    <t>0096701256</t>
  </si>
  <si>
    <t>ANIS FITRY</t>
  </si>
  <si>
    <t>0085414542</t>
  </si>
  <si>
    <t>ANUGRAH WIYASA</t>
  </si>
  <si>
    <t>0094352212</t>
  </si>
  <si>
    <t>ARLYN NAFIZA PUTRI RAHMAN</t>
  </si>
  <si>
    <t>3081028826</t>
  </si>
  <si>
    <t>CAHYA KUMAIRA PUTRI HIDAYAH</t>
  </si>
  <si>
    <t>0097984469</t>
  </si>
  <si>
    <t>CHIKA SAKURA</t>
  </si>
  <si>
    <t>0101897198</t>
  </si>
  <si>
    <t>DEWI ANDRIYANI</t>
  </si>
  <si>
    <t>0093030566</t>
  </si>
  <si>
    <t>DIANA ARISTA</t>
  </si>
  <si>
    <t>0092065253</t>
  </si>
  <si>
    <t>FILDZA KHAIRINA RIDWAN</t>
  </si>
  <si>
    <t>3090168065</t>
  </si>
  <si>
    <t>GARNETTA ARTANTY</t>
  </si>
  <si>
    <t>0099966202</t>
  </si>
  <si>
    <t>GHIANDRA MAULANA</t>
  </si>
  <si>
    <t>0091430065</t>
  </si>
  <si>
    <t>INTAN AULIA HIDAYAH</t>
  </si>
  <si>
    <t>0083864591</t>
  </si>
  <si>
    <t>JIHAN NAQIYA</t>
  </si>
  <si>
    <t>0096630335</t>
  </si>
  <si>
    <t>KAFKA ABDEE HAFIEDZ</t>
  </si>
  <si>
    <t>0079470223</t>
  </si>
  <si>
    <t>KENFITRIA SALSABILA PEGARANI</t>
  </si>
  <si>
    <t>0089775160</t>
  </si>
  <si>
    <t>LUBNA LUTFIFFAH</t>
  </si>
  <si>
    <t>0081792912</t>
  </si>
  <si>
    <t>LUTFIAH OKTAFIANI</t>
  </si>
  <si>
    <t>0093717526</t>
  </si>
  <si>
    <t>MALFA RAISYA KHANSA</t>
  </si>
  <si>
    <t>0091973930</t>
  </si>
  <si>
    <t>MEGA LESTARI</t>
  </si>
  <si>
    <t>0086007662</t>
  </si>
  <si>
    <t>MUHAMAD ALIFFIAN RAMADHANI</t>
  </si>
  <si>
    <t>0092761255</t>
  </si>
  <si>
    <t>MUHAMMAD ARSYAD ALYASA</t>
  </si>
  <si>
    <t>3098781299</t>
  </si>
  <si>
    <t>MUHAMMAD RIZKI MALIK ABDILAH</t>
  </si>
  <si>
    <t>0096209432</t>
  </si>
  <si>
    <t>MUHAMMAD ZIYAD ARHATTA</t>
  </si>
  <si>
    <t>0082302994</t>
  </si>
  <si>
    <t>NABILLA KHOIRUNNISA</t>
  </si>
  <si>
    <t>0085691465</t>
  </si>
  <si>
    <t>NAZWA HASNA PUTERI</t>
  </si>
  <si>
    <t>0099385990</t>
  </si>
  <si>
    <t>NISRINA ANDRIANI MARDIAH</t>
  </si>
  <si>
    <t>0088405311</t>
  </si>
  <si>
    <t>OKTAVIANI FITRIA</t>
  </si>
  <si>
    <t>0099022887</t>
  </si>
  <si>
    <t>PRISA RAHMA</t>
  </si>
  <si>
    <t>0086113153</t>
  </si>
  <si>
    <t>PUTRI TSAMROTUL FUADAH</t>
  </si>
  <si>
    <t>0087973538</t>
  </si>
  <si>
    <t>RADEN MOCHAMAD REYHAN FIRDAUS</t>
  </si>
  <si>
    <t>0085808338</t>
  </si>
  <si>
    <t>REYSYA RINDU ANANDA</t>
  </si>
  <si>
    <t>0088987256</t>
  </si>
  <si>
    <t>SAMMY ADHITYA RAHMAN</t>
  </si>
  <si>
    <t>0094726224</t>
  </si>
  <si>
    <t>SISKA UMAEROH</t>
  </si>
  <si>
    <t>0094336021</t>
  </si>
  <si>
    <t>ZIDANE DZIAULHAQ FAHDILLA</t>
  </si>
  <si>
    <t>Kelas : XII-4</t>
  </si>
  <si>
    <t>RADEN HANA AMALIA, S.T.</t>
  </si>
  <si>
    <t>0098392444</t>
  </si>
  <si>
    <t>ADINDA LUSIANA ARISAPUTRA</t>
  </si>
  <si>
    <t>3085356516</t>
  </si>
  <si>
    <t>ANISA KARIM</t>
  </si>
  <si>
    <t>0095679379</t>
  </si>
  <si>
    <t>ARYA ROMANSYAH HENDRAWAN</t>
  </si>
  <si>
    <t>0096816989</t>
  </si>
  <si>
    <t>AUREL NATASYA PUTRI</t>
  </si>
  <si>
    <t>0082699061</t>
  </si>
  <si>
    <t>AYU RIZKI LESTARI</t>
  </si>
  <si>
    <t>0094109554</t>
  </si>
  <si>
    <t>BONG MARVELL</t>
  </si>
  <si>
    <t>0086527657</t>
  </si>
  <si>
    <t>DAFFA SAEPUL RAMDAN</t>
  </si>
  <si>
    <t>0084752207</t>
  </si>
  <si>
    <t>DIAN SAFITRI</t>
  </si>
  <si>
    <t>0087678415</t>
  </si>
  <si>
    <t>DURROTUL INNAROH</t>
  </si>
  <si>
    <t>3096825726</t>
  </si>
  <si>
    <t>FAEYZA INTAN GHAISANI</t>
  </si>
  <si>
    <t>0081281027</t>
  </si>
  <si>
    <t>FAUZIAH RAHMAHAYATI</t>
  </si>
  <si>
    <t>3084097745</t>
  </si>
  <si>
    <t>FIRYAL YAPI AHMAD</t>
  </si>
  <si>
    <t>0083217260</t>
  </si>
  <si>
    <t>FIRZA AHMAD ZAIDAN</t>
  </si>
  <si>
    <t>0089441527</t>
  </si>
  <si>
    <t>GENDIS PUTRI KIRANI</t>
  </si>
  <si>
    <t>0096079282</t>
  </si>
  <si>
    <t>HANIF AQILLA BAGAPRAWIRA</t>
  </si>
  <si>
    <t>0083684185</t>
  </si>
  <si>
    <t>HERSYA ADHWA FITRIAS</t>
  </si>
  <si>
    <t>0093835775</t>
  </si>
  <si>
    <t>JANUAR MOHAMMAD DRAJAT</t>
  </si>
  <si>
    <t>0091193612</t>
  </si>
  <si>
    <t>KEMAL KAMALUDIN</t>
  </si>
  <si>
    <t>0091324117</t>
  </si>
  <si>
    <t>KENNETH GIBSON WIJAYA</t>
  </si>
  <si>
    <t>0091509605</t>
  </si>
  <si>
    <t>LEANA CARISSA PUTRI</t>
  </si>
  <si>
    <t>0096615665</t>
  </si>
  <si>
    <t>MUHAMAD ZLATAN IBRAHIM</t>
  </si>
  <si>
    <t>0098352887</t>
  </si>
  <si>
    <t>MUHAMMAD ARYA KEMAL</t>
  </si>
  <si>
    <t>0085863600</t>
  </si>
  <si>
    <t>NATASYA ZELIKA RAMADHANTY</t>
  </si>
  <si>
    <t>0093832055</t>
  </si>
  <si>
    <t>NEYZA DWI MULYANI</t>
  </si>
  <si>
    <t>0099099701</t>
  </si>
  <si>
    <t>OSYA RAFFIE RAZAQIE</t>
  </si>
  <si>
    <t>0086807497</t>
  </si>
  <si>
    <t>RESTI NURAINI</t>
  </si>
  <si>
    <t>0084635663</t>
  </si>
  <si>
    <t>RESTU WULAN OKTAVIANI</t>
  </si>
  <si>
    <t>0088476398</t>
  </si>
  <si>
    <t>REYNA NABIHA SHULA</t>
  </si>
  <si>
    <t>0082113434</t>
  </si>
  <si>
    <t>RIFAN AMIN FAUZAN</t>
  </si>
  <si>
    <t>0086300144</t>
  </si>
  <si>
    <t>SANY NURRAHMAWATI</t>
  </si>
  <si>
    <t>0091722681</t>
  </si>
  <si>
    <t>SHELIA APRIANI</t>
  </si>
  <si>
    <t>0091157589</t>
  </si>
  <si>
    <t>SITI GINA KANIA</t>
  </si>
  <si>
    <t>0098694831</t>
  </si>
  <si>
    <t>TAMA PANDUWINATA MAULUDAN</t>
  </si>
  <si>
    <t>0084037676</t>
  </si>
  <si>
    <t>THALITA PUTRI ANINDYA</t>
  </si>
  <si>
    <t>0081996468</t>
  </si>
  <si>
    <t>ZASKIA APRILIANI HERDIANA</t>
  </si>
  <si>
    <t>0085968521</t>
  </si>
  <si>
    <t>ZEFANYA KENESIA SINAGA</t>
  </si>
  <si>
    <t>0088788610</t>
  </si>
  <si>
    <t>ZIHAN CLARISA SENJAYA</t>
  </si>
  <si>
    <t>Cimahi, .........................</t>
  </si>
  <si>
    <t>___________________</t>
  </si>
  <si>
    <t>Kelas : XII-5</t>
  </si>
  <si>
    <t>ANI NURAINI, M.Pd.</t>
  </si>
  <si>
    <t>0088174212</t>
  </si>
  <si>
    <t>ADELIA AGUSTIN</t>
  </si>
  <si>
    <t>0083610818</t>
  </si>
  <si>
    <t>ADRIANA MOZZA RAYSA ARUMMI</t>
  </si>
  <si>
    <t>0082703306</t>
  </si>
  <si>
    <t>ALISHA MURSAL</t>
  </si>
  <si>
    <t>0099742545</t>
  </si>
  <si>
    <t>ALYZA KIRANIA AZKA SHAFIRA</t>
  </si>
  <si>
    <t>0083334175</t>
  </si>
  <si>
    <t>AMANDA SAHFITRI</t>
  </si>
  <si>
    <t>0081267954</t>
  </si>
  <si>
    <t>ANNISA PUTRI</t>
  </si>
  <si>
    <t>0089545077</t>
  </si>
  <si>
    <t>AULIA RAMADHANI</t>
  </si>
  <si>
    <t>0098609317</t>
  </si>
  <si>
    <t>AZZAHWA ASSYAFIQOH</t>
  </si>
  <si>
    <t>0085815494</t>
  </si>
  <si>
    <t>CITRA APRILIANI PRATAMA</t>
  </si>
  <si>
    <t>3082401701</t>
  </si>
  <si>
    <t>DEMIAN REIVANDIKA RAMADHAN</t>
  </si>
  <si>
    <t>0097349445</t>
  </si>
  <si>
    <t>DIAN TRI ASTUTI</t>
  </si>
  <si>
    <t>0087794157</t>
  </si>
  <si>
    <t>FIRA NOVIANTI</t>
  </si>
  <si>
    <t>0082495308</t>
  </si>
  <si>
    <t>FIRDA NUR FADILAH</t>
  </si>
  <si>
    <t>0096838109</t>
  </si>
  <si>
    <t>GAIS PUTRI ANISA</t>
  </si>
  <si>
    <t>0081884169</t>
  </si>
  <si>
    <t>JIHAN FATHIYAH ISMARA</t>
  </si>
  <si>
    <t>0081045023</t>
  </si>
  <si>
    <t>KALISYA NUR SYAHBANI</t>
  </si>
  <si>
    <t>0089804732</t>
  </si>
  <si>
    <t>KRISTALICA PUTRI</t>
  </si>
  <si>
    <t>0086426791</t>
  </si>
  <si>
    <t>LINGGA MAHARDIKA</t>
  </si>
  <si>
    <t>0086280934</t>
  </si>
  <si>
    <t>NABILLA KAYLA KINASIH</t>
  </si>
  <si>
    <t>0096332422</t>
  </si>
  <si>
    <t>NASYA TALIA GABETIA PANGGABEAN</t>
  </si>
  <si>
    <t>0089158929</t>
  </si>
  <si>
    <t>PAUZIAH</t>
  </si>
  <si>
    <t>0089367323</t>
  </si>
  <si>
    <t>PUTRI KHANAYA SALSYABILA</t>
  </si>
  <si>
    <t>0088968911</t>
  </si>
  <si>
    <t>RADEN AYUNDA SITI FATIMAH</t>
  </si>
  <si>
    <t>0093141823</t>
  </si>
  <si>
    <t>REYNATA RAHMA NOERRACHIM</t>
  </si>
  <si>
    <t>0085816112</t>
  </si>
  <si>
    <t>RIKA FITRIANY</t>
  </si>
  <si>
    <t>0092799649</t>
  </si>
  <si>
    <t>SALMA ZAHRATUNNISA</t>
  </si>
  <si>
    <t>0087583293</t>
  </si>
  <si>
    <t>SAVINNA CHALLITA</t>
  </si>
  <si>
    <t>0085916962</t>
  </si>
  <si>
    <t>SAYYIDAH PUTRI SALAMAH</t>
  </si>
  <si>
    <t>0095777731</t>
  </si>
  <si>
    <t>SHAKA DICHI PUTRA</t>
  </si>
  <si>
    <t>0096697583</t>
  </si>
  <si>
    <t>SITI AISAH SAIDAH</t>
  </si>
  <si>
    <t>0081475238</t>
  </si>
  <si>
    <t>SYAFIRA PUTRI HERDIYANTI</t>
  </si>
  <si>
    <t>0096921089</t>
  </si>
  <si>
    <t>SYIFA KIRANA AMRI</t>
  </si>
  <si>
    <t>0084485391</t>
  </si>
  <si>
    <t>TALISYA CALISTA</t>
  </si>
  <si>
    <t>0094166561</t>
  </si>
  <si>
    <t>ZENITHA VITALOKA</t>
  </si>
  <si>
    <t>0096826217</t>
  </si>
  <si>
    <t>ZOEBIE WIDANSYAH ABDILLAH</t>
  </si>
  <si>
    <t>Kelas : XII-6</t>
  </si>
  <si>
    <t>SITI HANIPAH, S.Pd.</t>
  </si>
  <si>
    <t>0093537260</t>
  </si>
  <si>
    <t>ADSIL RESI BINTARI</t>
  </si>
  <si>
    <t>0099608220</t>
  </si>
  <si>
    <t>ANISA SALSABILA WIJAYA</t>
  </si>
  <si>
    <t>0091638670</t>
  </si>
  <si>
    <t>ARIHNI RAIHATAL JANNAH</t>
  </si>
  <si>
    <t>0097419125</t>
  </si>
  <si>
    <t>AS-SYAFA LUTFIANA RUMJANAH</t>
  </si>
  <si>
    <t>0093534173</t>
  </si>
  <si>
    <t>AUFA JAUZA AZKIYAH</t>
  </si>
  <si>
    <t>0096482565</t>
  </si>
  <si>
    <t>BILAL RAJAB SYUHADA</t>
  </si>
  <si>
    <t>0097861699</t>
  </si>
  <si>
    <t>CATUR SRI HANDIANINGRUM</t>
  </si>
  <si>
    <t>3090789166</t>
  </si>
  <si>
    <t>DEFASYA ANGGARA PUTRA ADITYA</t>
  </si>
  <si>
    <t>0099539725</t>
  </si>
  <si>
    <t>DEVIA ANATASYA</t>
  </si>
  <si>
    <t>0082903842</t>
  </si>
  <si>
    <t>DIANA JELITA KUSUMASTIWI</t>
  </si>
  <si>
    <t>0098202088</t>
  </si>
  <si>
    <t>DIPA NGESTU GUSTI</t>
  </si>
  <si>
    <t>0082055367</t>
  </si>
  <si>
    <t>FAKHRI AKMAL MUZAKKI</t>
  </si>
  <si>
    <t>0099459466</t>
  </si>
  <si>
    <t>FEBRIYANA PUTRI PRATAMA</t>
  </si>
  <si>
    <t>0101793135</t>
  </si>
  <si>
    <t>HANUM HUMAIRA FAJRIYAH SALSABILA</t>
  </si>
  <si>
    <t>0093378856</t>
  </si>
  <si>
    <t>KEVIN KHOERUL ANAM</t>
  </si>
  <si>
    <t>0093697712</t>
  </si>
  <si>
    <t>KEYSHA NALA ALRAF BELLA</t>
  </si>
  <si>
    <t>0082809740</t>
  </si>
  <si>
    <t>MAISYE LIANI RAMADHAN</t>
  </si>
  <si>
    <t>0086165656</t>
  </si>
  <si>
    <t>MEISYA RISMA AULYA</t>
  </si>
  <si>
    <t>0097758868</t>
  </si>
  <si>
    <t>MOCHAMAD ABDUL LATAEF</t>
  </si>
  <si>
    <t>0095986187</t>
  </si>
  <si>
    <t>MUHAMMAD AZKA RAISSA PUTRA</t>
  </si>
  <si>
    <t>0097663905</t>
  </si>
  <si>
    <t>MUHAMMAD RAFA DANI PUTRA</t>
  </si>
  <si>
    <t>0089812372</t>
  </si>
  <si>
    <t>MUHAMMAD RAMDHAN JAELANI</t>
  </si>
  <si>
    <t>0083008064</t>
  </si>
  <si>
    <t>MUHAMMAD RAZAN IHSAN</t>
  </si>
  <si>
    <t>0092103847</t>
  </si>
  <si>
    <t>NENG NAZWA DARYATUL HUSNA</t>
  </si>
  <si>
    <t>0099042994</t>
  </si>
  <si>
    <t>RADEN SATYA AHMAD KHALIFA</t>
  </si>
  <si>
    <t>0088411704</t>
  </si>
  <si>
    <t>RAISYA MUTIARA ALZAHRA</t>
  </si>
  <si>
    <t>0099413693</t>
  </si>
  <si>
    <t>ROBI MUHAMAD ZAKARIA</t>
  </si>
  <si>
    <t>0087615559</t>
  </si>
  <si>
    <t>SAFA AFIFAH</t>
  </si>
  <si>
    <t>0096732883</t>
  </si>
  <si>
    <t>SYAFA AL QUEENA ROFI</t>
  </si>
  <si>
    <t>0094299457</t>
  </si>
  <si>
    <t>TAZKIA YUMNAA NUUR AANISAH</t>
  </si>
  <si>
    <t>0095686396</t>
  </si>
  <si>
    <t>VANIA PUTRI</t>
  </si>
  <si>
    <t>0099904838</t>
  </si>
  <si>
    <t>VINNA SILVIANA MAULIDA</t>
  </si>
  <si>
    <t>0087842744</t>
  </si>
  <si>
    <t>ZAHRA FITRIA HARTANTI</t>
  </si>
  <si>
    <t>0099008194</t>
  </si>
  <si>
    <t>ZAHRA NAMIRA PUTRI</t>
  </si>
  <si>
    <t>0083733656</t>
  </si>
  <si>
    <t>ZAHRA YUNIARTI</t>
  </si>
  <si>
    <t>0086973829</t>
  </si>
  <si>
    <t>ZIKRI KHAIRUL FADILAH</t>
  </si>
  <si>
    <t>Kelas : XII-7</t>
  </si>
  <si>
    <t>TEJA LESMANAH , S.Pd</t>
  </si>
  <si>
    <t>0095955717</t>
  </si>
  <si>
    <t>ACHMAD FAKHRI AKMAL</t>
  </si>
  <si>
    <t>0074788157</t>
  </si>
  <si>
    <t>AHMAD SOPIAN</t>
  </si>
  <si>
    <t>0089668707</t>
  </si>
  <si>
    <t>ALETA MEISYA HARIMAN</t>
  </si>
  <si>
    <t>0095612460</t>
  </si>
  <si>
    <t>AURA APRILIA</t>
  </si>
  <si>
    <t>3081216721</t>
  </si>
  <si>
    <t>CHIKA FARADINA RUHIAT</t>
  </si>
  <si>
    <t>0094277902</t>
  </si>
  <si>
    <t>CICI LIS DIANA</t>
  </si>
  <si>
    <t>0089665140</t>
  </si>
  <si>
    <t>DEANDRA PUTRA TRIYANA</t>
  </si>
  <si>
    <t>0091428465</t>
  </si>
  <si>
    <t>DETY AFIA</t>
  </si>
  <si>
    <t>0083241499</t>
  </si>
  <si>
    <t>ERLIE ZAHRANI</t>
  </si>
  <si>
    <t>0087743376</t>
  </si>
  <si>
    <t>FAHRI AKBAR</t>
  </si>
  <si>
    <t>0095962312</t>
  </si>
  <si>
    <t>FAJAR MAULID</t>
  </si>
  <si>
    <t>0096797849</t>
  </si>
  <si>
    <t>FINA NURWITA ROSADY</t>
  </si>
  <si>
    <t>0084517394</t>
  </si>
  <si>
    <t>GIRLY AURELVIA</t>
  </si>
  <si>
    <t>0098165374</t>
  </si>
  <si>
    <t>GRACE YUNI ARTHA SIMAMORA</t>
  </si>
  <si>
    <t>0081678183</t>
  </si>
  <si>
    <t>ILHAM RAMADHAN</t>
  </si>
  <si>
    <t>0093486716</t>
  </si>
  <si>
    <t>INTAN NUR AJIJAH</t>
  </si>
  <si>
    <t>0081675090</t>
  </si>
  <si>
    <t>IQBAL FAJRI FERDIANSYAH</t>
  </si>
  <si>
    <t>0089134211</t>
  </si>
  <si>
    <t>ISMAH AULA</t>
  </si>
  <si>
    <t>0096622247</t>
  </si>
  <si>
    <t>KALINDRA KIRANA ASWANI</t>
  </si>
  <si>
    <t>0084127053</t>
  </si>
  <si>
    <t>KEYSA SHAFIRA OCTAVIANIE</t>
  </si>
  <si>
    <t>0087754693</t>
  </si>
  <si>
    <t>MUHAMAD AGUS RIDWAN</t>
  </si>
  <si>
    <t>0081311379</t>
  </si>
  <si>
    <t>MUHAMAD DAFFA BUSYROLKARIM</t>
  </si>
  <si>
    <t>0093730349</t>
  </si>
  <si>
    <t>MUHAMAD REIZA MAHENDRANA</t>
  </si>
  <si>
    <t>0099595373</t>
  </si>
  <si>
    <t>MUHAMMAD LUDTFI SULAEMAN</t>
  </si>
  <si>
    <t>0082014824</t>
  </si>
  <si>
    <t>MUHAMMAD RUSLY</t>
  </si>
  <si>
    <t>0087200084</t>
  </si>
  <si>
    <t>MUTIARA AGSTYA SETIAWAN</t>
  </si>
  <si>
    <t>0094408904</t>
  </si>
  <si>
    <t>NAZWA RHEIZA YUSHA SAPUTRA</t>
  </si>
  <si>
    <t>0084709136</t>
  </si>
  <si>
    <t>NEYLA FITRI OKTAVIANI</t>
  </si>
  <si>
    <t>0089498777</t>
  </si>
  <si>
    <t>NIZAR DZULFIKAR SATRIANI</t>
  </si>
  <si>
    <t>0088511729</t>
  </si>
  <si>
    <t>PASHA FAHMI ROBIANSYAH</t>
  </si>
  <si>
    <t>0085464362</t>
  </si>
  <si>
    <t>PUTRI VANESHA FILLIA</t>
  </si>
  <si>
    <t>0094683206</t>
  </si>
  <si>
    <t>RAFFANARA ALIF FAHRURRAZI</t>
  </si>
  <si>
    <t>0091442117</t>
  </si>
  <si>
    <t>RAFFI SAMIR NASRI</t>
  </si>
  <si>
    <t>0084076254</t>
  </si>
  <si>
    <t>REGITA ANDIA PUTRI</t>
  </si>
  <si>
    <t>0085263910</t>
  </si>
  <si>
    <t>REHAN PRIATNA</t>
  </si>
  <si>
    <t>0087802399</t>
  </si>
  <si>
    <t>REVA LINA SEPTIANI</t>
  </si>
  <si>
    <t>0096747558</t>
  </si>
  <si>
    <t>RIDHO YACHI SUDIRMAN SUDANA</t>
  </si>
  <si>
    <t>0089783762</t>
  </si>
  <si>
    <t>RINDRA RIZKIA RAFLIANA</t>
  </si>
  <si>
    <t>0088899347</t>
  </si>
  <si>
    <t>SEPTI DWI RAHMADANI</t>
  </si>
  <si>
    <t>0085100834</t>
  </si>
  <si>
    <t>SITI FITRIYANI</t>
  </si>
  <si>
    <t>0083087317</t>
  </si>
  <si>
    <t>SYIFA AZ ZAHRA</t>
  </si>
  <si>
    <t>0084600714</t>
  </si>
  <si>
    <t>TAUFIK URROHMAN</t>
  </si>
  <si>
    <t>3095424123</t>
  </si>
  <si>
    <t>YUNI NURAENI SILVIA</t>
  </si>
  <si>
    <t>0076626949</t>
  </si>
  <si>
    <t>ZAHRAN NURFAJAR</t>
  </si>
  <si>
    <t>0095333412</t>
  </si>
  <si>
    <t>ZAKHRAN ARDIANO</t>
  </si>
  <si>
    <t>Kelas : XII-8</t>
  </si>
  <si>
    <t>SRI SUDARTININGSIH, S.Pd.</t>
  </si>
  <si>
    <t>0093366077</t>
  </si>
  <si>
    <t>ADRIANSYAH SAPUTRA</t>
  </si>
  <si>
    <t>0095739200</t>
  </si>
  <si>
    <t>AFRIAN PRASETYA</t>
  </si>
  <si>
    <t>0088803548</t>
  </si>
  <si>
    <t>ALYA MUKHBITHA RAMADHANI</t>
  </si>
  <si>
    <t>0098955876</t>
  </si>
  <si>
    <t>ANJANI NUR SUKMAWATI</t>
  </si>
  <si>
    <t>0084471416</t>
  </si>
  <si>
    <t>AQILA ZAHRA</t>
  </si>
  <si>
    <t>0083142296</t>
  </si>
  <si>
    <t>BUNGA ROSI MUTIARA SANI</t>
  </si>
  <si>
    <t>0098610665</t>
  </si>
  <si>
    <t>DIANDRA PRAMUGIA RAHARJO</t>
  </si>
  <si>
    <t>0098091371</t>
  </si>
  <si>
    <t>DIMAS DIKA SAPUTRA</t>
  </si>
  <si>
    <t>0081923491</t>
  </si>
  <si>
    <t>DIMAS ZAHRAN ASSIDQI</t>
  </si>
  <si>
    <t>0091828532</t>
  </si>
  <si>
    <t>ERLANG AGUNG SETIAWAN</t>
  </si>
  <si>
    <t>0089888983</t>
  </si>
  <si>
    <t>FADIA AZAHRA</t>
  </si>
  <si>
    <t>0073140811</t>
  </si>
  <si>
    <t>FATIR FERDINAND</t>
  </si>
  <si>
    <t>0089298977</t>
  </si>
  <si>
    <t>GERRY DIVANO</t>
  </si>
  <si>
    <t>0082446072</t>
  </si>
  <si>
    <t>GILANG GINTARI SUJANA</t>
  </si>
  <si>
    <t>0077024051</t>
  </si>
  <si>
    <t>HAIKAL CHANDRA WINATA</t>
  </si>
  <si>
    <t>0094282979</t>
  </si>
  <si>
    <t>HILDA SITI MAULIDA</t>
  </si>
  <si>
    <t>0088359799</t>
  </si>
  <si>
    <t>KANIA RAMADHANI</t>
  </si>
  <si>
    <t>0082969160</t>
  </si>
  <si>
    <t>KEISYA AULIA</t>
  </si>
  <si>
    <t>0083787263</t>
  </si>
  <si>
    <t>LILIYANA ANNISA PERTIWI</t>
  </si>
  <si>
    <t>0085099949</t>
  </si>
  <si>
    <t>MUHAMAD HENDI SAPUTRA</t>
  </si>
  <si>
    <t>0093687283</t>
  </si>
  <si>
    <t>MUHAMMAD BINTANG NAZRIL</t>
  </si>
  <si>
    <t>0086451385</t>
  </si>
  <si>
    <t>MUHAMMAD FAJRI SUBHI</t>
  </si>
  <si>
    <t>0082613237</t>
  </si>
  <si>
    <t>MUHAMMAD FARHAN FADHILLAH</t>
  </si>
  <si>
    <t>0091629735</t>
  </si>
  <si>
    <t>MUHAMMAD GHAUSSAN ARIFIN</t>
  </si>
  <si>
    <t>0096489342</t>
  </si>
  <si>
    <t>MUHAMMAD RASYAD ASYAFIQ</t>
  </si>
  <si>
    <t>0086964044</t>
  </si>
  <si>
    <t>MUHAMMAD RIZKI AL FARUQI</t>
  </si>
  <si>
    <t>0089724565</t>
  </si>
  <si>
    <t>MUHAMMAD RIZKY FAUZY</t>
  </si>
  <si>
    <t>3092458088</t>
  </si>
  <si>
    <t>MUSHAB HAFIDZUL KARIEM</t>
  </si>
  <si>
    <t>0098905757</t>
  </si>
  <si>
    <t>NADILLA DWI JULIANTI</t>
  </si>
  <si>
    <t>0091183604</t>
  </si>
  <si>
    <t>NENG SIVA NURPADILA</t>
  </si>
  <si>
    <t>0081826161</t>
  </si>
  <si>
    <t>NOVA DWI KURNIAWAN</t>
  </si>
  <si>
    <t>0085415092</t>
  </si>
  <si>
    <t>PARIHAH NUR AZQIA</t>
  </si>
  <si>
    <t>0086076485</t>
  </si>
  <si>
    <t>PERMANA AGUNG SANTOSO</t>
  </si>
  <si>
    <t>0096861408</t>
  </si>
  <si>
    <t>RAHMA AURELIA</t>
  </si>
  <si>
    <t>0086003188</t>
  </si>
  <si>
    <t>RAMADHANI SUARDI</t>
  </si>
  <si>
    <t>0081988286</t>
  </si>
  <si>
    <t>REVA LINA PUTRI</t>
  </si>
  <si>
    <t>0086649467</t>
  </si>
  <si>
    <t>REVALLINO NOVANSYAH HAQ</t>
  </si>
  <si>
    <t>0081553403</t>
  </si>
  <si>
    <t>RIFKI SOPIAN</t>
  </si>
  <si>
    <t>0083091827</t>
  </si>
  <si>
    <t>SATYA AFDHILA BAIHAQI</t>
  </si>
  <si>
    <t>0087969232</t>
  </si>
  <si>
    <t>SENDI PEBRIAN</t>
  </si>
  <si>
    <t>0092498923</t>
  </si>
  <si>
    <t>SHAFA SALSABILLA</t>
  </si>
  <si>
    <t>0086037767</t>
  </si>
  <si>
    <t>SINTIA NURCAHYA</t>
  </si>
  <si>
    <t>0089927981</t>
  </si>
  <si>
    <t>TIARA RAHMAWATI</t>
  </si>
  <si>
    <t>0087092531</t>
  </si>
  <si>
    <t>ZAHRAN ARKHAN RAMADHAN</t>
  </si>
  <si>
    <t>Kelas : XII-9</t>
  </si>
  <si>
    <t>N K AYU WIDYANITHA HAPSARI, M.Pd.</t>
  </si>
  <si>
    <t>0085705284</t>
  </si>
  <si>
    <t>AKBAR RAMADAN</t>
  </si>
  <si>
    <t>0096570377</t>
  </si>
  <si>
    <t>ALMIRA NURSILO MAHARANI</t>
  </si>
  <si>
    <t>0089044060</t>
  </si>
  <si>
    <t>ALVIN FIRDAUS PRASETYO</t>
  </si>
  <si>
    <t>0092102115</t>
  </si>
  <si>
    <t>ARDIANSYAH GUNAWAN</t>
  </si>
  <si>
    <t>0082472945</t>
  </si>
  <si>
    <t>AULIA NUR ANNISSA</t>
  </si>
  <si>
    <t>0096758450</t>
  </si>
  <si>
    <t>BAGAS ADITIA NUGRAHA</t>
  </si>
  <si>
    <t>0084703163</t>
  </si>
  <si>
    <t>BAYU APRIANSYAH</t>
  </si>
  <si>
    <t>0087645197</t>
  </si>
  <si>
    <t>CAHAYA GITA MERLITHA</t>
  </si>
  <si>
    <t>0084089270</t>
  </si>
  <si>
    <t>DENIS PERDANA SETIAWAN</t>
  </si>
  <si>
    <t>3097548428</t>
  </si>
  <si>
    <t>FITRIA APRILLIANI</t>
  </si>
  <si>
    <t>0082813913</t>
  </si>
  <si>
    <t>GALANG RAHARJA ADIDJAJA</t>
  </si>
  <si>
    <t>0094306549</t>
  </si>
  <si>
    <t>HAFIZ ALFADIEL ABYANTARA</t>
  </si>
  <si>
    <t>0095098747</t>
  </si>
  <si>
    <t>HASBI HIBATULLOH</t>
  </si>
  <si>
    <t>0094240929</t>
  </si>
  <si>
    <t>ICHA SOPIA</t>
  </si>
  <si>
    <t>0079145848</t>
  </si>
  <si>
    <t>INDAH KIRANA UTAMI</t>
  </si>
  <si>
    <t>0095029390</t>
  </si>
  <si>
    <t>JUAN YESAYA</t>
  </si>
  <si>
    <t>0087180310</t>
  </si>
  <si>
    <t>KEISYA PUTRI ZALIANTI</t>
  </si>
  <si>
    <t>0088750218</t>
  </si>
  <si>
    <t>MOCHAMAD RAFFI AL HUDAFI</t>
  </si>
  <si>
    <t>0089804682</t>
  </si>
  <si>
    <t>MOCHAMAD RIFQY NUGRAHA</t>
  </si>
  <si>
    <t>0086001801</t>
  </si>
  <si>
    <t>MUHAMAD NAZRIL GUNTARA</t>
  </si>
  <si>
    <t>0081171074</t>
  </si>
  <si>
    <t>MUHAMMAD DEVAN RAMADHAN</t>
  </si>
  <si>
    <t>0082349796</t>
  </si>
  <si>
    <t>MUHAMMAD RAFFI FAWWAZ</t>
  </si>
  <si>
    <t>0093597581</t>
  </si>
  <si>
    <t>MUHAMMAD SAIFUL ABDULLAH</t>
  </si>
  <si>
    <t>0086096382</t>
  </si>
  <si>
    <t>NASYWA PERMATA NURZAIN</t>
  </si>
  <si>
    <t>0087264868</t>
  </si>
  <si>
    <t>NESSA NOVANDYA PUTRI</t>
  </si>
  <si>
    <t>0083828228'</t>
  </si>
  <si>
    <t>NILAM NAULIYA HERLIANI</t>
  </si>
  <si>
    <t>3086754433</t>
  </si>
  <si>
    <t>RADEN ADINDA SITI ZAHRA</t>
  </si>
  <si>
    <t>0096975539</t>
  </si>
  <si>
    <t>RAIHAN HABIBURROHMAN</t>
  </si>
  <si>
    <t>0072708986</t>
  </si>
  <si>
    <t>RAINY PRECIOUS AHMAD</t>
  </si>
  <si>
    <t>0088336395</t>
  </si>
  <si>
    <t>RANI NUR AENI</t>
  </si>
  <si>
    <t>0084511970</t>
  </si>
  <si>
    <t>RIDHO RIZKI GUNAWAN</t>
  </si>
  <si>
    <t>0085996665</t>
  </si>
  <si>
    <t>RIFAL ABDUL ZABBAR</t>
  </si>
  <si>
    <t>0089989416</t>
  </si>
  <si>
    <t>RIFALIKA NUR FITRI</t>
  </si>
  <si>
    <t>0088292199</t>
  </si>
  <si>
    <t>SANDI PRATAMA</t>
  </si>
  <si>
    <t>0094978840</t>
  </si>
  <si>
    <t>SANNY APRILIANI</t>
  </si>
  <si>
    <t>0087448715</t>
  </si>
  <si>
    <t>SITI MULYANI</t>
  </si>
  <si>
    <t>0087376197</t>
  </si>
  <si>
    <t>SITI NURUL HAMDA</t>
  </si>
  <si>
    <t>0089395693</t>
  </si>
  <si>
    <t>SUTAN MAULANA IBRAHIM</t>
  </si>
  <si>
    <t>0073623520</t>
  </si>
  <si>
    <t>TALITHA FAUZIYYAH MUMTAZAH</t>
  </si>
  <si>
    <t>0087096785</t>
  </si>
  <si>
    <t>VIONA MUTIARA KURNIADI</t>
  </si>
  <si>
    <t>0097145108</t>
  </si>
  <si>
    <t>WIWIN</t>
  </si>
  <si>
    <t>0083076987</t>
  </si>
  <si>
    <t>YUDHISTIRA ARISWAYA BAYUNI</t>
  </si>
  <si>
    <t>Kelas : XII-10</t>
  </si>
  <si>
    <t>LELI NURLAILA, S.IP., M.M.</t>
  </si>
  <si>
    <t>0084850277</t>
  </si>
  <si>
    <t>ADLI MALIK PRATAMA</t>
  </si>
  <si>
    <t>0096881524</t>
  </si>
  <si>
    <t>AFGAN MUHAMAD ILMAN</t>
  </si>
  <si>
    <t>0095645446</t>
  </si>
  <si>
    <t>ALFIKA KIRANA</t>
  </si>
  <si>
    <t>0084671282</t>
  </si>
  <si>
    <t>ANDIKA RAMADHAN DWI PUTRA</t>
  </si>
  <si>
    <t>0097327470</t>
  </si>
  <si>
    <t>ARGHI KEZHA PUTRA</t>
  </si>
  <si>
    <t>0085418955</t>
  </si>
  <si>
    <t>ARIO HIDAYAT</t>
  </si>
  <si>
    <t>0089423403</t>
  </si>
  <si>
    <t>ARUMMI LAMHA RAMADANIA</t>
  </si>
  <si>
    <t>0084116200</t>
  </si>
  <si>
    <t>BINTANG MUHAMAD AR RAVI</t>
  </si>
  <si>
    <t>0091855245</t>
  </si>
  <si>
    <t>CANDRA MAHARDHIKA SANTOSO</t>
  </si>
  <si>
    <t>0084143336</t>
  </si>
  <si>
    <t>DIANA ANGRAENI</t>
  </si>
  <si>
    <t>0085865094</t>
  </si>
  <si>
    <t>DIMAS PUTRA ANDRIAWAN</t>
  </si>
  <si>
    <t>0087871265</t>
  </si>
  <si>
    <t>FABIAN MUHAMAD RAMDAN</t>
  </si>
  <si>
    <t>0082201962</t>
  </si>
  <si>
    <t>FAHRI PEBRIANSYAH</t>
  </si>
  <si>
    <t>0086429718</t>
  </si>
  <si>
    <t>FAHRI RAMDANI</t>
  </si>
  <si>
    <t>0089289628</t>
  </si>
  <si>
    <t>FAYRA ASSYIFA ANINDYA</t>
  </si>
  <si>
    <t>0092290108</t>
  </si>
  <si>
    <t>FEBY THERESIA DWIYANTI</t>
  </si>
  <si>
    <t>3086890802</t>
  </si>
  <si>
    <t>GALIH MAULANA YUSUF</t>
  </si>
  <si>
    <t>0084686557</t>
  </si>
  <si>
    <t>HAMDAN AHMAD BUDIMAN</t>
  </si>
  <si>
    <t>0087361980</t>
  </si>
  <si>
    <t>IVAN ATHALLAH MUSYAFFA NURDIN</t>
  </si>
  <si>
    <t>0091601367</t>
  </si>
  <si>
    <t>JESSY SIMBOLON</t>
  </si>
  <si>
    <t>0088611807</t>
  </si>
  <si>
    <t>KANAYA ANDHITA MAYCHELLA</t>
  </si>
  <si>
    <t>0083729033'</t>
  </si>
  <si>
    <t>KAYLA ROSYAITA IMANSYAH</t>
  </si>
  <si>
    <t>0092896821</t>
  </si>
  <si>
    <t>KEANU REYHAN FARID AKBAR</t>
  </si>
  <si>
    <t>0098702684</t>
  </si>
  <si>
    <t>KEISHA YUNA ARIESTA</t>
  </si>
  <si>
    <t>0093075741</t>
  </si>
  <si>
    <t>KEYZZA AMEERA SUKENDAR</t>
  </si>
  <si>
    <t>0089906865</t>
  </si>
  <si>
    <t>LAILA RINJANI</t>
  </si>
  <si>
    <t>0097351657</t>
  </si>
  <si>
    <t>LISNA MAULIDA NURUL FATIMAH</t>
  </si>
  <si>
    <t>0092189215</t>
  </si>
  <si>
    <t>MEILANDRIE ARTIKA SUWANDY</t>
  </si>
  <si>
    <t>0072773228</t>
  </si>
  <si>
    <t>MILA ANGGRAENI</t>
  </si>
  <si>
    <t>0099950673</t>
  </si>
  <si>
    <t>MUHAMAD FAJRI</t>
  </si>
  <si>
    <t>0084082655</t>
  </si>
  <si>
    <t>NENG MEGA SILFIA</t>
  </si>
  <si>
    <t>0088742247</t>
  </si>
  <si>
    <t>PUTRI AYU</t>
  </si>
  <si>
    <t>0084194109</t>
  </si>
  <si>
    <t>RAINA MEDINA KHADIJAH</t>
  </si>
  <si>
    <t>3090805710</t>
  </si>
  <si>
    <t>RANTY PUTRI MAHARANI</t>
  </si>
  <si>
    <t>0089917763</t>
  </si>
  <si>
    <t>RAYANA AMAURI PAWANA</t>
  </si>
  <si>
    <t>0086406336</t>
  </si>
  <si>
    <t>RIZKY RAMADHANI</t>
  </si>
  <si>
    <t>0099388247</t>
  </si>
  <si>
    <t>SABILA TRI CAHYANI</t>
  </si>
  <si>
    <t>0097691337</t>
  </si>
  <si>
    <t>SARO GANDA TUA MARPAUNG</t>
  </si>
  <si>
    <t>3073462699</t>
  </si>
  <si>
    <t>SETIAJI SIDIK PRANAMA</t>
  </si>
  <si>
    <t>0088758428</t>
  </si>
  <si>
    <t>SILVI RAHMADANI</t>
  </si>
  <si>
    <t>0099738884</t>
  </si>
  <si>
    <t>SITI ANISA SAHADAH</t>
  </si>
  <si>
    <t>Kelas : XII-11</t>
  </si>
  <si>
    <t>IDA FARIDAH, S.Pd</t>
  </si>
  <si>
    <t>0088678162</t>
  </si>
  <si>
    <t>ALFACHRY DAVI RADITYA</t>
  </si>
  <si>
    <t>0083734575</t>
  </si>
  <si>
    <t>ANITA HERLIANA</t>
  </si>
  <si>
    <t>0083717630</t>
  </si>
  <si>
    <t>DAFFA HAFIZ FIRDAUS</t>
  </si>
  <si>
    <t>0081230700</t>
  </si>
  <si>
    <t>DENI CANDRA SATRIYA</t>
  </si>
  <si>
    <t>0084566612</t>
  </si>
  <si>
    <t>DEVA CERINA</t>
  </si>
  <si>
    <t>0098293588</t>
  </si>
  <si>
    <t>DIA SASTIGAMASAE</t>
  </si>
  <si>
    <t>0085511552</t>
  </si>
  <si>
    <t>DIANA SRI WAHYUNI</t>
  </si>
  <si>
    <t>0082027485</t>
  </si>
  <si>
    <t>DIMAS SEPTIADI</t>
  </si>
  <si>
    <t>0088131781</t>
  </si>
  <si>
    <t>DIVA KAYLACAHYA ANTASARIADI</t>
  </si>
  <si>
    <t>0084387218</t>
  </si>
  <si>
    <t>DIZA AUFAA SOFYAN</t>
  </si>
  <si>
    <t>0091687583</t>
  </si>
  <si>
    <t>FACHRI ZANWAR NUROCHIM</t>
  </si>
  <si>
    <t>0089408607</t>
  </si>
  <si>
    <t>FAHRI ALFIAN</t>
  </si>
  <si>
    <t>0085731558</t>
  </si>
  <si>
    <t>GHEYSAR GHALY ZHAFRAN GARMANNA</t>
  </si>
  <si>
    <t>0091630849</t>
  </si>
  <si>
    <t>HAFIZD IKHWANUL KAMIL</t>
  </si>
  <si>
    <t>0095333459</t>
  </si>
  <si>
    <t>ISMA RAHMAWATI KUSUMAH</t>
  </si>
  <si>
    <t>0089026868</t>
  </si>
  <si>
    <t>JACKY PATIH ZULFAHERA</t>
  </si>
  <si>
    <t>0085988246</t>
  </si>
  <si>
    <t>LUTHFI DESTRA HERLIA PUTRA</t>
  </si>
  <si>
    <t>0087163144</t>
  </si>
  <si>
    <t>MAYLA CAHYA AFILIAN PRATIWI</t>
  </si>
  <si>
    <t>0082702157</t>
  </si>
  <si>
    <t>MITKA OPHELIA</t>
  </si>
  <si>
    <t>0067879854</t>
  </si>
  <si>
    <t>MUHAMAD AL FAUZIAN</t>
  </si>
  <si>
    <t>0097982278</t>
  </si>
  <si>
    <t>MUHAMAD REGAN FAUZAN</t>
  </si>
  <si>
    <t>0089989784</t>
  </si>
  <si>
    <t>MUHAMMAD FAHRI ZARNAUZI</t>
  </si>
  <si>
    <t>0087281010</t>
  </si>
  <si>
    <t>MUHAMMAD FAIRUZ KUSMAYADI</t>
  </si>
  <si>
    <t>0083867674</t>
  </si>
  <si>
    <t>MUHAMMAD FARDHAN RADITIA PELITA</t>
  </si>
  <si>
    <t>0089661747</t>
  </si>
  <si>
    <t xml:space="preserve">MUHAMMAD RAIHAN RAMADHANI </t>
  </si>
  <si>
    <t>0082331075</t>
  </si>
  <si>
    <t>MUHAMMAD RIZKI</t>
  </si>
  <si>
    <t>0089945510</t>
  </si>
  <si>
    <t>MUHAMMAD SYAUQI ABDUL A'LA</t>
  </si>
  <si>
    <t>0086287398</t>
  </si>
  <si>
    <t>NURUL AYUSTIN KHOLIDAH</t>
  </si>
  <si>
    <t>0078242445</t>
  </si>
  <si>
    <t>RAFI RESTIAN</t>
  </si>
  <si>
    <t>0087321827</t>
  </si>
  <si>
    <t>RIDZKY FAUZANZY</t>
  </si>
  <si>
    <t>0098551118</t>
  </si>
  <si>
    <t>SABILAH</t>
  </si>
  <si>
    <t>0089514393</t>
  </si>
  <si>
    <t>SENDI MAULANA IBRAHIM</t>
  </si>
  <si>
    <t>0081714612</t>
  </si>
  <si>
    <t>SHINTA DEWI ANGGRAENI</t>
  </si>
  <si>
    <t>0095785686</t>
  </si>
  <si>
    <t>SITI ALLERIA AKASHA</t>
  </si>
  <si>
    <t>0094916611</t>
  </si>
  <si>
    <t>SYAHIRA SADZYA</t>
  </si>
  <si>
    <t>0088311872</t>
  </si>
  <si>
    <t>SYAHRANI FITRI AULIA</t>
  </si>
  <si>
    <t>0089355758</t>
  </si>
  <si>
    <t>SYAIMA DALILA AZKIA</t>
  </si>
  <si>
    <t>0094244340</t>
  </si>
  <si>
    <t>WINA SEPTIANI ROMDONI</t>
  </si>
  <si>
    <t>0078782061</t>
  </si>
  <si>
    <t>YUSUP HAMDANI</t>
  </si>
  <si>
    <t>0096767669</t>
  </si>
  <si>
    <t>ZULFA TASYIRA ALGHIFARI SABANIAH</t>
  </si>
  <si>
    <t>Kelas : XI-1</t>
  </si>
  <si>
    <t>RINI ARYANTINI, S.Pd.</t>
  </si>
  <si>
    <t>literasi</t>
  </si>
  <si>
    <t>26-8</t>
  </si>
  <si>
    <t>0093464583</t>
  </si>
  <si>
    <t xml:space="preserve">ALISHA  </t>
  </si>
  <si>
    <t>0093262556</t>
  </si>
  <si>
    <t>ALYA AZIZAH SYAHHENDRI</t>
  </si>
  <si>
    <t>0109402723</t>
  </si>
  <si>
    <t xml:space="preserve">AMEERA FAATIN ARIFAH PRAMESWARI </t>
  </si>
  <si>
    <t>0109612671</t>
  </si>
  <si>
    <t>ANGEL MARSANDA MANURUNG</t>
  </si>
  <si>
    <t>0097581098</t>
  </si>
  <si>
    <t>ANNISA HIDAYANTI</t>
  </si>
  <si>
    <t>0099534075</t>
  </si>
  <si>
    <t>ARSYIL DWI RAMADHAN</t>
  </si>
  <si>
    <t>0102545943</t>
  </si>
  <si>
    <t>ATHQOL AZKIYA AL AINA'UL MARDIYAH</t>
  </si>
  <si>
    <t>0096630461</t>
  </si>
  <si>
    <t>AYESSHA PUTRI RINALDI</t>
  </si>
  <si>
    <t>0106796556</t>
  </si>
  <si>
    <t>CAHAYA SRI MAHADEWI</t>
  </si>
  <si>
    <t>0091969486</t>
  </si>
  <si>
    <t>CHITRA DEWI PARAMITA</t>
  </si>
  <si>
    <t>0102493202</t>
  </si>
  <si>
    <t>DAVINA ADHYA KHAIRUNNISA</t>
  </si>
  <si>
    <t>FIDELA DIDRIKA NARESWARI</t>
  </si>
  <si>
    <t>0106561979</t>
  </si>
  <si>
    <t>GABRIELA FUNNY TAMBUNAN</t>
  </si>
  <si>
    <t>0096078450</t>
  </si>
  <si>
    <t>INAS ADHADIYAH HANIFAH</t>
  </si>
  <si>
    <t>0095350847</t>
  </si>
  <si>
    <t>JESSICA AFIFAH SIM</t>
  </si>
  <si>
    <t xml:space="preserve">s </t>
  </si>
  <si>
    <t>0105778966</t>
  </si>
  <si>
    <t>JIHAN LUTFIAH ZAHRA</t>
  </si>
  <si>
    <t>0104619003</t>
  </si>
  <si>
    <t>KAYLA SALWA SANIAH</t>
  </si>
  <si>
    <t>0086578731</t>
  </si>
  <si>
    <t>M. IMAM ALKAISAN</t>
  </si>
  <si>
    <t>0106017855</t>
  </si>
  <si>
    <t>MASAGUS MUHAMAD HANIF ATHALLAH</t>
  </si>
  <si>
    <t>0078091714</t>
  </si>
  <si>
    <t>MELISA</t>
  </si>
  <si>
    <t>0094641815</t>
  </si>
  <si>
    <t>MUHAMAD ILHAM RAMADHAN</t>
  </si>
  <si>
    <t>0104098671</t>
  </si>
  <si>
    <t>MUHAMAD RAFKA NURAFLAH</t>
  </si>
  <si>
    <t>0095300849</t>
  </si>
  <si>
    <t>MUHAMMAD REZKY SAID PUTRA RAMADHAN</t>
  </si>
  <si>
    <t>0091716306</t>
  </si>
  <si>
    <t>MUHAMMAD SOFYAN</t>
  </si>
  <si>
    <t>0097960712</t>
  </si>
  <si>
    <t>NABILA MUFIDA WIBOWO</t>
  </si>
  <si>
    <t>0102886558</t>
  </si>
  <si>
    <t>NAILA NUR WAHIDAH</t>
  </si>
  <si>
    <t>0102441709</t>
  </si>
  <si>
    <t>NAJWA HAURAA ANDAIRY</t>
  </si>
  <si>
    <t>0096736526</t>
  </si>
  <si>
    <t>NAOMI AISYAH PUTRI</t>
  </si>
  <si>
    <t>0096349883</t>
  </si>
  <si>
    <t>NASYFA AULIA ADINDA</t>
  </si>
  <si>
    <t>0094764923</t>
  </si>
  <si>
    <t>OKTARINA RAHMA GUTOMO</t>
  </si>
  <si>
    <t>3106616419</t>
  </si>
  <si>
    <t>PAZIA NERISSA ARVIANA</t>
  </si>
  <si>
    <t>0096463546</t>
  </si>
  <si>
    <t>PUTRI CAHYATI</t>
  </si>
  <si>
    <t>0093078194</t>
  </si>
  <si>
    <t>PUTRI KHOIRUN NISA</t>
  </si>
  <si>
    <t>0092976783</t>
  </si>
  <si>
    <t>QONITA NAILA HAZNA</t>
  </si>
  <si>
    <t>T</t>
  </si>
  <si>
    <t>0102808328</t>
  </si>
  <si>
    <t>RAFKA MUHAMMAD ZHAFIR</t>
  </si>
  <si>
    <t>0097062408</t>
  </si>
  <si>
    <t>REVALIA PUTRI PERMATA</t>
  </si>
  <si>
    <t>0099456679</t>
  </si>
  <si>
    <t>SALSABILA ADHA NURSYIFA</t>
  </si>
  <si>
    <t>3103406646</t>
  </si>
  <si>
    <t>SALWA APRILIANI</t>
  </si>
  <si>
    <t>0106597443</t>
  </si>
  <si>
    <t>SANITIA CLARAHATI</t>
  </si>
  <si>
    <t>0095304292</t>
  </si>
  <si>
    <t xml:space="preserve">SELPI FITRIANI </t>
  </si>
  <si>
    <t>0093717009</t>
  </si>
  <si>
    <t>SINTIA NURAINI</t>
  </si>
  <si>
    <t>3088252579</t>
  </si>
  <si>
    <t>SITI AYRA NUR RAMADHANY</t>
  </si>
  <si>
    <t>0107962953</t>
  </si>
  <si>
    <t>SYAIMAA ZUHRA HUMAIRA</t>
  </si>
  <si>
    <t>0081369077</t>
  </si>
  <si>
    <t>ZAHRA AL QODRI NURHERMAWAN</t>
  </si>
  <si>
    <t>Kelas : XI-2</t>
  </si>
  <si>
    <t>YULI YULIANTI, S.Pd</t>
  </si>
  <si>
    <t>13-8-2026</t>
  </si>
  <si>
    <t>20-8</t>
  </si>
  <si>
    <t>27-8</t>
  </si>
  <si>
    <t>0097576092</t>
  </si>
  <si>
    <t>ANNISA AULIA HAFIDZAH</t>
  </si>
  <si>
    <t>0094702205</t>
  </si>
  <si>
    <t>ARGA DEVRIKA HUSAENI</t>
  </si>
  <si>
    <t>y</t>
  </si>
  <si>
    <t>0108720269</t>
  </si>
  <si>
    <t>AULIA SYIFA NURUL 'AINI</t>
  </si>
  <si>
    <t>0099025922</t>
  </si>
  <si>
    <t>AURA ARUM RAMADHANI</t>
  </si>
  <si>
    <t>0102789907</t>
  </si>
  <si>
    <t>AZZIRA SYIFA SUPANGAT</t>
  </si>
  <si>
    <t>0098071928</t>
  </si>
  <si>
    <t>BAMBANG MOHAMMAD WILDAN</t>
  </si>
  <si>
    <t>0106363954</t>
  </si>
  <si>
    <t>CHRISTIAN HOT TUA MANIK</t>
  </si>
  <si>
    <t>0098140185</t>
  </si>
  <si>
    <t>DAFFA NAZAR PRATAMA</t>
  </si>
  <si>
    <t>0091373266</t>
  </si>
  <si>
    <t>DE SILVA NURHALIZZA</t>
  </si>
  <si>
    <t>0092251221</t>
  </si>
  <si>
    <t>DEA SEPTIANI</t>
  </si>
  <si>
    <t>0091848369</t>
  </si>
  <si>
    <t>DESTRIDA RAZAN HANIFAH</t>
  </si>
  <si>
    <t>0092173922</t>
  </si>
  <si>
    <t>DHAFIN RAZAQA PUTRA</t>
  </si>
  <si>
    <t>0105126772</t>
  </si>
  <si>
    <t>DINI IRA RAHMAWATI</t>
  </si>
  <si>
    <t>0109172146</t>
  </si>
  <si>
    <t>DYLLA AZZAHRA</t>
  </si>
  <si>
    <t>D</t>
  </si>
  <si>
    <t>0107422684</t>
  </si>
  <si>
    <t>FAKHIRA NADHIFA SALSABILA</t>
  </si>
  <si>
    <t>3103985470</t>
  </si>
  <si>
    <t>FIKRYAN AJI SATRIA</t>
  </si>
  <si>
    <t>0103516461</t>
  </si>
  <si>
    <t>FIRMAN AIDIL FEBRIYANA</t>
  </si>
  <si>
    <t>0101417376</t>
  </si>
  <si>
    <t>HAIKAL PUTRA PAMUNGKAS</t>
  </si>
  <si>
    <t>0093128356</t>
  </si>
  <si>
    <t>IMAN SETIADI</t>
  </si>
  <si>
    <t>t</t>
  </si>
  <si>
    <t>0108632502</t>
  </si>
  <si>
    <t xml:space="preserve">ISAL MAULANA </t>
  </si>
  <si>
    <t>0099707284</t>
  </si>
  <si>
    <t>JIHAN ROSYIDAH ARIJ</t>
  </si>
  <si>
    <t>0106749156</t>
  </si>
  <si>
    <t>KAREN</t>
  </si>
  <si>
    <t>0095996130</t>
  </si>
  <si>
    <t>KEVIN CHRISTIAN</t>
  </si>
  <si>
    <t>0104062616</t>
  </si>
  <si>
    <t>KEYLA PUTRI APRILIA</t>
  </si>
  <si>
    <t>KHAYLA KAYYASAH</t>
  </si>
  <si>
    <t>0093546032</t>
  </si>
  <si>
    <t>LAILA FITRIA</t>
  </si>
  <si>
    <t>0094490178</t>
  </si>
  <si>
    <t>MOCHAMMAD DESTA ANUGERAH</t>
  </si>
  <si>
    <t>0095366693</t>
  </si>
  <si>
    <t>MUHAMAD PANJI ANUGRAH PRATAMA</t>
  </si>
  <si>
    <t>0091176438</t>
  </si>
  <si>
    <t>MUHAMMAD NUR IQBAL</t>
  </si>
  <si>
    <t>0095740480</t>
  </si>
  <si>
    <t>MUTIARA LESTARI</t>
  </si>
  <si>
    <t>0094789529</t>
  </si>
  <si>
    <t>MUTIARA RAHMADEWI</t>
  </si>
  <si>
    <t>0108682068</t>
  </si>
  <si>
    <t>NADZIFA ZIVANA LETISYA</t>
  </si>
  <si>
    <t>3099921407</t>
  </si>
  <si>
    <t>NASYA QUROTUL AIN</t>
  </si>
  <si>
    <t>0096874094</t>
  </si>
  <si>
    <t xml:space="preserve">NENG RAYSYA AFRILIYANI </t>
  </si>
  <si>
    <t>0104824715</t>
  </si>
  <si>
    <t>PUTRI JAHWA JAHIATUL MA'WA</t>
  </si>
  <si>
    <t>0091726004</t>
  </si>
  <si>
    <t>QUINSHA ALMIRA SOFIAN</t>
  </si>
  <si>
    <t>0103004404</t>
  </si>
  <si>
    <t>RAFI AHMAD BASIL IBNI MAULUDI</t>
  </si>
  <si>
    <t>0101974343</t>
  </si>
  <si>
    <t>RAINA WULAN JANI</t>
  </si>
  <si>
    <t>0104732085</t>
  </si>
  <si>
    <t>REZQI NURASSYIFA RAMADHANI</t>
  </si>
  <si>
    <t>0096910060</t>
  </si>
  <si>
    <t>RHIZKY AULIA NOPIANDI</t>
  </si>
  <si>
    <t>0109712566</t>
  </si>
  <si>
    <t>RINDU ZIDNI ZAKIA</t>
  </si>
  <si>
    <t>0098070730</t>
  </si>
  <si>
    <t>SALVIA ASTI KIRANA</t>
  </si>
  <si>
    <t>0091375849</t>
  </si>
  <si>
    <t>SARAH</t>
  </si>
  <si>
    <t>0093746559</t>
  </si>
  <si>
    <t>SHERLY MAHARANI</t>
  </si>
  <si>
    <t>3090259322</t>
  </si>
  <si>
    <t>SYAFA FITRIANI</t>
  </si>
  <si>
    <t>0095793149</t>
  </si>
  <si>
    <t>ULKIYA AHSANI</t>
  </si>
  <si>
    <t>0097882962</t>
  </si>
  <si>
    <t>YULIAWATI</t>
  </si>
  <si>
    <t>0092078296</t>
  </si>
  <si>
    <t>YURA LINTANG HAURA SAKHI</t>
  </si>
  <si>
    <t>Kelas : XI-3</t>
  </si>
  <si>
    <t>NENGSIH, S.Pd.</t>
  </si>
  <si>
    <t xml:space="preserve">13-8-2026 </t>
  </si>
  <si>
    <t>0106581953</t>
  </si>
  <si>
    <t>ABDURRAHMAN HAFIDZ ANBIASYAH</t>
  </si>
  <si>
    <t>0094417258</t>
  </si>
  <si>
    <t>ADYA SYAQUEENLA CHAIRUNISSA</t>
  </si>
  <si>
    <t>0102013454</t>
  </si>
  <si>
    <t>AGHNIYA NURUL AENI</t>
  </si>
  <si>
    <t>0091334058</t>
  </si>
  <si>
    <t>AGNIS REZKYA PUTRI</t>
  </si>
  <si>
    <t>0109039069</t>
  </si>
  <si>
    <t>AMBAR PUSPITA AYUNINGTIAS</t>
  </si>
  <si>
    <t>0108392745</t>
  </si>
  <si>
    <t>ANISA WANTI NURAINI</t>
  </si>
  <si>
    <t>0092045991</t>
  </si>
  <si>
    <t>ANNISA DENIYATI</t>
  </si>
  <si>
    <t>0104420364</t>
  </si>
  <si>
    <t>ARVENILLA HANIFAH FEBRIYANTI</t>
  </si>
  <si>
    <t>sakit</t>
  </si>
  <si>
    <t>0092958886</t>
  </si>
  <si>
    <t>ASHILA MEY SALSABILA</t>
  </si>
  <si>
    <t>0092780358</t>
  </si>
  <si>
    <t>AYU ARIYANTI</t>
  </si>
  <si>
    <t>0104430518</t>
  </si>
  <si>
    <t>CALVIN NAIBAHO</t>
  </si>
  <si>
    <t>0099418434</t>
  </si>
  <si>
    <t>CUT KEYLA KITAMI</t>
  </si>
  <si>
    <t>0095959355</t>
  </si>
  <si>
    <t>GHIANDA CETTA DESTRIANTI</t>
  </si>
  <si>
    <t>0099298770</t>
  </si>
  <si>
    <t xml:space="preserve">KAISAR HAFIIZHAN ALMAN HAKIM SOPIAN </t>
  </si>
  <si>
    <t>3097211597</t>
  </si>
  <si>
    <t>KANZA BERLIANA</t>
  </si>
  <si>
    <t>0109786777</t>
  </si>
  <si>
    <t>KHIRANIA SITI FATIMAH</t>
  </si>
  <si>
    <t>0096890249</t>
  </si>
  <si>
    <t>KIFA AGUSTINA AZ-ZAHRA</t>
  </si>
  <si>
    <t>0101777497</t>
  </si>
  <si>
    <t>MEIKAL PUTRA BANI PERDANA</t>
  </si>
  <si>
    <t>0093844464</t>
  </si>
  <si>
    <t>MUHAMAD ARIF AL AZMI</t>
  </si>
  <si>
    <t>0103699880</t>
  </si>
  <si>
    <t>MUHAMAD REVAN SAPUTRA</t>
  </si>
  <si>
    <t>alfa</t>
  </si>
  <si>
    <t>0095357994</t>
  </si>
  <si>
    <t>MUHAMMAD AHNAF NURRAHMAN</t>
  </si>
  <si>
    <t>0092211307</t>
  </si>
  <si>
    <t>NADYA KAMILA WIJAYANTI</t>
  </si>
  <si>
    <t>0108649061</t>
  </si>
  <si>
    <t>NARA PONGBALA LAKKA</t>
  </si>
  <si>
    <t>0102638303</t>
  </si>
  <si>
    <t>NAYLA ZULFA SAPHIRA</t>
  </si>
  <si>
    <t>0102005915</t>
  </si>
  <si>
    <t xml:space="preserve">NAYSILA YULIANTIKA HARYADI </t>
  </si>
  <si>
    <t>0104492197</t>
  </si>
  <si>
    <t>PUTRI NAFEESA FAUZIYA</t>
  </si>
  <si>
    <t>0093147419</t>
  </si>
  <si>
    <t>RAISYA NUR SIFA</t>
  </si>
  <si>
    <t>0103232174</t>
  </si>
  <si>
    <t>RAMIRA SITI AISYAH</t>
  </si>
  <si>
    <t>0096988018</t>
  </si>
  <si>
    <t>RANGGA DWI KURNIYANTO</t>
  </si>
  <si>
    <t>0093879464</t>
  </si>
  <si>
    <t>RASHEESA SALIMA YASMINE</t>
  </si>
  <si>
    <t>0098266032</t>
  </si>
  <si>
    <t>REGINA MELIANI PUTRI</t>
  </si>
  <si>
    <t>0093057141</t>
  </si>
  <si>
    <t>RESHA RISKI NUR FADLI</t>
  </si>
  <si>
    <t>0096125298</t>
  </si>
  <si>
    <t>REVALINA DWI JULIANI</t>
  </si>
  <si>
    <t>0109568036</t>
  </si>
  <si>
    <t>REYHAN FAJAR JUNIAN</t>
  </si>
  <si>
    <t>0103346907</t>
  </si>
  <si>
    <t>REYNAYA MEGANTARA PUTRA</t>
  </si>
  <si>
    <t>0092378871</t>
  </si>
  <si>
    <t>REZKY FEBRIANSYAH</t>
  </si>
  <si>
    <t>0091011203</t>
  </si>
  <si>
    <t>RISKI PADILAH</t>
  </si>
  <si>
    <t>0093505269</t>
  </si>
  <si>
    <t>SALSA BILLA SOFFA</t>
  </si>
  <si>
    <t>0097820991</t>
  </si>
  <si>
    <t>SALSABILA RUSNADI</t>
  </si>
  <si>
    <t>0093863289</t>
  </si>
  <si>
    <t>SALWA ADINDA NUR RIZKIA</t>
  </si>
  <si>
    <t>0102163667</t>
  </si>
  <si>
    <t>SETRI KENDRAN WIMAYA</t>
  </si>
  <si>
    <t>0109217890</t>
  </si>
  <si>
    <t>SHAQINA ARIANI ORYZA YULFAN</t>
  </si>
  <si>
    <t>0107601133</t>
  </si>
  <si>
    <t>TIARA DWI NURKHASANAH</t>
  </si>
  <si>
    <t>0093277811</t>
  </si>
  <si>
    <t>ZAHROTUS SITA RAHMANI</t>
  </si>
  <si>
    <t>0095240910</t>
  </si>
  <si>
    <t>ZASKIA OKTAVIA PUTRI</t>
  </si>
  <si>
    <t>Kelas : XI-4</t>
  </si>
  <si>
    <t>RIRIN WAHYU SETYAWATI, M.Pd</t>
  </si>
  <si>
    <t>0109457960</t>
  </si>
  <si>
    <t>ADITYA HERDIANSAH PRATAMA</t>
  </si>
  <si>
    <t>0102770762</t>
  </si>
  <si>
    <t>AGNIYA GHEA ANGGINI</t>
  </si>
  <si>
    <t>0098216101</t>
  </si>
  <si>
    <t>AKHDAM MAULANA RIZKY</t>
  </si>
  <si>
    <t>0093890203</t>
  </si>
  <si>
    <t>ALIF KHOLIFAH KHOIRUN NISA</t>
  </si>
  <si>
    <t>0103349724</t>
  </si>
  <si>
    <t>ARKAN KHAIRY RAHMAN</t>
  </si>
  <si>
    <t>0095373893</t>
  </si>
  <si>
    <t>ARLI AYU RAFEYFA</t>
  </si>
  <si>
    <t>0092724912</t>
  </si>
  <si>
    <t>AYU FARIDA LESTARI</t>
  </si>
  <si>
    <t>0107212124</t>
  </si>
  <si>
    <t>CALLYSTA NADEEN PALACITA</t>
  </si>
  <si>
    <t>0101418535</t>
  </si>
  <si>
    <t>CHIKA MEISYA PUTRI</t>
  </si>
  <si>
    <t>0095180836</t>
  </si>
  <si>
    <t>DEPSA EKA NUGRAHA</t>
  </si>
  <si>
    <t>0092813844</t>
  </si>
  <si>
    <t>DESRA DWI CAYLA</t>
  </si>
  <si>
    <t>0098386690</t>
  </si>
  <si>
    <t>DHIKA PRADITA</t>
  </si>
  <si>
    <t>0108041057</t>
  </si>
  <si>
    <t>DINDA PUTRI NAZHWA</t>
  </si>
  <si>
    <t>0095773245</t>
  </si>
  <si>
    <t>FAHRA FAUZIYAH</t>
  </si>
  <si>
    <t>0096173312</t>
  </si>
  <si>
    <t>FARRAS AMELIA HAFIZHAH</t>
  </si>
  <si>
    <t>0093697531</t>
  </si>
  <si>
    <t>FATQI ROUDATUL AFNAN</t>
  </si>
  <si>
    <t>0094586558</t>
  </si>
  <si>
    <t>FITRI NURHASANAH</t>
  </si>
  <si>
    <t>0105807615</t>
  </si>
  <si>
    <t>ISAIAH KENNETH ONGGELENG</t>
  </si>
  <si>
    <t>0093740289</t>
  </si>
  <si>
    <t>KAI AULIA PUTRI SUPARDAN</t>
  </si>
  <si>
    <t>0106266606</t>
  </si>
  <si>
    <t>KAILA RAISHA PUTRI</t>
  </si>
  <si>
    <t>0091297067</t>
  </si>
  <si>
    <t>KAYRA ELVRIKA ALQONITA</t>
  </si>
  <si>
    <t>0107159648</t>
  </si>
  <si>
    <t>LAYLA NUR ANNISAH</t>
  </si>
  <si>
    <t>0095989975</t>
  </si>
  <si>
    <t>LIANY NURSYIFA</t>
  </si>
  <si>
    <t>0096405007</t>
  </si>
  <si>
    <t>LOVELY PRISCILLA AUDREY</t>
  </si>
  <si>
    <t>0092491927</t>
  </si>
  <si>
    <t>MEGA PUTRI AGUSTINA</t>
  </si>
  <si>
    <t>0094977789</t>
  </si>
  <si>
    <t>MELANI NURHAFIZA</t>
  </si>
  <si>
    <t>0091285839</t>
  </si>
  <si>
    <t>MELVY ARRIFAH PUTERI NADIN</t>
  </si>
  <si>
    <t>0103480874</t>
  </si>
  <si>
    <t>MUHAMAD FAHRI RIZWAN</t>
  </si>
  <si>
    <t>0092938074</t>
  </si>
  <si>
    <t>MUHAMMAD ARYA PUTRA LAKSONO</t>
  </si>
  <si>
    <t>0109875071</t>
  </si>
  <si>
    <t>NABIL MUKARROM</t>
  </si>
  <si>
    <t>0096836853</t>
  </si>
  <si>
    <t>NABILA AURELLA PUTRI</t>
  </si>
  <si>
    <t>0095256903</t>
  </si>
  <si>
    <t>NABILA MEYJULLIANI</t>
  </si>
  <si>
    <t>0104093360</t>
  </si>
  <si>
    <t>NADIVA NURUL ASYIFA</t>
  </si>
  <si>
    <t>0095993145</t>
  </si>
  <si>
    <t>NAIIFAH NUR UMAIMAH</t>
  </si>
  <si>
    <t>0106503883</t>
  </si>
  <si>
    <t>NAILAH NUR SALSABILA ROCHSIDI</t>
  </si>
  <si>
    <t>0099657194</t>
  </si>
  <si>
    <t>NAOMI ANJANI</t>
  </si>
  <si>
    <t>0092354509</t>
  </si>
  <si>
    <t>NAYLA MUTHI SUBARKAH</t>
  </si>
  <si>
    <t>0098411545</t>
  </si>
  <si>
    <t>NI PUTU GALUNG SUCIHATI DEWANTI</t>
  </si>
  <si>
    <t>0104010951</t>
  </si>
  <si>
    <t>NISSA NURHANIFAH</t>
  </si>
  <si>
    <t>0109111229</t>
  </si>
  <si>
    <t>NYIMAS MEIRIZA GHINAA SYAAKIRAH</t>
  </si>
  <si>
    <t>0099124424</t>
  </si>
  <si>
    <t>RAFFA RIZKY ALFATHIANTO</t>
  </si>
  <si>
    <t>0097293475</t>
  </si>
  <si>
    <t>RIKA AMELIA JAELANI</t>
  </si>
  <si>
    <t>0098453109</t>
  </si>
  <si>
    <t>SALMA JUNIAR SUFYAN PUTRI</t>
  </si>
  <si>
    <t>0099444664</t>
  </si>
  <si>
    <t>SINTA AGUSTINA</t>
  </si>
  <si>
    <t>0093085474</t>
  </si>
  <si>
    <t>SITI MAEMUNAH RAHMADANI</t>
  </si>
  <si>
    <t>0109791707</t>
  </si>
  <si>
    <t>SYERA AURELIA AZAHRA AZKIYA KURNIAWAN</t>
  </si>
  <si>
    <t>Kelas : XI-5</t>
  </si>
  <si>
    <t>RAZZIB ZABBALL NOOR, S.Kom</t>
  </si>
  <si>
    <t>0093748866</t>
  </si>
  <si>
    <t>AJI ANANDA HERMAWAN</t>
  </si>
  <si>
    <t>0095424006</t>
  </si>
  <si>
    <t>ARYA MADA</t>
  </si>
  <si>
    <t>0099618567</t>
  </si>
  <si>
    <t>ARYA RAMADHAN</t>
  </si>
  <si>
    <t>0103625839</t>
  </si>
  <si>
    <t>AZZAHRA NUR AZIZZAH</t>
  </si>
  <si>
    <t>0095598561</t>
  </si>
  <si>
    <t>BISMA PRIAMBODO</t>
  </si>
  <si>
    <t>0102702837</t>
  </si>
  <si>
    <t>CALLISTA LUVENA ZANTIANO</t>
  </si>
  <si>
    <t>3099740259</t>
  </si>
  <si>
    <t>DARA ELVARIA ZULIA</t>
  </si>
  <si>
    <t>0096565992</t>
  </si>
  <si>
    <t>DENIA ARIFRIANTY</t>
  </si>
  <si>
    <t>0096845256</t>
  </si>
  <si>
    <t>DIAN INTAN FITRI ASTUTI</t>
  </si>
  <si>
    <t>0096676760</t>
  </si>
  <si>
    <t>DINDA AJENG PRATIWI</t>
  </si>
  <si>
    <t>0098273579</t>
  </si>
  <si>
    <t>DITHA AULIA LATHIFAH</t>
  </si>
  <si>
    <t>0092909295</t>
  </si>
  <si>
    <t>FELLISA PUTRIANI</t>
  </si>
  <si>
    <t>0109789387</t>
  </si>
  <si>
    <t>FIRAS ILMI CAHYADIN</t>
  </si>
  <si>
    <t>0105072916</t>
  </si>
  <si>
    <t>HILMAN ARDIANSYAH UTAMA</t>
  </si>
  <si>
    <t>0098933247</t>
  </si>
  <si>
    <t>IMAM HERDIANA</t>
  </si>
  <si>
    <t>0095420394</t>
  </si>
  <si>
    <t>INTAN CAHYA KAMILA</t>
  </si>
  <si>
    <t>0099253155</t>
  </si>
  <si>
    <t>KEYZHA RAFFA ALBHANI</t>
  </si>
  <si>
    <t>0101457855</t>
  </si>
  <si>
    <t>MELATI PUSPITA KIRANI</t>
  </si>
  <si>
    <t>0104137856</t>
  </si>
  <si>
    <t>MIKHA SISILIA MARBUN</t>
  </si>
  <si>
    <t>0093418588</t>
  </si>
  <si>
    <t>MOUZA PAULIN METTANURI</t>
  </si>
  <si>
    <t>0104235295</t>
  </si>
  <si>
    <t>MUHAMAD EMAAR</t>
  </si>
  <si>
    <t>0097267356</t>
  </si>
  <si>
    <t>MUHAMAD FATHIR VANDIAZ</t>
  </si>
  <si>
    <t>0106934271</t>
  </si>
  <si>
    <t>MUHAMMAD LUTFI SOLEHUDDIN</t>
  </si>
  <si>
    <t>0108380586</t>
  </si>
  <si>
    <t>MUHAMMAD NUR GHANI</t>
  </si>
  <si>
    <t>0097596437</t>
  </si>
  <si>
    <t>MUHAMMAD RAKA IMANSYAH</t>
  </si>
  <si>
    <t>0104468091</t>
  </si>
  <si>
    <t>NAILA IKRIMATUN NISA</t>
  </si>
  <si>
    <t>0104433358</t>
  </si>
  <si>
    <t>NANDA SHAFA KIRANA</t>
  </si>
  <si>
    <t>0093135008</t>
  </si>
  <si>
    <t>NURUL AZKIYA</t>
  </si>
  <si>
    <t>3105531281</t>
  </si>
  <si>
    <t>RADITHYA JAVAS DWIKUSUMA</t>
  </si>
  <si>
    <t>0097514805</t>
  </si>
  <si>
    <t>RAFLI ABDUL MAULANA</t>
  </si>
  <si>
    <t>0099138581</t>
  </si>
  <si>
    <t>RAYSHA AZZAHRA</t>
  </si>
  <si>
    <t>0098032115</t>
  </si>
  <si>
    <t>REYHAN RIZQI ANUGRAH</t>
  </si>
  <si>
    <t>0091512312</t>
  </si>
  <si>
    <t>REYSA NUR'AENI</t>
  </si>
  <si>
    <t>0108972953</t>
  </si>
  <si>
    <t>RIANTI AL JAELANI</t>
  </si>
  <si>
    <t>0107321707</t>
  </si>
  <si>
    <t>RIFKI RADITYA</t>
  </si>
  <si>
    <t>0099206623</t>
  </si>
  <si>
    <t>RIZKI PRADITIA RAMADAN</t>
  </si>
  <si>
    <t>0099647550</t>
  </si>
  <si>
    <t>SAMMY ANANDA OKTAVIAN</t>
  </si>
  <si>
    <t>0099745781</t>
  </si>
  <si>
    <t>SHIFA NURAENI</t>
  </si>
  <si>
    <t>0097814810</t>
  </si>
  <si>
    <t>SIRHAN GHAZI ABYAZ SANJAYA</t>
  </si>
  <si>
    <t>0106529357</t>
  </si>
  <si>
    <t>SYERINA ASIFA NAZRILA</t>
  </si>
  <si>
    <t>0097969720</t>
  </si>
  <si>
    <t>TEGAR RAMADHAN</t>
  </si>
  <si>
    <t>0096156650</t>
  </si>
  <si>
    <t>TUBAGUS MUHAMMAD RAFA</t>
  </si>
  <si>
    <t>0097233735</t>
  </si>
  <si>
    <t>VANESSA ELVARETTA ECHA ZAHRA</t>
  </si>
  <si>
    <t>3094442744</t>
  </si>
  <si>
    <t>VERN AULIYA GASSANI</t>
  </si>
  <si>
    <t>0098170555</t>
  </si>
  <si>
    <t>WIRA DENTA RUKMANTARA</t>
  </si>
  <si>
    <t>0096322725</t>
  </si>
  <si>
    <t>YOGA ILHAM PUTRA ARDIANSYAH</t>
  </si>
  <si>
    <t>Kelas : XI-6</t>
  </si>
  <si>
    <t>DHEA PUTRI MUNGGARAN, S.Pd</t>
  </si>
  <si>
    <t>0091101305</t>
  </si>
  <si>
    <t>AGRA PUTRA PRATAMA</t>
  </si>
  <si>
    <t>0093563129</t>
  </si>
  <si>
    <t>AHMAD ADLU ROZZAQ</t>
  </si>
  <si>
    <t>0094287896</t>
  </si>
  <si>
    <t>ALBAR MUTAALI</t>
  </si>
  <si>
    <t>0093782401</t>
  </si>
  <si>
    <t>ANGGA FAJAR MAULANA DAUD</t>
  </si>
  <si>
    <t>0108115840</t>
  </si>
  <si>
    <t>AZRIL MAULANA ISMAIL</t>
  </si>
  <si>
    <t>0092032091</t>
  </si>
  <si>
    <t>CAROLINE</t>
  </si>
  <si>
    <t>0097604287</t>
  </si>
  <si>
    <t>CHEISYA YOLLANDA PUTRI AZKIA</t>
  </si>
  <si>
    <t>0103120821</t>
  </si>
  <si>
    <t>DANISH ARKAN MULYAWAN</t>
  </si>
  <si>
    <t>0107471819</t>
  </si>
  <si>
    <t>FAKHRII ARKAAN NASHRULLAH</t>
  </si>
  <si>
    <t>0095257514</t>
  </si>
  <si>
    <t>HABIB RISKI AL BHANI</t>
  </si>
  <si>
    <t>0095325840</t>
  </si>
  <si>
    <t>HASAN MAULANA</t>
  </si>
  <si>
    <t>0092455439</t>
  </si>
  <si>
    <t>HELMINA</t>
  </si>
  <si>
    <t>0099722874</t>
  </si>
  <si>
    <t>HESTI MELINA MUSAROH</t>
  </si>
  <si>
    <t>3096941268</t>
  </si>
  <si>
    <t>IBNU SALMAN ARRAYYHANIFA</t>
  </si>
  <si>
    <t>0093974494</t>
  </si>
  <si>
    <t>ICHA DESWITA</t>
  </si>
  <si>
    <t>0094086248</t>
  </si>
  <si>
    <t>IKRAM GIBRAN DZIAULHAQ</t>
  </si>
  <si>
    <t>0105603849</t>
  </si>
  <si>
    <t>ILMIRA NURIL HAFSHAH</t>
  </si>
  <si>
    <t>0103129180</t>
  </si>
  <si>
    <t>INTAN RIYANI</t>
  </si>
  <si>
    <t>0094991839</t>
  </si>
  <si>
    <t>KAILA ICA KHAIRUNISA</t>
  </si>
  <si>
    <t>0108284559</t>
  </si>
  <si>
    <t>KAMELIA ARBA INARUS</t>
  </si>
  <si>
    <t>0102507482</t>
  </si>
  <si>
    <t>M. DWI SATRIYO SUDRAJAT</t>
  </si>
  <si>
    <t>0108158380</t>
  </si>
  <si>
    <t>MAMLUATUL AZIZAH</t>
  </si>
  <si>
    <t>0105726150</t>
  </si>
  <si>
    <t>MARSYA SEVYANA</t>
  </si>
  <si>
    <t>0104372413</t>
  </si>
  <si>
    <t>MUHAMAD HILMY HILMAWAN</t>
  </si>
  <si>
    <t>0096194337</t>
  </si>
  <si>
    <t>MUHAMMAD RAKHA SATRIA WIDYATAMA</t>
  </si>
  <si>
    <t>3096412917</t>
  </si>
  <si>
    <t>MUHAMMAD REZA ABDILLAH</t>
  </si>
  <si>
    <t>0096133443</t>
  </si>
  <si>
    <t>NABILA LUTHFIANA FATHIN</t>
  </si>
  <si>
    <t>3096598873</t>
  </si>
  <si>
    <t>NABILA RAHMAWATI</t>
  </si>
  <si>
    <t>0098911128</t>
  </si>
  <si>
    <t>NAFISAH NAILAL HUSNA</t>
  </si>
  <si>
    <t>0102257730</t>
  </si>
  <si>
    <t>NANDA LESTARI</t>
  </si>
  <si>
    <t>0101695135</t>
  </si>
  <si>
    <t>NATASYA AMELIA PUTRI</t>
  </si>
  <si>
    <t>0098088869</t>
  </si>
  <si>
    <t>NOVAL AZMI ARIZKY</t>
  </si>
  <si>
    <t>0093660173</t>
  </si>
  <si>
    <t>NULA RISZENA ZISKIND</t>
  </si>
  <si>
    <t>0096265739</t>
  </si>
  <si>
    <t>PUTRA PERMANA SIDIK</t>
  </si>
  <si>
    <t>0092504240</t>
  </si>
  <si>
    <t>PUTRI SANJAYA</t>
  </si>
  <si>
    <t>0097245052</t>
  </si>
  <si>
    <t>RADITYA AL KIANDRA</t>
  </si>
  <si>
    <t>0098336278</t>
  </si>
  <si>
    <t>RAFFA ATHAYA SYAILENDRA</t>
  </si>
  <si>
    <t>0104773024</t>
  </si>
  <si>
    <t>REZKY FEBRIAN SANTOSO</t>
  </si>
  <si>
    <t>0103181045</t>
  </si>
  <si>
    <t>RISMA ANZANI FITRIANI</t>
  </si>
  <si>
    <t>0104213401</t>
  </si>
  <si>
    <t>SAFA AYUDIA PUTRI SETIYAWAN</t>
  </si>
  <si>
    <t>0102934008</t>
  </si>
  <si>
    <t>SHOPIA KHAIRUNISA</t>
  </si>
  <si>
    <t>0096817934</t>
  </si>
  <si>
    <t>SILFA SULIASTI NURUL HIJJAH</t>
  </si>
  <si>
    <t>0108131974</t>
  </si>
  <si>
    <t>SILVI PUTRI KAMILAH</t>
  </si>
  <si>
    <t>0092728022</t>
  </si>
  <si>
    <t>STEPHEN ADITYA PRATAMA SINAGA</t>
  </si>
  <si>
    <t>0091389933</t>
  </si>
  <si>
    <t>SYAFIRA ELVIANA ULVI</t>
  </si>
  <si>
    <t>0106490261</t>
  </si>
  <si>
    <t>WINDA AGUSTIN</t>
  </si>
  <si>
    <t>0097608910</t>
  </si>
  <si>
    <t>ZIHAN PRICILLA</t>
  </si>
  <si>
    <t>Laki-Laki</t>
  </si>
  <si>
    <t>Kelas : XI-7</t>
  </si>
  <si>
    <t>INTAN MAENATI, S.Pd</t>
  </si>
  <si>
    <t>0098811368</t>
  </si>
  <si>
    <t>ABYAZ SALIH HAQ</t>
  </si>
  <si>
    <t>0095795749</t>
  </si>
  <si>
    <t>ALDIARRISYAD FATHAN ZAKI</t>
  </si>
  <si>
    <t>0092572153</t>
  </si>
  <si>
    <t>ALEXANDRIA RAFAEL SINAGA</t>
  </si>
  <si>
    <t>0097197250</t>
  </si>
  <si>
    <t>ALFAREZ MEGANTARA</t>
  </si>
  <si>
    <t>0104606607</t>
  </si>
  <si>
    <t>ALIF RAFKA WIJAYA</t>
  </si>
  <si>
    <t>0092320462</t>
  </si>
  <si>
    <t>ANUGRAH ROLAS MARTUA MANALU</t>
  </si>
  <si>
    <t>0104417893</t>
  </si>
  <si>
    <t>ARDIANSYAH PUTRA</t>
  </si>
  <si>
    <t>0096128065</t>
  </si>
  <si>
    <t>ARYA PRATAMA</t>
  </si>
  <si>
    <t>0098239827</t>
  </si>
  <si>
    <t>AZKA MAYLA KHANSA</t>
  </si>
  <si>
    <t>0095113644</t>
  </si>
  <si>
    <t>BELLA ANASTASYA HENDRYANI</t>
  </si>
  <si>
    <t>0103181175</t>
  </si>
  <si>
    <t>BILLY PANGESTIAN</t>
  </si>
  <si>
    <t>0096706231</t>
  </si>
  <si>
    <t>CHELSEA DWI AYUNINGTYAS</t>
  </si>
  <si>
    <t>0106582840</t>
  </si>
  <si>
    <t>DAVINA ARDIA ANASTASYA PUTRI</t>
  </si>
  <si>
    <t>0099189062</t>
  </si>
  <si>
    <t>DWI APSHEL AL NURANSHAH</t>
  </si>
  <si>
    <t>0103496806</t>
  </si>
  <si>
    <t>EVAN FEBRIANSYAH</t>
  </si>
  <si>
    <t>0091054398</t>
  </si>
  <si>
    <t>FABIAN RAMADHAN MAULIANA</t>
  </si>
  <si>
    <t>3096607280</t>
  </si>
  <si>
    <t>IBRAHIM ABDILLAH GHAELANI JAMALUDIN</t>
  </si>
  <si>
    <t>0091345868</t>
  </si>
  <si>
    <t>INDRA NUR CAHYANTO</t>
  </si>
  <si>
    <t>0104612361</t>
  </si>
  <si>
    <t>IREN SYAFITRI</t>
  </si>
  <si>
    <t>0093613966</t>
  </si>
  <si>
    <t>KAILA JUSTINE FAWWAZ</t>
  </si>
  <si>
    <t>0098746493</t>
  </si>
  <si>
    <t>KEISHA PUTRI ANDRIANI</t>
  </si>
  <si>
    <t>0094628236</t>
  </si>
  <si>
    <t>LUTHFI FAUZAN PRAYATA</t>
  </si>
  <si>
    <t>0098443098</t>
  </si>
  <si>
    <t>MOCHAMAD JABAR ALFARIZI</t>
  </si>
  <si>
    <t>0102204828</t>
  </si>
  <si>
    <t>MOCHAMMAD SATRIA RAHMAT JANUAR</t>
  </si>
  <si>
    <t>0096457486</t>
  </si>
  <si>
    <t>MUHAMMAD DHAFIN AR RAZI</t>
  </si>
  <si>
    <t>0093185387</t>
  </si>
  <si>
    <t>MUHAMMAD FAHRIZAL KUSMAYADI</t>
  </si>
  <si>
    <t>0093743323</t>
  </si>
  <si>
    <t>MUHAMMAD RAUFA ALTHAF ANHAR</t>
  </si>
  <si>
    <t>3109423529</t>
  </si>
  <si>
    <t>MUHAMMAD REYHAN HAIDAR RAHADIAN</t>
  </si>
  <si>
    <t>0095527700</t>
  </si>
  <si>
    <t>MUHAMMAD ZAQI AKBAR</t>
  </si>
  <si>
    <t>0096929849</t>
  </si>
  <si>
    <t>NABILA AGUSTINA SETIAWAN</t>
  </si>
  <si>
    <t>0104359532</t>
  </si>
  <si>
    <t>NABILA SEPTIANI</t>
  </si>
  <si>
    <t>0108976810</t>
  </si>
  <si>
    <t>NADIAH ADALAWIAH</t>
  </si>
  <si>
    <t>0094465082</t>
  </si>
  <si>
    <t>NADITA PRATIWI</t>
  </si>
  <si>
    <t>0097615134</t>
  </si>
  <si>
    <t>QUEENSCHA KYNAN ZEIDA NURIKE</t>
  </si>
  <si>
    <t>0091854312</t>
  </si>
  <si>
    <t>RAAFI DWI PRADIPTA</t>
  </si>
  <si>
    <t>0107747462</t>
  </si>
  <si>
    <t>RADITYA RACHMAYADI</t>
  </si>
  <si>
    <t>252610228'</t>
  </si>
  <si>
    <t>RAFFA ZAHID EL-FATA</t>
  </si>
  <si>
    <t>0093618654</t>
  </si>
  <si>
    <t>RAISSA OKTAHAVIAN STEPANI</t>
  </si>
  <si>
    <t>3104958866</t>
  </si>
  <si>
    <t>RIFAA RIHADATUL AISYA</t>
  </si>
  <si>
    <t>0108938440</t>
  </si>
  <si>
    <t>RIFKI VALEY FERDIAN PUTRA</t>
  </si>
  <si>
    <t>0092574917</t>
  </si>
  <si>
    <t>RISKI JULIANSYAH</t>
  </si>
  <si>
    <t>0107588474</t>
  </si>
  <si>
    <t>RUBANI NURAHMAN</t>
  </si>
  <si>
    <t>0096561146</t>
  </si>
  <si>
    <t>SABRINA NOVANTI</t>
  </si>
  <si>
    <t>0095636524</t>
  </si>
  <si>
    <t>SALSA ARIYANTI DEWI</t>
  </si>
  <si>
    <t>0095183004</t>
  </si>
  <si>
    <t>VALHAN ILHAM NUGRAHA</t>
  </si>
  <si>
    <t>0108242696</t>
  </si>
  <si>
    <t>ZASKIA DWI LESTARI</t>
  </si>
  <si>
    <t>0097283567</t>
  </si>
  <si>
    <t>ZHIRA MAHANDHA ROSADI</t>
  </si>
  <si>
    <t>Kelas : XI-8</t>
  </si>
  <si>
    <t>MEGA QUISTIEN PRIMADHANI, S.Pd</t>
  </si>
  <si>
    <t>0105258369</t>
  </si>
  <si>
    <t>ALFAN ALMUNAWIR</t>
  </si>
  <si>
    <t>0102486217</t>
  </si>
  <si>
    <t>ANISSA RADHYANI APRILLIA</t>
  </si>
  <si>
    <t>0091384443</t>
  </si>
  <si>
    <t>ARIS SETIAWAN</t>
  </si>
  <si>
    <t>0098240286</t>
  </si>
  <si>
    <t>ASHILA MARSA AULIA</t>
  </si>
  <si>
    <t>0091095712</t>
  </si>
  <si>
    <t>AZWAR AUFA HARDIANSYAH</t>
  </si>
  <si>
    <t>0099517775</t>
  </si>
  <si>
    <t>BERLI</t>
  </si>
  <si>
    <t>0099572086</t>
  </si>
  <si>
    <t>CHERYL RIZKA ADISTYWI</t>
  </si>
  <si>
    <t>0099749784</t>
  </si>
  <si>
    <t>CHIKA PUTERI YULIAWAN</t>
  </si>
  <si>
    <t>0095105329</t>
  </si>
  <si>
    <t>DALIILA AZKIA</t>
  </si>
  <si>
    <t>0105550043</t>
  </si>
  <si>
    <t>DANIEL CHRISTIAN HARUN</t>
  </si>
  <si>
    <t>0096052598</t>
  </si>
  <si>
    <t>DEDEN SYAHPUTRA</t>
  </si>
  <si>
    <t>0095983481</t>
  </si>
  <si>
    <t>DHEA NISA AZIZAH</t>
  </si>
  <si>
    <t>0091359093</t>
  </si>
  <si>
    <t>DIVA AULIA FITROTHUS SA'ADAH</t>
  </si>
  <si>
    <t>0092291361</t>
  </si>
  <si>
    <t>FADLI FIRMANSYAH</t>
  </si>
  <si>
    <t>0096001091</t>
  </si>
  <si>
    <t>FAHRI RAMADHAN</t>
  </si>
  <si>
    <t>0104965756</t>
  </si>
  <si>
    <t>GIO GUCFA AL HAQKI</t>
  </si>
  <si>
    <t>0094167199</t>
  </si>
  <si>
    <t>HANA PRATIWI</t>
  </si>
  <si>
    <t>0099717769</t>
  </si>
  <si>
    <t>HELGA DESNATALIA ZEGA</t>
  </si>
  <si>
    <t>0104357237</t>
  </si>
  <si>
    <t>ILMAIRA AULIA</t>
  </si>
  <si>
    <t>0107565321</t>
  </si>
  <si>
    <t>JERIKO HENDANA</t>
  </si>
  <si>
    <t>0102534827</t>
  </si>
  <si>
    <t>KAMELIA ANGGRAENI</t>
  </si>
  <si>
    <t>0106996852</t>
  </si>
  <si>
    <t>KEISHA NUR BAYANTI</t>
  </si>
  <si>
    <t>0098464619</t>
  </si>
  <si>
    <t>MOCHAMAD IRWAN BEARLIANA</t>
  </si>
  <si>
    <t>0091562636</t>
  </si>
  <si>
    <t>MUHAMAD ALWI</t>
  </si>
  <si>
    <t>0086311766</t>
  </si>
  <si>
    <t>MUHAMAD RAMDHAN SAEFULLOH</t>
  </si>
  <si>
    <t>0097032662</t>
  </si>
  <si>
    <t>MUHAMMAD ARDIANSYAH</t>
  </si>
  <si>
    <t>0091613280</t>
  </si>
  <si>
    <t>MUHAMMAD DAKKA JATMIKA</t>
  </si>
  <si>
    <t>0101446789</t>
  </si>
  <si>
    <t>MUHAMMAD RIZKY PRASTYA</t>
  </si>
  <si>
    <t>0092510529</t>
  </si>
  <si>
    <t>MUHAMMAD SULTHAN ANWAR</t>
  </si>
  <si>
    <t>0102614402</t>
  </si>
  <si>
    <t>NAYRA SHAFANIA NADHIFA</t>
  </si>
  <si>
    <t>0077609682</t>
  </si>
  <si>
    <t>NAJWA FITRI SOLEHAH</t>
  </si>
  <si>
    <t>0101014302</t>
  </si>
  <si>
    <t>NUR AISYAH</t>
  </si>
  <si>
    <t>0108578480</t>
  </si>
  <si>
    <t>RAINA QUINSHA DIMYATI</t>
  </si>
  <si>
    <t>0091205399</t>
  </si>
  <si>
    <t>RAMADHANTI SUGANDI</t>
  </si>
  <si>
    <t>0098639858</t>
  </si>
  <si>
    <t>RAYNA KHANSA'A YASNISA</t>
  </si>
  <si>
    <t>0094538843</t>
  </si>
  <si>
    <t>REIYA AZREL KUNKEYRA</t>
  </si>
  <si>
    <t>0105716730</t>
  </si>
  <si>
    <t>REVINA FEBRIANTI</t>
  </si>
  <si>
    <t>0098147042</t>
  </si>
  <si>
    <t>RIFKI ZAIDAN AL PUTRA</t>
  </si>
  <si>
    <t>0093356590</t>
  </si>
  <si>
    <t>RISNI NURDIYANTI</t>
  </si>
  <si>
    <t>0099203844</t>
  </si>
  <si>
    <t>SALSA</t>
  </si>
  <si>
    <t>0093682099</t>
  </si>
  <si>
    <t>NAZWA AULIA SALSABILA</t>
  </si>
  <si>
    <t>0091712679</t>
  </si>
  <si>
    <t>SASKIA AULIA FITRIANI</t>
  </si>
  <si>
    <t>3099406088</t>
  </si>
  <si>
    <t>SENDY ANDYKA PURNAMA</t>
  </si>
  <si>
    <t>0091396637</t>
  </si>
  <si>
    <t>SUSI SULISTIANI</t>
  </si>
  <si>
    <t>0096593185</t>
  </si>
  <si>
    <t>SYAHRIEL AL MULKHIANSYAH</t>
  </si>
  <si>
    <t>0098797088</t>
  </si>
  <si>
    <t>SYAKILA PUTRI ASY-SYAMS</t>
  </si>
  <si>
    <t>0091455175</t>
  </si>
  <si>
    <t>VANYA AUREL AZZAHRA</t>
  </si>
  <si>
    <t>0098184365</t>
  </si>
  <si>
    <t>ZACKY AGUSTIN</t>
  </si>
  <si>
    <t>Kelas : XI-9</t>
  </si>
  <si>
    <t>KUSUMANINGSIH, S.P</t>
  </si>
  <si>
    <t>0096575790</t>
  </si>
  <si>
    <t>AILSA MIRAJ DALILAH PUTRINA KURNIA</t>
  </si>
  <si>
    <t>0094405844</t>
  </si>
  <si>
    <t>ALFIKRI SURYA AYUBI</t>
  </si>
  <si>
    <t>0095812253</t>
  </si>
  <si>
    <t>ALIIFAH NURSASMITA</t>
  </si>
  <si>
    <t>0095121325</t>
  </si>
  <si>
    <t>AMALIYA SITI MABRURROH</t>
  </si>
  <si>
    <t>0101151666</t>
  </si>
  <si>
    <t>ARNIS AURELIA NURRAFIKA</t>
  </si>
  <si>
    <t>0103586864</t>
  </si>
  <si>
    <t>ASSYFA PUTRI NURSALAMAH</t>
  </si>
  <si>
    <t>0107672332</t>
  </si>
  <si>
    <t>AURELL SHABILA JAYNAPUTRI</t>
  </si>
  <si>
    <t>0096828514</t>
  </si>
  <si>
    <t>BAGAS PUTRA ADWITYO</t>
  </si>
  <si>
    <t>0099788522</t>
  </si>
  <si>
    <t>BAIQ AISYAH PUTRI MADINA</t>
  </si>
  <si>
    <t>0108224666</t>
  </si>
  <si>
    <t>BAYHAQI APRILIAN ZUFAR</t>
  </si>
  <si>
    <t>0096700921</t>
  </si>
  <si>
    <t>DAANISH SHAZIYA DESTRIAR RAHMAT</t>
  </si>
  <si>
    <t>0105561749</t>
  </si>
  <si>
    <t>DINI AULIA FITRIANI</t>
  </si>
  <si>
    <t>0109066312</t>
  </si>
  <si>
    <t>FADIL FADILAH</t>
  </si>
  <si>
    <t>0105247831</t>
  </si>
  <si>
    <t>FALDI RADITYATAMA</t>
  </si>
  <si>
    <t>0096162519</t>
  </si>
  <si>
    <t>GILANG RAMADAN</t>
  </si>
  <si>
    <t>0104553910</t>
  </si>
  <si>
    <t>GIO RAY ANDHIKA ANWAR</t>
  </si>
  <si>
    <t>0097971836</t>
  </si>
  <si>
    <t>JIHAN OKTAVIANI</t>
  </si>
  <si>
    <t>0092855073</t>
  </si>
  <si>
    <t>JIHAN SUTARLAN</t>
  </si>
  <si>
    <t>0094503314</t>
  </si>
  <si>
    <t>KEYSHA PUTRI OCTHAVIANI</t>
  </si>
  <si>
    <t>0095080505</t>
  </si>
  <si>
    <t>LUSI SITI SOLEHAH</t>
  </si>
  <si>
    <t>0105607214</t>
  </si>
  <si>
    <t>M SALMAN</t>
  </si>
  <si>
    <t>0099445241</t>
  </si>
  <si>
    <t>MUHAMAD BAGAS JULIAN FAHREZI</t>
  </si>
  <si>
    <t>3109416753</t>
  </si>
  <si>
    <t>MUHAMAD ILHAM</t>
  </si>
  <si>
    <t>0101714231</t>
  </si>
  <si>
    <t>MUHAMAD IRHAM BAIHAQI</t>
  </si>
  <si>
    <t>0093582245</t>
  </si>
  <si>
    <t>MUHAMMAD DESTA DAVITRAH PUTRA NUGRAHA</t>
  </si>
  <si>
    <t>0094201896</t>
  </si>
  <si>
    <t>MUHAMMAD RASYID HIDAYATULLOH</t>
  </si>
  <si>
    <t>3099962280</t>
  </si>
  <si>
    <t>NABIL SATRIA PURNAMA</t>
  </si>
  <si>
    <t>0093119669</t>
  </si>
  <si>
    <t>NABILA PUTRI FAHRIANI</t>
  </si>
  <si>
    <t>0106946745</t>
  </si>
  <si>
    <t>NAFA HANIFAH FEBRIANI</t>
  </si>
  <si>
    <t>0101154056</t>
  </si>
  <si>
    <t>NESHA FIDELYA PUTRI</t>
  </si>
  <si>
    <t>0099807178</t>
  </si>
  <si>
    <t>NEVAN HIRZAN ARADEA</t>
  </si>
  <si>
    <t>NICKY CHELSEA ASYERA KAUSE</t>
  </si>
  <si>
    <t>0092199743</t>
  </si>
  <si>
    <t>QEANO OKTAVIA SWARANANDA</t>
  </si>
  <si>
    <t>0104739774</t>
  </si>
  <si>
    <t>QUEENSHA ADILA PITALOKA</t>
  </si>
  <si>
    <t>0099991001</t>
  </si>
  <si>
    <t>QUINNE ARADEA SANTOSO</t>
  </si>
  <si>
    <t>0107385888</t>
  </si>
  <si>
    <t>RAHAYU ANGGRAENI</t>
  </si>
  <si>
    <t>0091580768</t>
  </si>
  <si>
    <t>RAIHAN HAFIZ NUR ROCHMAN</t>
  </si>
  <si>
    <t>0104599736</t>
  </si>
  <si>
    <t>RIZKY RAMADHAN</t>
  </si>
  <si>
    <t>0091607701</t>
  </si>
  <si>
    <t>SAHLA KHALINA INDRIS</t>
  </si>
  <si>
    <t>0094588054</t>
  </si>
  <si>
    <t>SALSABILA RAISSA PUTRI RAFIFAH</t>
  </si>
  <si>
    <t>0107400686</t>
  </si>
  <si>
    <t>SEINA SYAFYA FITRI</t>
  </si>
  <si>
    <t>0102758359</t>
  </si>
  <si>
    <t>SHAFA AURELLIA</t>
  </si>
  <si>
    <t>0077357803</t>
  </si>
  <si>
    <t>SITI FATIMAH AZHAR</t>
  </si>
  <si>
    <t>0096456159</t>
  </si>
  <si>
    <t>SITI MARWAH SOLIHAH</t>
  </si>
  <si>
    <t>0093602374</t>
  </si>
  <si>
    <t>SITI NABILA</t>
  </si>
  <si>
    <t>0097395440</t>
  </si>
  <si>
    <t>SITI NUR HALIMAH</t>
  </si>
  <si>
    <t>0091957151</t>
  </si>
  <si>
    <t>SYIFA DWI SYAFITRI</t>
  </si>
  <si>
    <t>0092012731</t>
  </si>
  <si>
    <t>TYA RAHAYU</t>
  </si>
  <si>
    <t>Kelas : XI-10</t>
  </si>
  <si>
    <t>KUSMAYA DEWI, S.Pd</t>
  </si>
  <si>
    <t>0082772998</t>
  </si>
  <si>
    <t>AHMAD FADIL</t>
  </si>
  <si>
    <t>0103717465</t>
  </si>
  <si>
    <t>ALISHA NATHA MARSELA</t>
  </si>
  <si>
    <t>0095446594</t>
  </si>
  <si>
    <t>ALVINS SONJAYA ALBAR</t>
  </si>
  <si>
    <t>0108730875</t>
  </si>
  <si>
    <t>AMY PUTRI ROSANA</t>
  </si>
  <si>
    <t>0109753431</t>
  </si>
  <si>
    <t>CHAVIVI ROMANSI DEVITA</t>
  </si>
  <si>
    <t>0098997008</t>
  </si>
  <si>
    <t>DANIEL RIZKY RAMDANI</t>
  </si>
  <si>
    <t>3092452338</t>
  </si>
  <si>
    <t>DARRELL ALYYA RAMADHANI</t>
  </si>
  <si>
    <t>0097008991</t>
  </si>
  <si>
    <t>DESTINA DWI AZHARANI</t>
  </si>
  <si>
    <t>0097245166</t>
  </si>
  <si>
    <t>0096009068</t>
  </si>
  <si>
    <t>DIVA JULIAN SOELAEMAN</t>
  </si>
  <si>
    <t>0103850731</t>
  </si>
  <si>
    <t>ELISA RAHMAWATI</t>
  </si>
  <si>
    <t>0104374441</t>
  </si>
  <si>
    <t>ELSI ANDRIYANI</t>
  </si>
  <si>
    <t>3092684937</t>
  </si>
  <si>
    <t>FAISAL ISKANDAR</t>
  </si>
  <si>
    <t>0095321713</t>
  </si>
  <si>
    <t>FRISCA CECILIA</t>
  </si>
  <si>
    <t>0108994821</t>
  </si>
  <si>
    <t>GALIH MUHAMAD ADDIEN</t>
  </si>
  <si>
    <t>3104934369</t>
  </si>
  <si>
    <t>GRACE RACHEL</t>
  </si>
  <si>
    <t>0097304801</t>
  </si>
  <si>
    <t>HABBIL AL GIFHARY SYAHBANA</t>
  </si>
  <si>
    <t>0093796158</t>
  </si>
  <si>
    <t>HARTA AL KINDI</t>
  </si>
  <si>
    <t>0095986822</t>
  </si>
  <si>
    <t>HASNA NADIA FITRIA</t>
  </si>
  <si>
    <t>0093049968</t>
  </si>
  <si>
    <t>ICHA KAHERUNNISA</t>
  </si>
  <si>
    <t>0095628091</t>
  </si>
  <si>
    <t>INDRI DWI VERNANDA</t>
  </si>
  <si>
    <t>0099182722</t>
  </si>
  <si>
    <t>IRGI ADITYA PRATAMA RAMADHAN</t>
  </si>
  <si>
    <t>0084174119</t>
  </si>
  <si>
    <t>IVAN DECKA</t>
  </si>
  <si>
    <t>ivan masuk</t>
  </si>
  <si>
    <t>0102562707</t>
  </si>
  <si>
    <t>JANUAR PRADITA NUGRAHA</t>
  </si>
  <si>
    <t>0091415008</t>
  </si>
  <si>
    <t>KAFKA SUTHANIKA PURWANEGARA</t>
  </si>
  <si>
    <t>0091260792</t>
  </si>
  <si>
    <t>KEYLA OKTAVIANI ERYAN PUTRI</t>
  </si>
  <si>
    <t>0098987163</t>
  </si>
  <si>
    <t>KHADAFIE REZKY RAMADHAN</t>
  </si>
  <si>
    <t>0096096984</t>
  </si>
  <si>
    <t>KHOIRUNNISA</t>
  </si>
  <si>
    <t>0092842867</t>
  </si>
  <si>
    <t>M PAISAL</t>
  </si>
  <si>
    <t>0094462175</t>
  </si>
  <si>
    <t>MUHAMMAD MULTAZAM SHOFAR</t>
  </si>
  <si>
    <t>0098273498</t>
  </si>
  <si>
    <t>MUHAMMAD RAVI RAFAEL</t>
  </si>
  <si>
    <t>0106466083</t>
  </si>
  <si>
    <t>NAURA ADELIA FRANATA</t>
  </si>
  <si>
    <t>0091908882</t>
  </si>
  <si>
    <t>NAYLA KHADITZ HERMAWANTY</t>
  </si>
  <si>
    <t>0098594985</t>
  </si>
  <si>
    <t>OKKY SEPTIAN</t>
  </si>
  <si>
    <t>3098727235</t>
  </si>
  <si>
    <t>QIARA PUTRI AZURA</t>
  </si>
  <si>
    <t>0096255056</t>
  </si>
  <si>
    <t>RADIT PRATAMA IRAWAN</t>
  </si>
  <si>
    <t>0098791565</t>
  </si>
  <si>
    <t>RAFKA ADITYA RAHMAN</t>
  </si>
  <si>
    <t>0096133380</t>
  </si>
  <si>
    <t>RAHMA RIDHOTUNNISA RINALDI</t>
  </si>
  <si>
    <t>0095627775</t>
  </si>
  <si>
    <t>RAINA SABILA</t>
  </si>
  <si>
    <t>0097326952</t>
  </si>
  <si>
    <t>RESTU JENHASBI ALZAENI</t>
  </si>
  <si>
    <t>0102506916</t>
  </si>
  <si>
    <t>SAEFUDYN MUHAMMAD AF GHANY</t>
  </si>
  <si>
    <t>0092464262</t>
  </si>
  <si>
    <t>SALSABILA NUR AIENI SETIAWAN</t>
  </si>
  <si>
    <t>0108080191</t>
  </si>
  <si>
    <t>SITI SALIYATUL JAMILAH</t>
  </si>
  <si>
    <t>0091819121</t>
  </si>
  <si>
    <t>SYAHRINY OKTAVIANI RAHAYU</t>
  </si>
  <si>
    <t>0107412860</t>
  </si>
  <si>
    <t>VINO DWIKI HERMAWAN</t>
  </si>
  <si>
    <t>3094169713</t>
  </si>
  <si>
    <t>ZAKI LUTHFI HAMDANI</t>
  </si>
  <si>
    <t>0097743498</t>
  </si>
  <si>
    <t>ZHIDAN TENGKUH FIRMANSYAH</t>
  </si>
  <si>
    <t>0103484926</t>
  </si>
  <si>
    <t>ZIHAN ZULFAA TAUFITRI</t>
  </si>
  <si>
    <t>Kelas : XI-11</t>
  </si>
  <si>
    <t>BINTU SARWIATUN, S.Pd</t>
  </si>
  <si>
    <t>0102533234</t>
  </si>
  <si>
    <t>ADAM RIDHO NUR AKBAR</t>
  </si>
  <si>
    <t>0093563232</t>
  </si>
  <si>
    <t>ADELIA ANANDA PUTRI</t>
  </si>
  <si>
    <t>0092718610</t>
  </si>
  <si>
    <t>AISRAYKA TIFFANY NAZIRA</t>
  </si>
  <si>
    <t>0093316434</t>
  </si>
  <si>
    <t>AKSEL AKMAL FAIZA</t>
  </si>
  <si>
    <t>0092390108</t>
  </si>
  <si>
    <t>ALI PRATAMA</t>
  </si>
  <si>
    <t>0108481699</t>
  </si>
  <si>
    <t>ALISYA NURUL QOLBI</t>
  </si>
  <si>
    <t>0101194589</t>
  </si>
  <si>
    <t>ASFA FITRI AYU RIZKIANI</t>
  </si>
  <si>
    <t>0092202685</t>
  </si>
  <si>
    <t>AZKIA NUR AWALIYAH</t>
  </si>
  <si>
    <t>0098332774</t>
  </si>
  <si>
    <t>CANDRA SANI ANANDA</t>
  </si>
  <si>
    <t>0092327595</t>
  </si>
  <si>
    <t>DAFIN REFAN ALPIANSYAH</t>
  </si>
  <si>
    <t>0091078610</t>
  </si>
  <si>
    <t>DWI PUTRA YUDAYANA</t>
  </si>
  <si>
    <t>0104926737</t>
  </si>
  <si>
    <t>FAIQ AZARIA ZULFAN</t>
  </si>
  <si>
    <t>0096218742</t>
  </si>
  <si>
    <t>FAJAR ARVIN RIYADI</t>
  </si>
  <si>
    <t>0087613811</t>
  </si>
  <si>
    <t>FARREL HASAN MUZAKKI</t>
  </si>
  <si>
    <t>0097303475</t>
  </si>
  <si>
    <t>FATMAWATI</t>
  </si>
  <si>
    <t>0098559297</t>
  </si>
  <si>
    <t>GAZZA AKBAR</t>
  </si>
  <si>
    <t>0097068478</t>
  </si>
  <si>
    <t>IZKARIEMA AQEELA HASNA</t>
  </si>
  <si>
    <t>0106254677</t>
  </si>
  <si>
    <t>KEYLA ABIGEIL BILQIIS SOFIANA</t>
  </si>
  <si>
    <t>0103090293</t>
  </si>
  <si>
    <t>LUCKY TRIPUTRA</t>
  </si>
  <si>
    <t>0108659631</t>
  </si>
  <si>
    <t>MEISYA INDRIYANI FITRI</t>
  </si>
  <si>
    <t>0104986863</t>
  </si>
  <si>
    <t>MOHAMAD ARIF NURROHMAN</t>
  </si>
  <si>
    <t>0094089104</t>
  </si>
  <si>
    <t>MUHAMAD DAFFA AL HABSYI</t>
  </si>
  <si>
    <t>0081733306</t>
  </si>
  <si>
    <t>MUHAMMAD ALIF FIRDAUS</t>
  </si>
  <si>
    <t>0092783603</t>
  </si>
  <si>
    <t>MUHAMMAD DENIS</t>
  </si>
  <si>
    <t>0099416362</t>
  </si>
  <si>
    <t>MUHAMMAD RAFI FAIRUZ</t>
  </si>
  <si>
    <t>0102060663</t>
  </si>
  <si>
    <t>MUHAMMAD RAZVAN PUTRA DENA</t>
  </si>
  <si>
    <t>0093285040</t>
  </si>
  <si>
    <t>NABILLA PUTRI RAHAYU</t>
  </si>
  <si>
    <t>0102701908</t>
  </si>
  <si>
    <t>NATAN OKTAVIANUS SINAMBELA</t>
  </si>
  <si>
    <t>0104493988</t>
  </si>
  <si>
    <t>NAZWA PUTRI DIANKA</t>
  </si>
  <si>
    <t>0099208904</t>
  </si>
  <si>
    <t>NUR ASSYIFA SABILA SIAGIAN</t>
  </si>
  <si>
    <t>0094038177</t>
  </si>
  <si>
    <t>NUR RAMADHANI</t>
  </si>
  <si>
    <t>0107088210</t>
  </si>
  <si>
    <t>NURANI SITI ZAHRA</t>
  </si>
  <si>
    <t>0093723234</t>
  </si>
  <si>
    <t>NURLAILA NISPI SA'BAN</t>
  </si>
  <si>
    <t>0106409372</t>
  </si>
  <si>
    <t>NURRAKHMANITA AZZAHRA</t>
  </si>
  <si>
    <t>0092067598</t>
  </si>
  <si>
    <t>QUINSHA KAYLA AZZAHRA RAUDHATUL JANNAH</t>
  </si>
  <si>
    <t>0084822538</t>
  </si>
  <si>
    <t>RADIKA</t>
  </si>
  <si>
    <t>0099651874</t>
  </si>
  <si>
    <t>REKSA ATHAR RIZQY</t>
  </si>
  <si>
    <t>0093283561</t>
  </si>
  <si>
    <t>RESTINA SITI MARIYAM</t>
  </si>
  <si>
    <t>0107542978</t>
  </si>
  <si>
    <t>ROMI ABDUL LATIP</t>
  </si>
  <si>
    <t>0097523425</t>
  </si>
  <si>
    <t>SELLA HADIJAH</t>
  </si>
  <si>
    <t>0091521030</t>
  </si>
  <si>
    <t>SHANDY AWALUDIN</t>
  </si>
  <si>
    <t>0102603790</t>
  </si>
  <si>
    <t>SIFA NUR APIPAH</t>
  </si>
  <si>
    <t>0093627667</t>
  </si>
  <si>
    <t>SISIL NOVITA HEMANINGSIH</t>
  </si>
  <si>
    <t>0094883037</t>
  </si>
  <si>
    <t>SITI NUR AIDA</t>
  </si>
  <si>
    <t>0091568323</t>
  </si>
  <si>
    <t>SYAHRUL PUTRA MAULANA</t>
  </si>
  <si>
    <t>0096080554</t>
  </si>
  <si>
    <t>ULFI FAUZIAH AZKIAH</t>
  </si>
  <si>
    <t>3091779992</t>
  </si>
  <si>
    <t>WULAN AULIA</t>
  </si>
  <si>
    <t>0091097119</t>
  </si>
  <si>
    <t>ZIYAND RAHMAT HIDAYAT</t>
  </si>
  <si>
    <t>Kelas : XI-12</t>
  </si>
  <si>
    <t>ABDUL MATIEN LUTFI ALFHATANI, S.Pd.</t>
  </si>
  <si>
    <t>0095159644</t>
  </si>
  <si>
    <t>ALDI DWI NUGROHO</t>
  </si>
  <si>
    <t>0104850932</t>
  </si>
  <si>
    <t>ALIYA RIZKI</t>
  </si>
  <si>
    <t>0098288846</t>
  </si>
  <si>
    <t>ALIYA SALSABILA RAMADHANI</t>
  </si>
  <si>
    <t>0096478715</t>
  </si>
  <si>
    <t>AMELLIA DESTI ARDIANA</t>
  </si>
  <si>
    <t>0105944028</t>
  </si>
  <si>
    <t>ASLAM KHAIRUL ANAM</t>
  </si>
  <si>
    <t>0094524486</t>
  </si>
  <si>
    <t>AZAM ADZIKRI</t>
  </si>
  <si>
    <t>0106388725</t>
  </si>
  <si>
    <t>AZKIYA DINARA ZAHRATUSSYIFA</t>
  </si>
  <si>
    <t>0095439338</t>
  </si>
  <si>
    <t>CHANDRIKA AZ ZAHRA RIZQULLOH</t>
  </si>
  <si>
    <t>0097245166'</t>
  </si>
  <si>
    <t>DEVIA NUR HANDAYANI</t>
  </si>
  <si>
    <t>0099957477</t>
  </si>
  <si>
    <t>DEVIN RIZKY SETIYO PRANOTO</t>
  </si>
  <si>
    <t>0104931346</t>
  </si>
  <si>
    <t>DUGI SATRIA SEBASTIAN</t>
  </si>
  <si>
    <t>0096396705</t>
  </si>
  <si>
    <t>DWI PUTRI GUNADI</t>
  </si>
  <si>
    <t>0092263522</t>
  </si>
  <si>
    <t>DWI PUTRI RIZKIYANI</t>
  </si>
  <si>
    <t>0099056577</t>
  </si>
  <si>
    <t>DZAKY MOCHAMAD RAFA</t>
  </si>
  <si>
    <t>0098340095</t>
  </si>
  <si>
    <t>FAHRI FAUZI RAHMAN</t>
  </si>
  <si>
    <t>3093017921</t>
  </si>
  <si>
    <t>FATHIA SALMA AR-RODHU</t>
  </si>
  <si>
    <t>0103347442</t>
  </si>
  <si>
    <t>FATIH ZHOFRON</t>
  </si>
  <si>
    <t>0096162519'</t>
  </si>
  <si>
    <t>0097147868</t>
  </si>
  <si>
    <t>IKHSAN NUR SALEH</t>
  </si>
  <si>
    <t>0108028758</t>
  </si>
  <si>
    <t>KIRANA AYU KURNIA</t>
  </si>
  <si>
    <t>0095365997</t>
  </si>
  <si>
    <t>LUCKY ANANDA SAPUTRA</t>
  </si>
  <si>
    <t>0105596208</t>
  </si>
  <si>
    <t>MOCHAMMAD AKBAR KURNIAWAN</t>
  </si>
  <si>
    <t>0096080998</t>
  </si>
  <si>
    <t>MUHAMAD RAFKA FIRDAUS</t>
  </si>
  <si>
    <t>0099717859</t>
  </si>
  <si>
    <t>MUHAMAD SURYA SYAPUTRA</t>
  </si>
  <si>
    <t>0106272994</t>
  </si>
  <si>
    <t>MUHAMMAD FAHRI ABDUL HADI</t>
  </si>
  <si>
    <t>0105108878</t>
  </si>
  <si>
    <t>MUHAMMAD LEVIDHYA KERTYA PRATAMA</t>
  </si>
  <si>
    <t>0097504815</t>
  </si>
  <si>
    <t>MUHAMMAD NURUL QOLBI</t>
  </si>
  <si>
    <t>0099964275</t>
  </si>
  <si>
    <t>MUHAMMAD RAIHAN</t>
  </si>
  <si>
    <t>0093685247</t>
  </si>
  <si>
    <t>NAOFAL RATIAN</t>
  </si>
  <si>
    <t>0092033273</t>
  </si>
  <si>
    <t>NASYA PUTRI AL ZAHRA</t>
  </si>
  <si>
    <t>0099405495</t>
  </si>
  <si>
    <t>NAZWA NUR AMELIA</t>
  </si>
  <si>
    <t>0097178936</t>
  </si>
  <si>
    <t>NUR ANISA</t>
  </si>
  <si>
    <t>0096301062</t>
  </si>
  <si>
    <t>NUR FADILLAH</t>
  </si>
  <si>
    <t>0092939023</t>
  </si>
  <si>
    <t>PUTRI AMELIA</t>
  </si>
  <si>
    <t>0093687829</t>
  </si>
  <si>
    <t>RADITYA FACHREZA</t>
  </si>
  <si>
    <t>0098046210</t>
  </si>
  <si>
    <t>RAFA JEN NUR AHKSAN</t>
  </si>
  <si>
    <t>0093910542</t>
  </si>
  <si>
    <t>RASYA PRIATNA PUTRA</t>
  </si>
  <si>
    <t>3093067279</t>
  </si>
  <si>
    <t>RAYA NOVIYANTI</t>
  </si>
  <si>
    <t>0096811232</t>
  </si>
  <si>
    <t>RAYKA KHANSA'A YASNISA</t>
  </si>
  <si>
    <t>0097536978</t>
  </si>
  <si>
    <t>RICKY FIRMAN HERDIANSYAH</t>
  </si>
  <si>
    <t>0105315014</t>
  </si>
  <si>
    <t>RIFA NATASHA PADILAH</t>
  </si>
  <si>
    <t>0096278562</t>
  </si>
  <si>
    <t>RIYANI RAHMADANI</t>
  </si>
  <si>
    <t>0093472772</t>
  </si>
  <si>
    <t>RIZKA ALIYYA ZAHRA</t>
  </si>
  <si>
    <t>0106995520</t>
  </si>
  <si>
    <t>SASKIA NABILA SUHERMAN</t>
  </si>
  <si>
    <t>0094502661</t>
  </si>
  <si>
    <t>SINDY KANIA PUTRI</t>
  </si>
  <si>
    <t>0097232758</t>
  </si>
  <si>
    <t>WANGI ROSALINA</t>
  </si>
  <si>
    <t>3109581748</t>
  </si>
  <si>
    <t>ZAKI ACHMAD HANAPI</t>
  </si>
  <si>
    <t>0095037441</t>
  </si>
  <si>
    <t>ZIDANE FATURAHMAN</t>
  </si>
  <si>
    <t>Kelas : X-1</t>
  </si>
  <si>
    <t>RIZKI YULIA RAHAYU, S.Pd.</t>
  </si>
  <si>
    <t>kirim nama</t>
  </si>
  <si>
    <t>sticker</t>
  </si>
  <si>
    <t>profil doc</t>
  </si>
  <si>
    <t>Kuis1</t>
  </si>
  <si>
    <t>Kuis2</t>
  </si>
  <si>
    <t>0108438529</t>
  </si>
  <si>
    <t>ABI RAMADANI PUTRA</t>
  </si>
  <si>
    <t>0119221174</t>
  </si>
  <si>
    <t>ADAM MALIKH</t>
  </si>
  <si>
    <t>0105913342</t>
  </si>
  <si>
    <t>ADZRAA KHAIRUNNISA NAZIHAH</t>
  </si>
  <si>
    <t>0108270691</t>
  </si>
  <si>
    <t>ALVIN PUTRA RADITYA</t>
  </si>
  <si>
    <t xml:space="preserve">S </t>
  </si>
  <si>
    <t>0119939114</t>
  </si>
  <si>
    <t>AMELIA SALSABILA</t>
  </si>
  <si>
    <t>S</t>
  </si>
  <si>
    <t>0099380351</t>
  </si>
  <si>
    <t>ANNISA ALIFYANI</t>
  </si>
  <si>
    <t>0104849623</t>
  </si>
  <si>
    <t>ARANA KAFFA ALDIANO B</t>
  </si>
  <si>
    <t>0107637579</t>
  </si>
  <si>
    <t>ARYA LUTFIANA</t>
  </si>
  <si>
    <t>0107800731</t>
  </si>
  <si>
    <t>BAIQ ATHALIYA SARAH</t>
  </si>
  <si>
    <t>0104759653</t>
  </si>
  <si>
    <t>CARISSA MAHARANI WIBOWO</t>
  </si>
  <si>
    <t>0117064250</t>
  </si>
  <si>
    <t>DINA NURULHABIBAH</t>
  </si>
  <si>
    <t>0103398203</t>
  </si>
  <si>
    <t>EREN ALFAIZEN</t>
  </si>
  <si>
    <t>0109104077</t>
  </si>
  <si>
    <t>FARREL ALFARABI</t>
  </si>
  <si>
    <t>0114259965</t>
  </si>
  <si>
    <t>FRASTA DEWI KURNIA</t>
  </si>
  <si>
    <t>0109335313</t>
  </si>
  <si>
    <t>GAFAR MUNIF MUHAMMAD</t>
  </si>
  <si>
    <t>0113020142</t>
  </si>
  <si>
    <t>GEISHA NUR ANNISA</t>
  </si>
  <si>
    <t>0097593401</t>
  </si>
  <si>
    <t>HANANG WAHYU GATHOT SETIAWAN</t>
  </si>
  <si>
    <t>0107918555</t>
  </si>
  <si>
    <t>JULIA NURWAHYUNI</t>
  </si>
  <si>
    <t>0114488617</t>
  </si>
  <si>
    <t>KEYLLA DWI ANGGRAENI</t>
  </si>
  <si>
    <t>0099891765</t>
  </si>
  <si>
    <t>KHADAFA SIGIT AL GHIFARY</t>
  </si>
  <si>
    <t>0111748981</t>
  </si>
  <si>
    <t>KHENSYA AULIA RAHMAN</t>
  </si>
  <si>
    <t>0118749278</t>
  </si>
  <si>
    <t>MARIA MAGDALENA SIAGIAN</t>
  </si>
  <si>
    <t>0099407745</t>
  </si>
  <si>
    <t>MOCHAMMAD FAISAL NUGRAHA</t>
  </si>
  <si>
    <t>0101719393</t>
  </si>
  <si>
    <t>MUHAMAD IRDAN JANUAR</t>
  </si>
  <si>
    <t>0105560036</t>
  </si>
  <si>
    <t>MUHAMAD RIDWAN MULYANA</t>
  </si>
  <si>
    <t>0108306673</t>
  </si>
  <si>
    <t>MUHAMMAD FADHIL BADRANI</t>
  </si>
  <si>
    <t>3109447010</t>
  </si>
  <si>
    <t>MUHAMMAD FADHLAN AZHAAR FERDIANA</t>
  </si>
  <si>
    <t>0101544599</t>
  </si>
  <si>
    <t>MUHAMMAD RAFA RIZQILLAHI PRATAMA</t>
  </si>
  <si>
    <t>0115268415</t>
  </si>
  <si>
    <t>NABIL FEBRIAN SAPUTRA</t>
  </si>
  <si>
    <t>0107773832</t>
  </si>
  <si>
    <t>NADHIRA AZYAN RIZKYA</t>
  </si>
  <si>
    <t>0105364592</t>
  </si>
  <si>
    <t>NAYLA KARIMATUS SALWA</t>
  </si>
  <si>
    <t>0106935862</t>
  </si>
  <si>
    <t>NENG PUTRI DAMAYANTI</t>
  </si>
  <si>
    <t>0106426047</t>
  </si>
  <si>
    <t>NURUL TIARA RAMADANI</t>
  </si>
  <si>
    <t>0106017617</t>
  </si>
  <si>
    <t>PRANATA GENTA MAHESWARA</t>
  </si>
  <si>
    <t>0102184187</t>
  </si>
  <si>
    <t>PRIYA OKTAVIA AZHAR</t>
  </si>
  <si>
    <t>0105452225</t>
  </si>
  <si>
    <t>RIDWAN RAMADHAN</t>
  </si>
  <si>
    <t>0105166855</t>
  </si>
  <si>
    <t>RIFA ALPIAH ZAHRA</t>
  </si>
  <si>
    <t>0112415778</t>
  </si>
  <si>
    <t>RIO RIVALDI</t>
  </si>
  <si>
    <t>0106399533</t>
  </si>
  <si>
    <t>RISNA RAHMADHANI</t>
  </si>
  <si>
    <t>0111890175</t>
  </si>
  <si>
    <t>SHAFANA RIZKYA MEYRA</t>
  </si>
  <si>
    <t>0117902155</t>
  </si>
  <si>
    <t>SITI AYU KANIA</t>
  </si>
  <si>
    <t>0106208791</t>
  </si>
  <si>
    <t>SYAFIRA MEGANANDA OKTAVIANI</t>
  </si>
  <si>
    <t>0105838672</t>
  </si>
  <si>
    <t>SYIFA NUR AQILA</t>
  </si>
  <si>
    <t>0116039105</t>
  </si>
  <si>
    <t>ZAHIRA HAZNA REISYA</t>
  </si>
  <si>
    <t>0101017460</t>
  </si>
  <si>
    <t>ZIVARA PUTRI LIONI</t>
  </si>
  <si>
    <t>0117809849</t>
  </si>
  <si>
    <t>ZLATAN ANDARU WENA</t>
  </si>
  <si>
    <t>d</t>
  </si>
  <si>
    <t>Kelas : X-2</t>
  </si>
  <si>
    <t>DADANG RUSTANDI, S.Pd</t>
  </si>
  <si>
    <t>14-8</t>
  </si>
  <si>
    <t>28-8-26</t>
  </si>
  <si>
    <t>0106562807</t>
  </si>
  <si>
    <t>ADILA RAIYA PUTRI</t>
  </si>
  <si>
    <t>0105950619</t>
  </si>
  <si>
    <t>ADLI ZULFADLI FALAH</t>
  </si>
  <si>
    <t>0108377575</t>
  </si>
  <si>
    <t>AGAM PRATAMA</t>
  </si>
  <si>
    <t>0111114422</t>
  </si>
  <si>
    <t>AISHA LUTHFIA AZZAHRA</t>
  </si>
  <si>
    <t>0109890697</t>
  </si>
  <si>
    <t>ALVINNO DWI  (keluar)</t>
  </si>
  <si>
    <t>keluar</t>
  </si>
  <si>
    <t>0107836498</t>
  </si>
  <si>
    <t>ANDARA DWI SEPTIANA</t>
  </si>
  <si>
    <t>0118020358</t>
  </si>
  <si>
    <t>APRILIANTI AINUN LATIFAH</t>
  </si>
  <si>
    <t>0101894874</t>
  </si>
  <si>
    <t>ARFAN PUTRA NUGROHO</t>
  </si>
  <si>
    <t>3112217022</t>
  </si>
  <si>
    <t>ARYA WIJAYA DWI PUTRA</t>
  </si>
  <si>
    <t>kabur</t>
  </si>
  <si>
    <t>0104977088</t>
  </si>
  <si>
    <t>BILAL ALIKA NUR FAQIH IRAWAN</t>
  </si>
  <si>
    <t>a</t>
  </si>
  <si>
    <t>0104600578</t>
  </si>
  <si>
    <t>CAYLA MAHARANI</t>
  </si>
  <si>
    <t>0106142699</t>
  </si>
  <si>
    <t>CINTA NOVIANTI NUR ARIFIN</t>
  </si>
  <si>
    <t>0108161393</t>
  </si>
  <si>
    <t>DINDA NOVI ARYANTI</t>
  </si>
  <si>
    <t>0101330622</t>
  </si>
  <si>
    <t>FA`AL HASAM ISMAM</t>
  </si>
  <si>
    <t>3115597562</t>
  </si>
  <si>
    <t>FENNY ASMARANI</t>
  </si>
  <si>
    <t>I</t>
  </si>
  <si>
    <t>0117412405</t>
  </si>
  <si>
    <t>GABRIELLA STEVANI SITEPU</t>
  </si>
  <si>
    <t>0108476588</t>
  </si>
  <si>
    <t>GIA INSANIA NUR FADHILAH</t>
  </si>
  <si>
    <t>0106791213</t>
  </si>
  <si>
    <t>HILAL CIKAL AL`MALIK</t>
  </si>
  <si>
    <t>0102081524</t>
  </si>
  <si>
    <t>JHOVAN SUPIS</t>
  </si>
  <si>
    <t>0106953518</t>
  </si>
  <si>
    <t>KANAYA AURA ANITANIA</t>
  </si>
  <si>
    <t>0106968106</t>
  </si>
  <si>
    <t>KEYZHA NOOR ATTALYA PUTRI</t>
  </si>
  <si>
    <t>0107728181</t>
  </si>
  <si>
    <t>LIANI NURJANAH</t>
  </si>
  <si>
    <t>0108807978</t>
  </si>
  <si>
    <t>M ALVIAN NUGRAHA</t>
  </si>
  <si>
    <t>0114198931</t>
  </si>
  <si>
    <t>MAHARDIKA LAZUARDI</t>
  </si>
  <si>
    <t>0116420727</t>
  </si>
  <si>
    <t>MILASARI</t>
  </si>
  <si>
    <t>0105124433</t>
  </si>
  <si>
    <t>MOCHAMMAD OKTAVIAN FIRMANSYAH</t>
  </si>
  <si>
    <t>0116670471</t>
  </si>
  <si>
    <t>MUHAMAD RIZKI ARYANSYAH</t>
  </si>
  <si>
    <t>0117167234</t>
  </si>
  <si>
    <t>MUHAMMAD FARID ZILDIAN</t>
  </si>
  <si>
    <t>0109588669</t>
  </si>
  <si>
    <t>MUHAMMAD FIKRI AL GOZALI</t>
  </si>
  <si>
    <t>0114600912</t>
  </si>
  <si>
    <t>MUHAMMAD MIKAIL RACHMAWAN</t>
  </si>
  <si>
    <t>0103104658</t>
  </si>
  <si>
    <t>MUHAMMAD ZAKY FAJAR ABDILLAH</t>
  </si>
  <si>
    <t>0111028298</t>
  </si>
  <si>
    <t>NAFIS JANITRA</t>
  </si>
  <si>
    <t>0103791343</t>
  </si>
  <si>
    <t>NAHILAH KHAIRINA</t>
  </si>
  <si>
    <t>0111373146</t>
  </si>
  <si>
    <t>NENG SITI APIPAH NUR AINI</t>
  </si>
  <si>
    <t>0105813959</t>
  </si>
  <si>
    <t>NIL ALANASTA</t>
  </si>
  <si>
    <t>3099224425</t>
  </si>
  <si>
    <t>OCTAVIANA ANGRAENI</t>
  </si>
  <si>
    <t>0102838950</t>
  </si>
  <si>
    <t>RADITHYA ZHIAN ALFARIZKY</t>
  </si>
  <si>
    <t>0097821343</t>
  </si>
  <si>
    <t>RISA NOVALIA PUTRI</t>
  </si>
  <si>
    <t>0107138072</t>
  </si>
  <si>
    <t>RIYAN JULIANA</t>
  </si>
  <si>
    <t>0101075262</t>
  </si>
  <si>
    <t>RIZA RAMDANI</t>
  </si>
  <si>
    <t>0109211552</t>
  </si>
  <si>
    <t>SABRINA KAILA MALCA</t>
  </si>
  <si>
    <t>0108877200</t>
  </si>
  <si>
    <t>SHELVI ANGGRAENI</t>
  </si>
  <si>
    <t>0107362305</t>
  </si>
  <si>
    <t>SITI SRI MULYANI FADILAH</t>
  </si>
  <si>
    <t>0108994949</t>
  </si>
  <si>
    <t>TIRSA NURFITRIANI</t>
  </si>
  <si>
    <t>0104230736</t>
  </si>
  <si>
    <t>ZAHRA NAILA LAVINA</t>
  </si>
  <si>
    <t>0105953343</t>
  </si>
  <si>
    <t>ZASKIA GIE QUEENSHA</t>
  </si>
  <si>
    <t>Kelas : X-3</t>
  </si>
  <si>
    <t>MUHAMMAD RIZKY NUR DHANI, S.Pd</t>
  </si>
  <si>
    <t>0115734698</t>
  </si>
  <si>
    <t>ADRIAN PUTRA JUNIARSAH</t>
  </si>
  <si>
    <t>0118860867</t>
  </si>
  <si>
    <t>AGNINI NAILA ROHMAH</t>
  </si>
  <si>
    <t>0096401747</t>
  </si>
  <si>
    <t>AHMAD MAULANA</t>
  </si>
  <si>
    <t>0104336150</t>
  </si>
  <si>
    <t>ALIFA RAMADHANI SANTIKA</t>
  </si>
  <si>
    <t>0109156885</t>
  </si>
  <si>
    <t>ANISA FITRIYANI</t>
  </si>
  <si>
    <t>0109085717</t>
  </si>
  <si>
    <t>ATHA WIDYANATHA SUTISNA</t>
  </si>
  <si>
    <t>0098239913</t>
  </si>
  <si>
    <t>AUDREY MUHAMMAD ELDIN</t>
  </si>
  <si>
    <t>0105634511</t>
  </si>
  <si>
    <t>AZQIA PUTRI SEPTIADI</t>
  </si>
  <si>
    <t>0116877310</t>
  </si>
  <si>
    <t>CHANTIKA FELLICIA UMAMAH HANDOYO</t>
  </si>
  <si>
    <t>0101035940</t>
  </si>
  <si>
    <t>CLARYESTA ANDROMEDA</t>
  </si>
  <si>
    <t>0092439734</t>
  </si>
  <si>
    <t>DINI ANGGRAENI</t>
  </si>
  <si>
    <t>0107105226</t>
  </si>
  <si>
    <t>EFRAN RADEN KRISTIAN</t>
  </si>
  <si>
    <t>0115935664</t>
  </si>
  <si>
    <t>FABIAN RHEA BAHARIZKY</t>
  </si>
  <si>
    <t>0102769411</t>
  </si>
  <si>
    <t>FADIL ILHAM</t>
  </si>
  <si>
    <t>0105016548</t>
  </si>
  <si>
    <t>FIKRI ZAHRAN AL WAAQI</t>
  </si>
  <si>
    <t>0116823556</t>
  </si>
  <si>
    <t>GYSTA KAYLA WIBAWA</t>
  </si>
  <si>
    <t>0101778134</t>
  </si>
  <si>
    <t>HAYFA MAKTIKA NARARYA</t>
  </si>
  <si>
    <t>0111793211</t>
  </si>
  <si>
    <t>HILMAN SYAMSUL ARIFIN</t>
  </si>
  <si>
    <t>0119786113</t>
  </si>
  <si>
    <t>INDY AYUMI RASHIN</t>
  </si>
  <si>
    <t>0103783057</t>
  </si>
  <si>
    <t>IRGI MUHAMMAD FADHIL</t>
  </si>
  <si>
    <t>0104566548</t>
  </si>
  <si>
    <t>KARIS MAULANA</t>
  </si>
  <si>
    <t>0101628325</t>
  </si>
  <si>
    <t>KAYFA NUR ALIFA</t>
  </si>
  <si>
    <t>0105225469</t>
  </si>
  <si>
    <t>KHARISMA VITHADEYRA ANINDYA</t>
  </si>
  <si>
    <t>0102385829</t>
  </si>
  <si>
    <t>LILY INDRIANI MOCHAMMAD</t>
  </si>
  <si>
    <t>0104542225</t>
  </si>
  <si>
    <t>MEIDY KURNIAWAN HIDAYAT</t>
  </si>
  <si>
    <t>0108191552</t>
  </si>
  <si>
    <t>MOHAMAD REYHAN ADITYA PRATAMA</t>
  </si>
  <si>
    <t>0112990162</t>
  </si>
  <si>
    <t>MUHAMAD RIZQI</t>
  </si>
  <si>
    <t>0107518679</t>
  </si>
  <si>
    <t>MUHAMMAD GHAISAN KIRAL FADHLURRAHMAN</t>
  </si>
  <si>
    <t>0106960145</t>
  </si>
  <si>
    <t>MUHAMMAD HAMZAH ASYKAR</t>
  </si>
  <si>
    <t>0106059944</t>
  </si>
  <si>
    <t>NAILA APRIYANTI</t>
  </si>
  <si>
    <t>0108013507</t>
  </si>
  <si>
    <t>NAYSILA OKTAVIA RIZKIANA</t>
  </si>
  <si>
    <t>3119101007</t>
  </si>
  <si>
    <t>NIA NURHASANAH</t>
  </si>
  <si>
    <t>0102299893</t>
  </si>
  <si>
    <t>NOVAL ALI WARDHANA</t>
  </si>
  <si>
    <t>0096496498</t>
  </si>
  <si>
    <t>PUSPA AYU</t>
  </si>
  <si>
    <t>0119461477</t>
  </si>
  <si>
    <t>PUTRI AZIZA NURSHYIFA HERMAWAN</t>
  </si>
  <si>
    <t>0108792547</t>
  </si>
  <si>
    <t>RIZKY ALGIANSYAH KURNIAWAN</t>
  </si>
  <si>
    <t>0116551134</t>
  </si>
  <si>
    <t>RYCKEN SYABILA WINATA</t>
  </si>
  <si>
    <t>0111499778</t>
  </si>
  <si>
    <t>SEBASTIAN JUNAGRAHDILAU SIBAGARIANG</t>
  </si>
  <si>
    <t>0114627207</t>
  </si>
  <si>
    <t>SELPIA FAJRI YULIAN</t>
  </si>
  <si>
    <t>0102408234</t>
  </si>
  <si>
    <t>SHENDY ARFIANSYAH PUTRA</t>
  </si>
  <si>
    <t>0104533827</t>
  </si>
  <si>
    <t>SHONA AIN SALSABILLA</t>
  </si>
  <si>
    <t>0117398526</t>
  </si>
  <si>
    <t>SILMA LATIFAH</t>
  </si>
  <si>
    <t>0104726281</t>
  </si>
  <si>
    <t>SYAKIILAH NOUVA DWI ARYANI</t>
  </si>
  <si>
    <t>0114841640</t>
  </si>
  <si>
    <t>YULI RAHMAWATI</t>
  </si>
  <si>
    <t>0104588822</t>
  </si>
  <si>
    <t>ZAHRAH DANIA RAMADHANI</t>
  </si>
  <si>
    <t>0108234832</t>
  </si>
  <si>
    <t>ZALFA FAIZA KAROLIN</t>
  </si>
  <si>
    <t>Kelas : X-4</t>
  </si>
  <si>
    <t>SARY SARTYKA, S.Pd</t>
  </si>
  <si>
    <t>3104867317</t>
  </si>
  <si>
    <t>AGUS ARDIANSYAH</t>
  </si>
  <si>
    <t>0109141861</t>
  </si>
  <si>
    <t>AHMAD KUSMANA GANDA WINATA</t>
  </si>
  <si>
    <t>3113718904</t>
  </si>
  <si>
    <t>AILSA AZALIA AFLAH WIJANARKO</t>
  </si>
  <si>
    <t>0109549959</t>
  </si>
  <si>
    <t>ALMIERA AZALIA AFLAH</t>
  </si>
  <si>
    <t>0115448034</t>
  </si>
  <si>
    <t>ANISA SALSABILA</t>
  </si>
  <si>
    <t>0108969010</t>
  </si>
  <si>
    <t>ATHANIA KHONSYA NA`IMAH</t>
  </si>
  <si>
    <t>0111824713</t>
  </si>
  <si>
    <t>AZI AGUSTIAN RAMADHAN</t>
  </si>
  <si>
    <t>0101754483</t>
  </si>
  <si>
    <t>AZRIL PUTRA BAGASKARA</t>
  </si>
  <si>
    <t>0118747224</t>
  </si>
  <si>
    <t>CHARENIA NAFTALI APRILIA TAMBUNAN</t>
  </si>
  <si>
    <t>0119273312</t>
  </si>
  <si>
    <t>DANNISYA RIZKYANA</t>
  </si>
  <si>
    <t>0115199226</t>
  </si>
  <si>
    <t>DELWYN JAUWHARI</t>
  </si>
  <si>
    <t>0112835821</t>
  </si>
  <si>
    <t>DINI FITRAH HAERANI</t>
  </si>
  <si>
    <t>0108000881</t>
  </si>
  <si>
    <t>EPAFRAS NABISUK PANGARIBUAN</t>
  </si>
  <si>
    <t>0101907105</t>
  </si>
  <si>
    <t>HALIM RABBANI</t>
  </si>
  <si>
    <t>0119823897</t>
  </si>
  <si>
    <t>HAURA NABILA EILIYAH</t>
  </si>
  <si>
    <t>0118367396</t>
  </si>
  <si>
    <t>INDI MUTIARA</t>
  </si>
  <si>
    <t>0119268134</t>
  </si>
  <si>
    <t>IRWAN MAULANA YUSUF</t>
  </si>
  <si>
    <t>0109812537</t>
  </si>
  <si>
    <t>KENZY HILWA RAMANDA</t>
  </si>
  <si>
    <t>0103582012</t>
  </si>
  <si>
    <t>KHEYSA VIRGINNYA</t>
  </si>
  <si>
    <t>0097925702</t>
  </si>
  <si>
    <t>LANANG DIVA PUTRA ALTHAAF</t>
  </si>
  <si>
    <t>0103586068</t>
  </si>
  <si>
    <t>MANDALIKA ANIQAH DAYINI SHAFINA</t>
  </si>
  <si>
    <t>0102516191</t>
  </si>
  <si>
    <t>MOHAMMAD AZAM FIRMANSYAH</t>
  </si>
  <si>
    <t>0108881887</t>
  </si>
  <si>
    <t>MUHAMAD ARDAN JANUAR</t>
  </si>
  <si>
    <t>0105179566</t>
  </si>
  <si>
    <t>MUHAMAD RAMLI JAOHARUDIN</t>
  </si>
  <si>
    <t>0102049088</t>
  </si>
  <si>
    <t>MUHAMAD SAEPUL MIZAN</t>
  </si>
  <si>
    <t>0108222209</t>
  </si>
  <si>
    <t>MUHAMMAD KHAIFAL AL FALFI</t>
  </si>
  <si>
    <t>0109712349</t>
  </si>
  <si>
    <t>MULYADI</t>
  </si>
  <si>
    <t>0106591026</t>
  </si>
  <si>
    <t>NASYWA RAMADANNIA</t>
  </si>
  <si>
    <t>0119491307</t>
  </si>
  <si>
    <t>NIDZAR RADITHYA MAULANA</t>
  </si>
  <si>
    <t>0101789415</t>
  </si>
  <si>
    <t>OLIVIA ADITNA DEWI</t>
  </si>
  <si>
    <t>0105851419</t>
  </si>
  <si>
    <t>PAI`J</t>
  </si>
  <si>
    <t>0103269455</t>
  </si>
  <si>
    <t>PATIMAH AZ ZAHRA NUR SYA`ADAH</t>
  </si>
  <si>
    <t>0105269819</t>
  </si>
  <si>
    <t>PUTRI MONICA AZZAHRA</t>
  </si>
  <si>
    <t>0099340070</t>
  </si>
  <si>
    <t>RADITYA RESTU FAUZI</t>
  </si>
  <si>
    <t>0104421174</t>
  </si>
  <si>
    <t>RATU CALISTA MAYSYARAH YUDIANTI</t>
  </si>
  <si>
    <t>0114762647</t>
  </si>
  <si>
    <t>ROLAND NOEL SINABUTAR</t>
  </si>
  <si>
    <t>0104563323</t>
  </si>
  <si>
    <t>SABIYA NUR MALIHA KUSUMA</t>
  </si>
  <si>
    <t>0105269814</t>
  </si>
  <si>
    <t>SEPTIANI AL FITRI</t>
  </si>
  <si>
    <t>0103864059</t>
  </si>
  <si>
    <t>SIDIK PERMANA</t>
  </si>
  <si>
    <t>0104416399</t>
  </si>
  <si>
    <t>SITI NURAENI</t>
  </si>
  <si>
    <t>0101943861</t>
  </si>
  <si>
    <t>SYAKIRA NUR AQIILA</t>
  </si>
  <si>
    <t>0104455587</t>
  </si>
  <si>
    <t>ZAHRA NURAINI</t>
  </si>
  <si>
    <t>0117336626</t>
  </si>
  <si>
    <t>ZALFA MAULIDA</t>
  </si>
  <si>
    <t>0111768024</t>
  </si>
  <si>
    <t>ZEFANYA KEZIA ALBERGA</t>
  </si>
  <si>
    <t>Kelas : X-5</t>
  </si>
  <si>
    <t>EDI KUSNADI, S.Kom., Gr., M.Pd.</t>
  </si>
  <si>
    <t>0095188526</t>
  </si>
  <si>
    <t>AGNA MAULANA</t>
  </si>
  <si>
    <t>0116347317</t>
  </si>
  <si>
    <t>AHMAD RIPAI</t>
  </si>
  <si>
    <t>0112924689</t>
  </si>
  <si>
    <t>AISYAH NURMALA SARI</t>
  </si>
  <si>
    <t>0117636129</t>
  </si>
  <si>
    <t>AL-BIRUNI ILHAM RABBANI</t>
  </si>
  <si>
    <t>0118853558</t>
  </si>
  <si>
    <t>AMABEL RIFQA HUSAINA</t>
  </si>
  <si>
    <t>0119845285</t>
  </si>
  <si>
    <t>APRILLIA PUTRI WARDANI</t>
  </si>
  <si>
    <t>0108659999</t>
  </si>
  <si>
    <t>AQILLA NAIRA AZZAHRA</t>
  </si>
  <si>
    <t>0119090849</t>
  </si>
  <si>
    <t>AULIA FATIMAH AZZAHRO</t>
  </si>
  <si>
    <t>0104053749</t>
  </si>
  <si>
    <t>CAHYA RIZKY NUGRAHA</t>
  </si>
  <si>
    <t>0081849921</t>
  </si>
  <si>
    <t>CHANDRA SAPUTRA</t>
  </si>
  <si>
    <t>0107533540</t>
  </si>
  <si>
    <t>CLARISSA PUTRI SHAFIRA</t>
  </si>
  <si>
    <t>0108001384</t>
  </si>
  <si>
    <t>DAMAR HILMY WALDIANSYAH</t>
  </si>
  <si>
    <t>0101199779</t>
  </si>
  <si>
    <t>DESTIAN SARIANTI DABUKKE</t>
  </si>
  <si>
    <t>0116550348</t>
  </si>
  <si>
    <t>DIVA WULANDARI</t>
  </si>
  <si>
    <t>0107570433</t>
  </si>
  <si>
    <t>FADILLAH DWI RAMADHAN</t>
  </si>
  <si>
    <t>0107941123</t>
  </si>
  <si>
    <t>GILBERT FRANSEDA MARBUN</t>
  </si>
  <si>
    <t>0107540877</t>
  </si>
  <si>
    <t>IBNA SALSABILA LIRABIHA</t>
  </si>
  <si>
    <t>0111599045</t>
  </si>
  <si>
    <t>INTAN RATU SOFIA SA`DUN</t>
  </si>
  <si>
    <t>0107978452</t>
  </si>
  <si>
    <t>KAYLA NUR NAZWA</t>
  </si>
  <si>
    <t>0108030808</t>
  </si>
  <si>
    <t>KHANZA PUTRI CEPTIA HERNAWAN</t>
  </si>
  <si>
    <t>0109838804</t>
  </si>
  <si>
    <t>LADIVA SYMPHONY SURYAYUDHA</t>
  </si>
  <si>
    <t>0112860459</t>
  </si>
  <si>
    <t>MARDHIKA LIGHATARA</t>
  </si>
  <si>
    <t>0105384949</t>
  </si>
  <si>
    <t>MARIAM LINTANG REGINA MUSTIKA RAHAYU</t>
  </si>
  <si>
    <t>0109127979</t>
  </si>
  <si>
    <t>MOCHAMMAD AZKA AL FITHRA</t>
  </si>
  <si>
    <t>0104090625</t>
  </si>
  <si>
    <t>MUCHAMAD RIVAN FAUZI</t>
  </si>
  <si>
    <t>0101168165</t>
  </si>
  <si>
    <t>MUHAMAD RIDHOLOHU</t>
  </si>
  <si>
    <t>0095217376</t>
  </si>
  <si>
    <t>MUHAMAD SALMAN SULAEMAN</t>
  </si>
  <si>
    <t>0106461504</t>
  </si>
  <si>
    <t>MUHAMMAD MAULANA ISHAK SEPTI</t>
  </si>
  <si>
    <t>0101718098</t>
  </si>
  <si>
    <t>NAYLA FIRYAL SALSABILA</t>
  </si>
  <si>
    <t>0124108185</t>
  </si>
  <si>
    <t>QANITA HISAN HUMAIRA</t>
  </si>
  <si>
    <t>0102599588</t>
  </si>
  <si>
    <t>RADI BAMBANG SETIAWAN</t>
  </si>
  <si>
    <t>0117501688</t>
  </si>
  <si>
    <t>RADITYA ZAHRAN HABIBURRAHMAN</t>
  </si>
  <si>
    <t>0102239788</t>
  </si>
  <si>
    <t>RAFFA MUHAMAD PERMANA</t>
  </si>
  <si>
    <t>0107933805</t>
  </si>
  <si>
    <t>RAISHA KIM CALYA</t>
  </si>
  <si>
    <t>0116576197</t>
  </si>
  <si>
    <t>RANI MULYANI</t>
  </si>
  <si>
    <t>0107195356</t>
  </si>
  <si>
    <t>REFA ADELIA PUTRI</t>
  </si>
  <si>
    <t>0105413757</t>
  </si>
  <si>
    <t>SABIAN GHAISANDY RIZKI</t>
  </si>
  <si>
    <t>0104119758</t>
  </si>
  <si>
    <t>SALAMAH SRIWIJAYA</t>
  </si>
  <si>
    <t>0102114271</t>
  </si>
  <si>
    <t>SASKIA NURUL TAZKIAH</t>
  </si>
  <si>
    <t>0109087525</t>
  </si>
  <si>
    <t>SHAMAILA NOREEN FAZRIN</t>
  </si>
  <si>
    <t>0099612366</t>
  </si>
  <si>
    <t>SITI MUDRIKAH</t>
  </si>
  <si>
    <t>0118036883</t>
  </si>
  <si>
    <t>SOPIANDI</t>
  </si>
  <si>
    <t>0102707616</t>
  </si>
  <si>
    <t>TANTI NURUL AINI</t>
  </si>
  <si>
    <t>0118237171</t>
  </si>
  <si>
    <t>ZAHRA DINAR NUGRAHA</t>
  </si>
  <si>
    <t>0105066306</t>
  </si>
  <si>
    <t>ZIKRA RIDANI SYABANIAH</t>
  </si>
  <si>
    <t>Kelas : X-6</t>
  </si>
  <si>
    <t>MUHAMMAD OCTAVEGA, S.Pd</t>
  </si>
  <si>
    <t>0101649502</t>
  </si>
  <si>
    <t>AHMAD HADI FIRDAUS</t>
  </si>
  <si>
    <t>0108762258</t>
  </si>
  <si>
    <t>AKMAL DINARDYAKSA</t>
  </si>
  <si>
    <t>0101178772</t>
  </si>
  <si>
    <t>ALFIAN NURFAZRI</t>
  </si>
  <si>
    <t>0109816244</t>
  </si>
  <si>
    <t>AMALIA PUTERI AJIZAH</t>
  </si>
  <si>
    <t>0107662913</t>
  </si>
  <si>
    <t>AMANDA RIZKA MAULANA</t>
  </si>
  <si>
    <t>0108930853</t>
  </si>
  <si>
    <t>ANGGA DIMAS ANDRIYANTO</t>
  </si>
  <si>
    <t>0105598441</t>
  </si>
  <si>
    <t>ATHAYA NASYWA PUTRI AKHILA</t>
  </si>
  <si>
    <t>3074756573</t>
  </si>
  <si>
    <t>AURA KANIA ANJANI</t>
  </si>
  <si>
    <t>0117660827</t>
  </si>
  <si>
    <t>DADAN</t>
  </si>
  <si>
    <t>0118683299</t>
  </si>
  <si>
    <t>DARA KHUMAIRA</t>
  </si>
  <si>
    <t>0111520874</t>
  </si>
  <si>
    <t>DARUS JANWAR JAELANI FIKAR</t>
  </si>
  <si>
    <t>0105608170</t>
  </si>
  <si>
    <t>DINDA AYU LESTARI</t>
  </si>
  <si>
    <t>0111613623</t>
  </si>
  <si>
    <t>ELVINA ARDELIA FIKA RAHMA</t>
  </si>
  <si>
    <t>0097883602</t>
  </si>
  <si>
    <t>EVA NURDIANA</t>
  </si>
  <si>
    <t>0107717725</t>
  </si>
  <si>
    <t>FADLI AHMAD FADHILAH</t>
  </si>
  <si>
    <t>0118953908</t>
  </si>
  <si>
    <t>FAIRUZ ALYA QANITAH</t>
  </si>
  <si>
    <t>0098252146</t>
  </si>
  <si>
    <t>ILMI NURFATONAH</t>
  </si>
  <si>
    <t>0103710922</t>
  </si>
  <si>
    <t>KANAHAYA SAFFA AZZAHRA</t>
  </si>
  <si>
    <t>0114337660</t>
  </si>
  <si>
    <t>KEIHAN RAZZAQ</t>
  </si>
  <si>
    <t>0103244834</t>
  </si>
  <si>
    <t>KONITA SEPTIANI</t>
  </si>
  <si>
    <t>0105535494</t>
  </si>
  <si>
    <t>LIVIA MEILANI PUTRI</t>
  </si>
  <si>
    <t>0114072464</t>
  </si>
  <si>
    <t>MARSYA PRADITA HIDAYAT</t>
  </si>
  <si>
    <t>0116649758</t>
  </si>
  <si>
    <t>MEIFRI TRISTANTO</t>
  </si>
  <si>
    <t>0106542099</t>
  </si>
  <si>
    <t>MUGHNI SALAMAN KHAIR</t>
  </si>
  <si>
    <t>0114022349</t>
  </si>
  <si>
    <t>MUHAMAD SURYA ADITIA</t>
  </si>
  <si>
    <t>0113441452</t>
  </si>
  <si>
    <t>MUHAMAD YOGA PRANATA</t>
  </si>
  <si>
    <t>0102362349</t>
  </si>
  <si>
    <t>MUHAMMAD ALWIYAN SYAH</t>
  </si>
  <si>
    <t>0107042138</t>
  </si>
  <si>
    <t>MUHAMMAD PUTRA HENDRAWAN</t>
  </si>
  <si>
    <t>0102702906</t>
  </si>
  <si>
    <t>MUHAMMAD RIFQI ALFITRAH</t>
  </si>
  <si>
    <t>0101018737</t>
  </si>
  <si>
    <t>NAYLA KARERINA PUTRI</t>
  </si>
  <si>
    <t>0106294401</t>
  </si>
  <si>
    <t>NAZIRA NUR SABILA</t>
  </si>
  <si>
    <t>0114512970</t>
  </si>
  <si>
    <t>RADISTI ARLIANTY</t>
  </si>
  <si>
    <t>0107076593</t>
  </si>
  <si>
    <t>RADIT</t>
  </si>
  <si>
    <t>0109775620</t>
  </si>
  <si>
    <t>RAFFA RAMDANI MAULANA</t>
  </si>
  <si>
    <t>0117509926</t>
  </si>
  <si>
    <t>RAISYA PUTRI KURNIAWAN</t>
  </si>
  <si>
    <t>0101965993</t>
  </si>
  <si>
    <t>RAKA PUTRA DANTIA RAMADHANI</t>
  </si>
  <si>
    <t>0104513694</t>
  </si>
  <si>
    <t>REGINNA OCTAVIA PUTRI</t>
  </si>
  <si>
    <t>0116311972</t>
  </si>
  <si>
    <t>SAPA FERA SABILA</t>
  </si>
  <si>
    <t>0116779775</t>
  </si>
  <si>
    <t>SATRIA LAKSAMANA</t>
  </si>
  <si>
    <t>3114697450</t>
  </si>
  <si>
    <t>SILPI AYU SALMA</t>
  </si>
  <si>
    <t>0102472272</t>
  </si>
  <si>
    <t>SILVIA PUDIASARI</t>
  </si>
  <si>
    <t>0113922718</t>
  </si>
  <si>
    <t>SITI SHOLHA SHOLIHAH</t>
  </si>
  <si>
    <t>0108505604</t>
  </si>
  <si>
    <t>SULAIMAN AL AYUBI</t>
  </si>
  <si>
    <t>0118737342</t>
  </si>
  <si>
    <t>TABINA ZAINA NUR ROHMAN</t>
  </si>
  <si>
    <t>0112148589</t>
  </si>
  <si>
    <t>TARA NUR AISYAH</t>
  </si>
  <si>
    <t>0105693591</t>
  </si>
  <si>
    <t>ZAHRA INDAH DARA MENTARI</t>
  </si>
  <si>
    <t>Kelas : X-7</t>
  </si>
  <si>
    <t>SITI RAHMAH DIYANTI. S.Pd</t>
  </si>
  <si>
    <t>0108106488</t>
  </si>
  <si>
    <t>ADARA AMELIA</t>
  </si>
  <si>
    <t>0108288411</t>
  </si>
  <si>
    <t>AKMAL HAMDI NUGRAHA</t>
  </si>
  <si>
    <t>0109375843</t>
  </si>
  <si>
    <t>ALFIRA TASYA AULIA</t>
  </si>
  <si>
    <t>0109388119</t>
  </si>
  <si>
    <t>AMIRA RIZKA NOVIZA</t>
  </si>
  <si>
    <t>0105611499</t>
  </si>
  <si>
    <t>ANDI PRAMUDIKA</t>
  </si>
  <si>
    <t>0106262181</t>
  </si>
  <si>
    <t>ANDIKA WAHYUDI</t>
  </si>
  <si>
    <t>0106164264</t>
  </si>
  <si>
    <t>ASTRI LESTARI</t>
  </si>
  <si>
    <t>0107703732</t>
  </si>
  <si>
    <t>ATQIYA RIZKIA ARTANTI</t>
  </si>
  <si>
    <t>0111290582</t>
  </si>
  <si>
    <t>BELVA LUTHFIA NUR AZALIAH</t>
  </si>
  <si>
    <t>0114049839</t>
  </si>
  <si>
    <t>DAVIAN GIVANO SHAQIEL AL FAZHIR</t>
  </si>
  <si>
    <t>0117830476</t>
  </si>
  <si>
    <t>DEVA HERMANSYAH</t>
  </si>
  <si>
    <t>0101949278</t>
  </si>
  <si>
    <t>DINDA NUR AMELIA</t>
  </si>
  <si>
    <t>0101583526</t>
  </si>
  <si>
    <t>ELSA MEILANI</t>
  </si>
  <si>
    <t>0103662416</t>
  </si>
  <si>
    <t>FANESA AULIA RAYI RAMADHANI</t>
  </si>
  <si>
    <t>0109527504</t>
  </si>
  <si>
    <t>FAREL FATUROCHIM RIYADI</t>
  </si>
  <si>
    <t>0113085269</t>
  </si>
  <si>
    <t>GIO LAWERGIO SINAGA</t>
  </si>
  <si>
    <t>0116919874</t>
  </si>
  <si>
    <t>HANA MUBARAQ</t>
  </si>
  <si>
    <t>0119270786</t>
  </si>
  <si>
    <t>JAHIRA DWIYANTI</t>
  </si>
  <si>
    <t>0103552993</t>
  </si>
  <si>
    <t>KARTIKA MULIA SARI</t>
  </si>
  <si>
    <t>0104886108</t>
  </si>
  <si>
    <t>LATEEF ARSYAWAL HIMAWAN</t>
  </si>
  <si>
    <t>0113283048</t>
  </si>
  <si>
    <t>MAYZARRA ADIVA</t>
  </si>
  <si>
    <t>0118983024</t>
  </si>
  <si>
    <t>MELISA ANGGRAENI</t>
  </si>
  <si>
    <t>0118807977</t>
  </si>
  <si>
    <t>MIKAIL FARRAS FAZA</t>
  </si>
  <si>
    <t>0107006982</t>
  </si>
  <si>
    <t>MUHAMAD DELVIN ALVIANSYAH</t>
  </si>
  <si>
    <t>0104445021</t>
  </si>
  <si>
    <t>MUHAMAD YUSUP</t>
  </si>
  <si>
    <t>0107905597</t>
  </si>
  <si>
    <t>MUHAMAD ZAKKI NOER ALAMSYAH</t>
  </si>
  <si>
    <t>0101788242</t>
  </si>
  <si>
    <t>MUHAMMAD ISYA ABDEE ARYADI</t>
  </si>
  <si>
    <t>0104105567</t>
  </si>
  <si>
    <t>MUHAMMAD REIHAN SANJAYA</t>
  </si>
  <si>
    <t>0103320065</t>
  </si>
  <si>
    <t>MUHAMMAD SALMAN ATAYA FADHILAH</t>
  </si>
  <si>
    <t>0115017890</t>
  </si>
  <si>
    <t>NAYLA SRI NURHASANAH</t>
  </si>
  <si>
    <t>0112818712</t>
  </si>
  <si>
    <t>RACHEL PRINCESS SITINJAK</t>
  </si>
  <si>
    <t>0096291979</t>
  </si>
  <si>
    <t>RAFA ALIF FATHURAHMAN</t>
  </si>
  <si>
    <t>0106340039</t>
  </si>
  <si>
    <t>RAHMAT RAMADANI</t>
  </si>
  <si>
    <t>0107215204</t>
  </si>
  <si>
    <t>RAISYA RISKI YULIANTI</t>
  </si>
  <si>
    <t>0109147321</t>
  </si>
  <si>
    <t>RASYID MUGNI IRAWAN</t>
  </si>
  <si>
    <t>0103266790</t>
  </si>
  <si>
    <t>RAYHANUL HASANAH</t>
  </si>
  <si>
    <t>0108811296</t>
  </si>
  <si>
    <t>RIANI DWI SYAHWALANI</t>
  </si>
  <si>
    <t>0109923979</t>
  </si>
  <si>
    <t>SAGITA AYU ANDINI</t>
  </si>
  <si>
    <t>0101714816</t>
  </si>
  <si>
    <t>SELLY OKTAVIA RAHMAWATI</t>
  </si>
  <si>
    <t>0102066489</t>
  </si>
  <si>
    <t>SILVYA AZKA RAMDHANI</t>
  </si>
  <si>
    <t>0098093949</t>
  </si>
  <si>
    <t>SITI ZAHRO AWALIA APANDI</t>
  </si>
  <si>
    <t>0106214176</t>
  </si>
  <si>
    <t>SYAHRUL ARRIZKYANSYAH</t>
  </si>
  <si>
    <t>0102291259</t>
  </si>
  <si>
    <t>TASYA AZMI TABINA</t>
  </si>
  <si>
    <t>0108971802</t>
  </si>
  <si>
    <t>TRISTAN SUPENDI</t>
  </si>
  <si>
    <t>0108173067</t>
  </si>
  <si>
    <t>USWATUN KHAZANAH</t>
  </si>
  <si>
    <t>0104549964</t>
  </si>
  <si>
    <t>YUSRIYYAH SITI NUR FADHILAH</t>
  </si>
  <si>
    <t>Kelas : X-8</t>
  </si>
  <si>
    <t>DEDI FARID KURNIAWAN, S.Pd., M.M</t>
  </si>
  <si>
    <t>0104092690</t>
  </si>
  <si>
    <t>ADITYO GALIH PUTRA ROMADHON</t>
  </si>
  <si>
    <t>0118276433</t>
  </si>
  <si>
    <t>AGUSTINA RAHMAYANTI</t>
  </si>
  <si>
    <t>0109741517</t>
  </si>
  <si>
    <t>AKMAL ZAID RAMADHAN</t>
  </si>
  <si>
    <t>0108861780</t>
  </si>
  <si>
    <t>ALMIRA RICHIE LUTFIA GASANIA</t>
  </si>
  <si>
    <t>0109309710</t>
  </si>
  <si>
    <t>ANDIKA HERDIANSYAH</t>
  </si>
  <si>
    <t>0116316975</t>
  </si>
  <si>
    <t>ANNISA HANDAYANI YUNIARSIH</t>
  </si>
  <si>
    <t>0103096245</t>
  </si>
  <si>
    <t>AURELIA KIRANA FITRI</t>
  </si>
  <si>
    <t>0104190420</t>
  </si>
  <si>
    <t>CANTIKA ZAHRA ASYARO</t>
  </si>
  <si>
    <t>0094923846</t>
  </si>
  <si>
    <t>DEBBY CAHYA FITRI</t>
  </si>
  <si>
    <t>0104706496</t>
  </si>
  <si>
    <t>DERI REPANDA PUTRA</t>
  </si>
  <si>
    <t>0101275584</t>
  </si>
  <si>
    <t>DWINTANIA ZIELAN NOERASYWAQ</t>
  </si>
  <si>
    <t>0107534134</t>
  </si>
  <si>
    <t>FARHAN IBNU SAEPUDIN</t>
  </si>
  <si>
    <t>0126009358</t>
  </si>
  <si>
    <t>FHARRAND HAZEL ATHYANTA</t>
  </si>
  <si>
    <t>0108152970</t>
  </si>
  <si>
    <t>FITRIA RAMADHANI</t>
  </si>
  <si>
    <t>0102766141</t>
  </si>
  <si>
    <t>JASMINE SEICA NOORISHE</t>
  </si>
  <si>
    <t>0117449395</t>
  </si>
  <si>
    <t>JENNIFER PUTRI DUNGGIO</t>
  </si>
  <si>
    <t>0118597708</t>
  </si>
  <si>
    <t>KAYYISA GANIA AFRIN</t>
  </si>
  <si>
    <t>0109982974</t>
  </si>
  <si>
    <t>MARTINNIUS HASUNDUNGAN</t>
  </si>
  <si>
    <t>0108788216</t>
  </si>
  <si>
    <t>MEYSA PUTRI ANISA</t>
  </si>
  <si>
    <t>0096464437</t>
  </si>
  <si>
    <t>MOCH GEMA PUTRA</t>
  </si>
  <si>
    <t>0103177555</t>
  </si>
  <si>
    <t>MUHAMAD FATHUR ROCHMAN</t>
  </si>
  <si>
    <t>0104668180</t>
  </si>
  <si>
    <t>MUHAMMAD AGI PUTERA HARTONO</t>
  </si>
  <si>
    <t>0112551162</t>
  </si>
  <si>
    <t>MUHAMMAD AZAMY KHALIFA</t>
  </si>
  <si>
    <t>0112637250</t>
  </si>
  <si>
    <t>MUHAMMAD YUSRIANANTA</t>
  </si>
  <si>
    <t>3112208524</t>
  </si>
  <si>
    <t>MUHAMMAD ZAID AKBAR</t>
  </si>
  <si>
    <t>0105920461</t>
  </si>
  <si>
    <t>NABILA KAMIL</t>
  </si>
  <si>
    <t>0119129988</t>
  </si>
  <si>
    <t>NAJMAH JALILATUL `ULYA</t>
  </si>
  <si>
    <t>0111533504</t>
  </si>
  <si>
    <t>NENG RAHMA</t>
  </si>
  <si>
    <t>0103221419</t>
  </si>
  <si>
    <t>RAHADIANSYAH NUGRAHA</t>
  </si>
  <si>
    <t>0106050899</t>
  </si>
  <si>
    <t>RAISYA ADITYA HERMAWAN</t>
  </si>
  <si>
    <t>0119944828</t>
  </si>
  <si>
    <t>RAIZA FAKHIRA HABIBATUL AZIZA</t>
  </si>
  <si>
    <t>0114997821</t>
  </si>
  <si>
    <t>REGINA PUTRI SYEIRRA</t>
  </si>
  <si>
    <t>0115571797</t>
  </si>
  <si>
    <t>REGUEL JULIANDRI SIREGAR</t>
  </si>
  <si>
    <t>0118862136</t>
  </si>
  <si>
    <t>REVANIA NUR MALIKA</t>
  </si>
  <si>
    <t>0107055277</t>
  </si>
  <si>
    <t>RISTY SEPTIANI</t>
  </si>
  <si>
    <t>0101810183</t>
  </si>
  <si>
    <t>SADDAM RANGGA PRATAMA</t>
  </si>
  <si>
    <t>0105491117</t>
  </si>
  <si>
    <t>SASKIA ARTIYANI</t>
  </si>
  <si>
    <t>0103884688</t>
  </si>
  <si>
    <t>SATRIA AJI PRATAMA</t>
  </si>
  <si>
    <t>0115828231</t>
  </si>
  <si>
    <t>SEPTY AMELIA PUTRI</t>
  </si>
  <si>
    <t>0105025740</t>
  </si>
  <si>
    <t>SINTIA MELATI HUTABARAT</t>
  </si>
  <si>
    <t>0116326508</t>
  </si>
  <si>
    <t>SITI SISKA NUR ARROJIAH</t>
  </si>
  <si>
    <t>0104459807</t>
  </si>
  <si>
    <t>SRI NURHAYATI</t>
  </si>
  <si>
    <t>0117946779</t>
  </si>
  <si>
    <t>TIFFANI ASTRI APRILIA</t>
  </si>
  <si>
    <t>0109660410</t>
  </si>
  <si>
    <t>WISNU SUSENO</t>
  </si>
  <si>
    <t>0109136931</t>
  </si>
  <si>
    <t>ZIVARA FAISAL ALDERY</t>
  </si>
  <si>
    <t>Kelas : X-9</t>
  </si>
  <si>
    <t>YONADISA VELARIANA, S.Pd</t>
  </si>
  <si>
    <t>0114615043</t>
  </si>
  <si>
    <t>AKBAR HUSAIN AL KHALID CAHYA</t>
  </si>
  <si>
    <t>0105292088</t>
  </si>
  <si>
    <t>AL BIANSYAH FITRAN</t>
  </si>
  <si>
    <t>0107508465</t>
  </si>
  <si>
    <t>AL JALUDIN AKBAR</t>
  </si>
  <si>
    <t>3114466238</t>
  </si>
  <si>
    <t>ALHANZ NOER KARINA</t>
  </si>
  <si>
    <t>0115198254</t>
  </si>
  <si>
    <t>ALVINAA RABBANIE</t>
  </si>
  <si>
    <t>0106241473</t>
  </si>
  <si>
    <t>ARI SETIAWAN</t>
  </si>
  <si>
    <t>0108682220</t>
  </si>
  <si>
    <t>ARIN SITI LUTFIAH</t>
  </si>
  <si>
    <t>0101889845</t>
  </si>
  <si>
    <t>AURELLIA DWI PUTRI SURYANTO</t>
  </si>
  <si>
    <t>0118163190</t>
  </si>
  <si>
    <t>AYRA RIZKIA AHMAD</t>
  </si>
  <si>
    <t>0101496462</t>
  </si>
  <si>
    <t>AZZAM ELNAIZAR SAMANA RIJALMI</t>
  </si>
  <si>
    <t>0107822017</t>
  </si>
  <si>
    <t>CLAUDIANA SAHARA</t>
  </si>
  <si>
    <t>0109549864</t>
  </si>
  <si>
    <t>DESI NOVIANTI</t>
  </si>
  <si>
    <t>0107308332</t>
  </si>
  <si>
    <t>DEVIS RAHMAN NANDANA</t>
  </si>
  <si>
    <t>3118777736</t>
  </si>
  <si>
    <t>DZAKIYYAH NAILA ZAHIRA</t>
  </si>
  <si>
    <t>0109080179</t>
  </si>
  <si>
    <t>FATHAN RAINURA HASYA</t>
  </si>
  <si>
    <t>3116180386</t>
  </si>
  <si>
    <t>GARRY RAIHAN FAHREZI</t>
  </si>
  <si>
    <t>0105824875</t>
  </si>
  <si>
    <t>GIYZA ISNANIA ZHAIRA SUPRIATNA</t>
  </si>
  <si>
    <t>0103969002</t>
  </si>
  <si>
    <t>INTAN NURHAYATI</t>
  </si>
  <si>
    <t>0104408133</t>
  </si>
  <si>
    <t>JIHAN SALSABILA RAMADANI</t>
  </si>
  <si>
    <t>0106275136</t>
  </si>
  <si>
    <t>KEIRA AL SHINA PUTRI</t>
  </si>
  <si>
    <t>0108492266</t>
  </si>
  <si>
    <t>KEISYA INDAH KIRANI PRATAMA</t>
  </si>
  <si>
    <t>0108675924</t>
  </si>
  <si>
    <t>MOCHAMAD FAUZAN MAHESA ZENAR</t>
  </si>
  <si>
    <t>0107371422</t>
  </si>
  <si>
    <t>MUHAMAD FAUZI AL-MUZACKY</t>
  </si>
  <si>
    <t>0107301776</t>
  </si>
  <si>
    <t>MUHAMAD IKHSAN RENALDO</t>
  </si>
  <si>
    <t>0098225931</t>
  </si>
  <si>
    <t>MUHAMMAD ARSYAD</t>
  </si>
  <si>
    <t>0117466719</t>
  </si>
  <si>
    <t>MUHAMMAD BILALDI ALFARIZKI</t>
  </si>
  <si>
    <t>0106925531</t>
  </si>
  <si>
    <t>MUHAMMAD ZAENAL ARIF</t>
  </si>
  <si>
    <t>0118893707</t>
  </si>
  <si>
    <t>MUTIA ALBANI SETIAWAN</t>
  </si>
  <si>
    <t>0107157882</t>
  </si>
  <si>
    <t>NABILA MULYA PUTRI</t>
  </si>
  <si>
    <t>0107411481</t>
  </si>
  <si>
    <t>NADHIF FATURROHMAN MUWAFIQ</t>
  </si>
  <si>
    <t>0107062710</t>
  </si>
  <si>
    <t>NAYLA AL-GINA PUTRI</t>
  </si>
  <si>
    <t>0116887265</t>
  </si>
  <si>
    <t>NITA KAMILAH</t>
  </si>
  <si>
    <t>0114903773</t>
  </si>
  <si>
    <t>PUTRI AULIAWAN</t>
  </si>
  <si>
    <t>0103441676</t>
  </si>
  <si>
    <t>RAHMA ALIFIYA PUTRI</t>
  </si>
  <si>
    <t>0115393254</t>
  </si>
  <si>
    <t>RAKA SAFEB DIRGANTARA</t>
  </si>
  <si>
    <t>0111159159</t>
  </si>
  <si>
    <t>RATU KHAYLA YUDHA</t>
  </si>
  <si>
    <t>0095527780</t>
  </si>
  <si>
    <t>RAYSHA NAYRA PUTRI</t>
  </si>
  <si>
    <t>0104294518</t>
  </si>
  <si>
    <t>REFALDO ILHAM</t>
  </si>
  <si>
    <t>0103226197</t>
  </si>
  <si>
    <t>RIFFA SYAHWAL</t>
  </si>
  <si>
    <t>0114660819</t>
  </si>
  <si>
    <t>SAHA RINI</t>
  </si>
  <si>
    <t>0106857530</t>
  </si>
  <si>
    <t>SIFA NUR AINI</t>
  </si>
  <si>
    <t>0114441839</t>
  </si>
  <si>
    <t>SRI PUTRI HOIRUN NISA</t>
  </si>
  <si>
    <t>0101273366</t>
  </si>
  <si>
    <t>SUCI RAMDANI</t>
  </si>
  <si>
    <t>0104897261</t>
  </si>
  <si>
    <t>VANESA PUTRI NURAENI</t>
  </si>
  <si>
    <t>0103267705</t>
  </si>
  <si>
    <t>VEPEP ERVAN MAULANA</t>
  </si>
  <si>
    <t>0108315658</t>
  </si>
  <si>
    <t>YOSEAS DHANDRA MANAHAN SIMBOLON</t>
  </si>
  <si>
    <t>Kelas : X-10</t>
  </si>
  <si>
    <t>MUHARIMA RASYID NOOR, SST.</t>
  </si>
  <si>
    <t>0108823143</t>
  </si>
  <si>
    <t>ALFARINI AFRINSI</t>
  </si>
  <si>
    <t>0106623691</t>
  </si>
  <si>
    <t>ALI DANENDRA WIDYADHANNA</t>
  </si>
  <si>
    <t>0106604591</t>
  </si>
  <si>
    <t>ALIA PUTRI RAMDANI</t>
  </si>
  <si>
    <t>0112485747</t>
  </si>
  <si>
    <t>ARKA RASSYA ILHAMSYAH</t>
  </si>
  <si>
    <t>0103923766</t>
  </si>
  <si>
    <t>AULIA AYU LESTARI</t>
  </si>
  <si>
    <t>0107591683</t>
  </si>
  <si>
    <t>AZRIEL AL HABSY</t>
  </si>
  <si>
    <t>0119693569</t>
  </si>
  <si>
    <t>DANELA MOESLEM</t>
  </si>
  <si>
    <t>0114281002</t>
  </si>
  <si>
    <t>DAVINA MULYAWARDANI</t>
  </si>
  <si>
    <t>0106199536</t>
  </si>
  <si>
    <t>DIKA ARDIAN SAPUTRA</t>
  </si>
  <si>
    <t>0113368694</t>
  </si>
  <si>
    <t>EISYA LUNITA</t>
  </si>
  <si>
    <t>0111808748</t>
  </si>
  <si>
    <t>FILIA FAKHIRAH KRESNA</t>
  </si>
  <si>
    <t>0107511675</t>
  </si>
  <si>
    <t>FITRA SANDIANSYAH</t>
  </si>
  <si>
    <t>0113684836</t>
  </si>
  <si>
    <t>HANIF MUBAROK</t>
  </si>
  <si>
    <t>0102423596</t>
  </si>
  <si>
    <t>HANZALAH AL GHIFARI AMR MUJAHID</t>
  </si>
  <si>
    <t>0109149302</t>
  </si>
  <si>
    <t>INDI RODIAWATI</t>
  </si>
  <si>
    <t>0102946250</t>
  </si>
  <si>
    <t>KEISHA ANJELINA PUTRI</t>
  </si>
  <si>
    <t>0107003732</t>
  </si>
  <si>
    <t>KEYILA SEPTIMA PUTRI</t>
  </si>
  <si>
    <t>0119437651</t>
  </si>
  <si>
    <t>KHAYRA NAUREEN NESYA ANGGARA</t>
  </si>
  <si>
    <t>0111824500</t>
  </si>
  <si>
    <t>MARSHA BILQIS PUTRI GUNAWAN</t>
  </si>
  <si>
    <t>0102267550</t>
  </si>
  <si>
    <t>MOCHAMAD IQBAL</t>
  </si>
  <si>
    <t>0112459227</t>
  </si>
  <si>
    <t>MUHAMAD HAZEL ADIKA DHANA</t>
  </si>
  <si>
    <t>0118239223</t>
  </si>
  <si>
    <t>MUHAMAD ILYAS EKA FAUZI</t>
  </si>
  <si>
    <t>0104911485</t>
  </si>
  <si>
    <t>MUHAMMAD DZIKRI TAUFANI</t>
  </si>
  <si>
    <t>0091846534</t>
  </si>
  <si>
    <t>MUHAMMAD FAISAL HIDAYAT</t>
  </si>
  <si>
    <t>0107845671</t>
  </si>
  <si>
    <t>MUHAMMAD FERDIANSYAH PRATAMA</t>
  </si>
  <si>
    <t>0113009890</t>
  </si>
  <si>
    <t>NABILA NUR ANGGRAENI</t>
  </si>
  <si>
    <t>0105648708</t>
  </si>
  <si>
    <t>NADIA DWI NOVITA SARI</t>
  </si>
  <si>
    <t>0097675000</t>
  </si>
  <si>
    <t>NAILA NURAINI</t>
  </si>
  <si>
    <t>3104191594</t>
  </si>
  <si>
    <t>NAJIB ALDAN PERMANA</t>
  </si>
  <si>
    <t>0106463789</t>
  </si>
  <si>
    <t>NENG QILLA SITI MASBUBAH</t>
  </si>
  <si>
    <t>0105173040</t>
  </si>
  <si>
    <t>NOVA REFANI</t>
  </si>
  <si>
    <t>0113563267</t>
  </si>
  <si>
    <t>REGINA RIZKY AQILAHUSNA</t>
  </si>
  <si>
    <t>0105465220</t>
  </si>
  <si>
    <t>RENDI ARDIANSYAH</t>
  </si>
  <si>
    <t>0107407508</t>
  </si>
  <si>
    <t>RENGGANIS ADINDA PUTRI</t>
  </si>
  <si>
    <t>0093224721</t>
  </si>
  <si>
    <t>REVANO RIZKY PRATAMA</t>
  </si>
  <si>
    <t>0109306831</t>
  </si>
  <si>
    <t>RISKA NOVIYANTI</t>
  </si>
  <si>
    <t>0105338138</t>
  </si>
  <si>
    <t>RIZKY FEBRIAN TAMSIRIN</t>
  </si>
  <si>
    <t>3106028620</t>
  </si>
  <si>
    <t>SALMA RAMADHANI PUTRI</t>
  </si>
  <si>
    <t>0119350754</t>
  </si>
  <si>
    <t>SELVINA WIEDYA LATIFFA</t>
  </si>
  <si>
    <t>0101540882</t>
  </si>
  <si>
    <t>SITI ALYA CAHYA KURNIA</t>
  </si>
  <si>
    <t>0117899701</t>
  </si>
  <si>
    <t>SULTHAN DERI RADITYA</t>
  </si>
  <si>
    <t>0118473705</t>
  </si>
  <si>
    <t>SUSAN CINTA APRILIA</t>
  </si>
  <si>
    <t>0109702048</t>
  </si>
  <si>
    <t>TASA FATIMAH AZZAHRA</t>
  </si>
  <si>
    <t>0108614944</t>
  </si>
  <si>
    <t>VANI ROSELA</t>
  </si>
  <si>
    <t>0113921678</t>
  </si>
  <si>
    <t>ZIHAYDIN BADAR AKBAR SALAM</t>
  </si>
  <si>
    <t>0104822433</t>
  </si>
  <si>
    <t>ZILDAN BELVA PRAYATA</t>
  </si>
  <si>
    <t>Kelas : X-11</t>
  </si>
  <si>
    <t>HASNA ATIAH, S.Pd.</t>
  </si>
  <si>
    <t>0118104395</t>
  </si>
  <si>
    <t>ABDULLAH ZAHIR</t>
  </si>
  <si>
    <t>0118289401</t>
  </si>
  <si>
    <t>ADITYA BAIHAQI AL LAIL</t>
  </si>
  <si>
    <t>3104650405</t>
  </si>
  <si>
    <t>ALINA SUKMA</t>
  </si>
  <si>
    <t>0108785373</t>
  </si>
  <si>
    <t>ALVIN ILHAM RAMDHANI</t>
  </si>
  <si>
    <t>0102860292</t>
  </si>
  <si>
    <t>AMANDA TIFANY PUTRI</t>
  </si>
  <si>
    <t>0105781212</t>
  </si>
  <si>
    <t>ARY FIRMANSAH</t>
  </si>
  <si>
    <t>0112171467</t>
  </si>
  <si>
    <t>AYRA FAZIA SHAFANA</t>
  </si>
  <si>
    <t>0101720600</t>
  </si>
  <si>
    <t>BIANKA RAMADHANI</t>
  </si>
  <si>
    <t>0108698579</t>
  </si>
  <si>
    <t>DAFFA NAUFAL RAMADHAN</t>
  </si>
  <si>
    <t>0101497501</t>
  </si>
  <si>
    <t>DEDE AWAL NATAN RAMADANI</t>
  </si>
  <si>
    <t>0104056671</t>
  </si>
  <si>
    <t>DESI ROS AZHARI</t>
  </si>
  <si>
    <t>0109400521</t>
  </si>
  <si>
    <t>DIKI ARDIAN SAPUTRA</t>
  </si>
  <si>
    <t>0102769794</t>
  </si>
  <si>
    <t>FIRLY WIANY PUTRI</t>
  </si>
  <si>
    <t>0105870599</t>
  </si>
  <si>
    <t>FIRZA AZMI IRAWAN</t>
  </si>
  <si>
    <t>0098038653</t>
  </si>
  <si>
    <t>HAFIEZH AS SALAM</t>
  </si>
  <si>
    <t>0103105904</t>
  </si>
  <si>
    <t>ISMI QURROTA AINI</t>
  </si>
  <si>
    <t>0116300039</t>
  </si>
  <si>
    <t>KAYSAFA NABAWI HERMAWAN</t>
  </si>
  <si>
    <t>0112263988</t>
  </si>
  <si>
    <t>KEYLA KIRANA PUTRI</t>
  </si>
  <si>
    <t>0108564936</t>
  </si>
  <si>
    <t>KHARINISA NUNGKY ASTUTI</t>
  </si>
  <si>
    <t>0108867580</t>
  </si>
  <si>
    <t>MOCHAMMAD DHESTYAN FICKRY</t>
  </si>
  <si>
    <t>0106466974</t>
  </si>
  <si>
    <t>MOH. ASEP RAMDAN</t>
  </si>
  <si>
    <t>0115142810</t>
  </si>
  <si>
    <t>MUHAMAD RAFA RAHAYU</t>
  </si>
  <si>
    <t>0102432114</t>
  </si>
  <si>
    <t>MUHAMMAD ATHAR HASANUL WAFA</t>
  </si>
  <si>
    <t>0117089577</t>
  </si>
  <si>
    <t>MUHAMMAD FACHRY PRADANA</t>
  </si>
  <si>
    <t>0107608765</t>
  </si>
  <si>
    <t>MUHAMMAD ZAKY DWIRA NUGRAHA</t>
  </si>
  <si>
    <t>0102856381</t>
  </si>
  <si>
    <t>NABILA NUR OKTAVIANI</t>
  </si>
  <si>
    <t>3118241523</t>
  </si>
  <si>
    <t>NADHILA RIFDAH FAKHIRA</t>
  </si>
  <si>
    <t>0111795196</t>
  </si>
  <si>
    <t>NAILSHA ALZENA ALMAGHVIRAH</t>
  </si>
  <si>
    <t>0095122422</t>
  </si>
  <si>
    <t>NUR HAZIZAH</t>
  </si>
  <si>
    <t>0115483608</t>
  </si>
  <si>
    <t>PRAMUDYA FAJAR SANTOSO</t>
  </si>
  <si>
    <t>0096664976</t>
  </si>
  <si>
    <t>RENO ABIDIN</t>
  </si>
  <si>
    <t>0106161734</t>
  </si>
  <si>
    <t>REVAN ANDRIYANSYAH</t>
  </si>
  <si>
    <t>0112516408</t>
  </si>
  <si>
    <t>RIANTI ZAHRA</t>
  </si>
  <si>
    <t>0109081877</t>
  </si>
  <si>
    <t>RINDIANI MAYLANSIS</t>
  </si>
  <si>
    <t>0108868825</t>
  </si>
  <si>
    <t>ROBBY MUHAMAD DEVANO</t>
  </si>
  <si>
    <t>0101271706</t>
  </si>
  <si>
    <t>SALSABILA NUR`AENI</t>
  </si>
  <si>
    <t>0115024261</t>
  </si>
  <si>
    <t>SHALFA REGISTA AZAHRA</t>
  </si>
  <si>
    <t>0103404177</t>
  </si>
  <si>
    <t>SISKA PRIYANI SURYADINATA</t>
  </si>
  <si>
    <t>0108973110</t>
  </si>
  <si>
    <t>SITI NURUL SYIFA</t>
  </si>
  <si>
    <t>0107927952</t>
  </si>
  <si>
    <t>SYAFA KHOERUNNISA</t>
  </si>
  <si>
    <t>0113887574</t>
  </si>
  <si>
    <t>VIANI LATIFAH</t>
  </si>
  <si>
    <t>0106310053</t>
  </si>
  <si>
    <t>YASHINTA KIRANA</t>
  </si>
  <si>
    <t>0101690086</t>
  </si>
  <si>
    <t>YULISTYA AMELDA</t>
  </si>
  <si>
    <t>0117443704</t>
  </si>
  <si>
    <t>ZUBAIR HAFIIZH SOEDANTO</t>
  </si>
  <si>
    <t>MUHAMAD FAUZI AL-MUAZACKY</t>
  </si>
  <si>
    <t>FIKRI ZAHRAN ALWAAQI</t>
  </si>
  <si>
    <t>NAJMAH JALILATUL ULYA</t>
  </si>
  <si>
    <t>MOH.ASEP RAMDAN</t>
  </si>
  <si>
    <t>PATIMAH AZ ZAHRA NUR SYA'ADAH</t>
  </si>
  <si>
    <t>JAHIRA DWI YANTI</t>
  </si>
  <si>
    <t>MUHAMMAD GHAISAN KIRAL FADHLURRAHM</t>
  </si>
  <si>
    <t>SITI SRI MULYANI FADILQJ</t>
  </si>
  <si>
    <t>RAFA ALIFATHURAHMAN</t>
  </si>
  <si>
    <t>FANISA AULIA RAYI RAMADHANI</t>
  </si>
  <si>
    <t>KAYSAFA NAWAWI HERMAWAN</t>
  </si>
  <si>
    <t>GIO LAWER GIO SINAGA</t>
  </si>
  <si>
    <t>ROLAMD NOEL SINABUTAR</t>
  </si>
  <si>
    <t>PAI'J</t>
  </si>
  <si>
    <t>INTAN RATU SOFIA SA'DUN</t>
  </si>
  <si>
    <t>MUHAMMAD IKHSAN RENALDO</t>
  </si>
  <si>
    <t>ALVINNO DWI PUTRA</t>
  </si>
  <si>
    <t>REVA NIA NURMALIKA</t>
  </si>
  <si>
    <t>ATHANIA KHONSYA NA'IMAH</t>
  </si>
  <si>
    <t>DINA NURUL HABIBAH</t>
  </si>
  <si>
    <t>3277013108080003</t>
  </si>
  <si>
    <t>3277010511060916</t>
  </si>
  <si>
    <t>SMP NEGERI 4 CIMAHI</t>
  </si>
  <si>
    <t>3277014709080006</t>
  </si>
  <si>
    <t>3277011904110018</t>
  </si>
  <si>
    <t>3273156408080001</t>
  </si>
  <si>
    <t>3273150909103365</t>
  </si>
  <si>
    <t>SMP PASUNDAN 7</t>
  </si>
  <si>
    <t>3277015706080002</t>
  </si>
  <si>
    <t>3277012307070011</t>
  </si>
  <si>
    <t>SMP PGRI CIBEUREUM</t>
  </si>
  <si>
    <t>3277015505090004</t>
  </si>
  <si>
    <t>3277011903120007</t>
  </si>
  <si>
    <t>3273150104090003</t>
  </si>
  <si>
    <t>3273150909103185</t>
  </si>
  <si>
    <t>3273155812000013</t>
  </si>
  <si>
    <t>3273151012140008</t>
  </si>
  <si>
    <t>SMP YPKKP</t>
  </si>
  <si>
    <t>3277015909080001</t>
  </si>
  <si>
    <t>3277011210060291</t>
  </si>
  <si>
    <t>MTs AR-RIYADL</t>
  </si>
  <si>
    <t>3277014404080007</t>
  </si>
  <si>
    <t>3277010602230004</t>
  </si>
  <si>
    <t>3203115403090003</t>
  </si>
  <si>
    <t>3277010107140022</t>
  </si>
  <si>
    <t>SMP PELITA BANGSA</t>
  </si>
  <si>
    <t>3273155105090004</t>
  </si>
  <si>
    <t>3273151209104550</t>
  </si>
  <si>
    <t>SMP NEGERI 57</t>
  </si>
  <si>
    <t>3273151201090002</t>
  </si>
  <si>
    <t>3273151109109317</t>
  </si>
  <si>
    <t>3273152204090004</t>
  </si>
  <si>
    <t>3277011905170018</t>
  </si>
  <si>
    <t>MTs AL-MUSYAHADAH</t>
  </si>
  <si>
    <t>3204106301090004</t>
  </si>
  <si>
    <t>3216070904074608</t>
  </si>
  <si>
    <t>MTSN KOTA CIMAHI</t>
  </si>
  <si>
    <t>3174090808080011</t>
  </si>
  <si>
    <t>3277010904170004</t>
  </si>
  <si>
    <t>3273152507080004</t>
  </si>
  <si>
    <t>3273150909101076</t>
  </si>
  <si>
    <t>3277015311080006</t>
  </si>
  <si>
    <t>3277011602170002</t>
  </si>
  <si>
    <t>3273025510080001</t>
  </si>
  <si>
    <t>3273072307180003</t>
  </si>
  <si>
    <t>SMP NEGERI 9</t>
  </si>
  <si>
    <t>3277011611080009</t>
  </si>
  <si>
    <t>3277011203140020</t>
  </si>
  <si>
    <t>3277012912080006</t>
  </si>
  <si>
    <t>3277010511060352</t>
  </si>
  <si>
    <t>3277012403090003</t>
  </si>
  <si>
    <t>3277011004070136</t>
  </si>
  <si>
    <t>3277014608090006</t>
  </si>
  <si>
    <t>3277011109120033</t>
  </si>
  <si>
    <t>3277016304090002</t>
  </si>
  <si>
    <t>3277011007170004</t>
  </si>
  <si>
    <t>SMP NEGERI 1</t>
  </si>
  <si>
    <t>3273154908080003</t>
  </si>
  <si>
    <t>3273151109107629</t>
  </si>
  <si>
    <t>SMP PLUS SINDANG RESMI</t>
  </si>
  <si>
    <t>3277011905080006</t>
  </si>
  <si>
    <t>3277011901120011</t>
  </si>
  <si>
    <t>3273154804090004</t>
  </si>
  <si>
    <t>3273152811120011</t>
  </si>
  <si>
    <t>MTsN 1 Kota Bandung</t>
  </si>
  <si>
    <t>3277014710070011</t>
  </si>
  <si>
    <t>3277011604150007</t>
  </si>
  <si>
    <t>MTSS DAARUR RAHMAH</t>
  </si>
  <si>
    <t>3277020202090002</t>
  </si>
  <si>
    <t>3277011910120032</t>
  </si>
  <si>
    <t>MTs FATAHILLAH</t>
  </si>
  <si>
    <t>3277011711080005</t>
  </si>
  <si>
    <t>3277012111220008</t>
  </si>
  <si>
    <t>SMP DARUL FALAH</t>
  </si>
  <si>
    <t>3277011802090005</t>
  </si>
  <si>
    <t>3277010411080033</t>
  </si>
  <si>
    <t>SMP NEGERI 6</t>
  </si>
  <si>
    <t>3277010407090005</t>
  </si>
  <si>
    <t>3277010912140004</t>
  </si>
  <si>
    <t>3273152804080003</t>
  </si>
  <si>
    <t>3273150909102715</t>
  </si>
  <si>
    <t>SMP NEGERI 39</t>
  </si>
  <si>
    <t>3277014702090001</t>
  </si>
  <si>
    <t>3277010902090005</t>
  </si>
  <si>
    <t>3273155703090003</t>
  </si>
  <si>
    <t>3273151109107267</t>
  </si>
  <si>
    <t>SMP NEGERI 55</t>
  </si>
  <si>
    <t>3206206507080001</t>
  </si>
  <si>
    <t>3273155508080002</t>
  </si>
  <si>
    <t>3273151307160010</t>
  </si>
  <si>
    <t>3273152704090003</t>
  </si>
  <si>
    <t>3273152003240003</t>
  </si>
  <si>
    <t>3277010106080006</t>
  </si>
  <si>
    <t>3277010311060202</t>
  </si>
  <si>
    <t>3273156807080002</t>
  </si>
  <si>
    <t>3273150909106225</t>
  </si>
  <si>
    <t>MTS YANURI ANNAMIRA</t>
  </si>
  <si>
    <t>3277015504090005</t>
  </si>
  <si>
    <t>3273042410190014</t>
  </si>
  <si>
    <t>3277010412080006</t>
  </si>
  <si>
    <t>3277010411060999</t>
  </si>
  <si>
    <t>3277026803090004</t>
  </si>
  <si>
    <t>3277013110061188</t>
  </si>
  <si>
    <t>3277015803090002</t>
  </si>
  <si>
    <t>3277012406090004</t>
  </si>
  <si>
    <t>3273152401090002</t>
  </si>
  <si>
    <t>3273151109104834</t>
  </si>
  <si>
    <t>3277012501090003</t>
  </si>
  <si>
    <t>3277010211061673</t>
  </si>
  <si>
    <t>SMP PLUS AL AQSHA</t>
  </si>
  <si>
    <t>3277015906080001</t>
  </si>
  <si>
    <t>3277010202070022</t>
  </si>
  <si>
    <t>3277011903090003</t>
  </si>
  <si>
    <t>3277011309070009</t>
  </si>
  <si>
    <t>3273040809080001</t>
  </si>
  <si>
    <t>3273150908190001</t>
  </si>
  <si>
    <t>0086707515</t>
  </si>
  <si>
    <t>3277011510080005</t>
  </si>
  <si>
    <t>3277012711070006</t>
  </si>
  <si>
    <t>FARREL SATRIA SUGIANTO</t>
  </si>
  <si>
    <t>3277016802090009</t>
  </si>
  <si>
    <t>3277010311061123</t>
  </si>
  <si>
    <t>3277015805090005</t>
  </si>
  <si>
    <t>3277011308080045</t>
  </si>
  <si>
    <t>3277011302090004</t>
  </si>
  <si>
    <t>3277010504070007</t>
  </si>
  <si>
    <t>SMP NEGERI 7 CIMAHI</t>
  </si>
  <si>
    <t>3277015706090007</t>
  </si>
  <si>
    <t>3277012504070126</t>
  </si>
  <si>
    <t>3277011005090007</t>
  </si>
  <si>
    <t>3277010510110008</t>
  </si>
  <si>
    <t>3273154710080002</t>
  </si>
  <si>
    <t>3273151705170010</t>
  </si>
  <si>
    <t>3277012505090007</t>
  </si>
  <si>
    <t>3277010411060728</t>
  </si>
  <si>
    <t>3277014503090002</t>
  </si>
  <si>
    <t>3277012803070075</t>
  </si>
  <si>
    <t>3277032302090005</t>
  </si>
  <si>
    <t>3277032705110010</t>
  </si>
  <si>
    <t>SMP NEGERI 13 CIMAHI</t>
  </si>
  <si>
    <t>3273150103090003</t>
  </si>
  <si>
    <t>3273150909103053</t>
  </si>
  <si>
    <t>3277012901080005</t>
  </si>
  <si>
    <t>3277013005070031</t>
  </si>
  <si>
    <t>3277015003080005</t>
  </si>
  <si>
    <t>3277012004070058</t>
  </si>
  <si>
    <t>3277016403090010</t>
  </si>
  <si>
    <t>3277010906080043</t>
  </si>
  <si>
    <t>3273156610080001</t>
  </si>
  <si>
    <t>3273150909102751</t>
  </si>
  <si>
    <t>3217106812080004</t>
  </si>
  <si>
    <t>3217103010060040</t>
  </si>
  <si>
    <t>SMP PLUS YPP DARUSSURUR</t>
  </si>
  <si>
    <t>3273156401090001</t>
  </si>
  <si>
    <t>3273151109109375</t>
  </si>
  <si>
    <t>3277012808080011</t>
  </si>
  <si>
    <t>3277011011060093</t>
  </si>
  <si>
    <t>3203065910080004</t>
  </si>
  <si>
    <t>3203061109120013</t>
  </si>
  <si>
    <t>MTSS AL ISTIQOMAH</t>
  </si>
  <si>
    <t>3273154510080001</t>
  </si>
  <si>
    <t>3273151109105442</t>
  </si>
  <si>
    <t>3273155508080001</t>
  </si>
  <si>
    <t>3277025111080004</t>
  </si>
  <si>
    <t>3217060403090002</t>
  </si>
  <si>
    <t>MTs ASIH PUTERA</t>
  </si>
  <si>
    <t>3277014308070005</t>
  </si>
  <si>
    <t>3277012111140004</t>
  </si>
  <si>
    <t>MTSS PERSIS 1-2</t>
  </si>
  <si>
    <t>3273156210080003</t>
  </si>
  <si>
    <t>3273150909106758</t>
  </si>
  <si>
    <t>3277016209080004</t>
  </si>
  <si>
    <t>3277012411090071</t>
  </si>
  <si>
    <t>3277011911080005</t>
  </si>
  <si>
    <t>3277011804080020</t>
  </si>
  <si>
    <t>3277014311080001</t>
  </si>
  <si>
    <t>3277015808080004</t>
  </si>
  <si>
    <t>3277010408210018</t>
  </si>
  <si>
    <t>3277012902080006</t>
  </si>
  <si>
    <t>3277011001070041</t>
  </si>
  <si>
    <t>3277011704090009</t>
  </si>
  <si>
    <t>3277010711060965</t>
  </si>
  <si>
    <t>3273156601090003</t>
  </si>
  <si>
    <t>3273150909102779</t>
  </si>
  <si>
    <t>3204104205090004</t>
  </si>
  <si>
    <t>3204101104120071</t>
  </si>
  <si>
    <t>3273156004090003</t>
  </si>
  <si>
    <t>3273151705180002</t>
  </si>
  <si>
    <t>3204101503090001</t>
  </si>
  <si>
    <t>3204103005110224</t>
  </si>
  <si>
    <t>SMP NEGERI 9 CIMAHI</t>
  </si>
  <si>
    <t>3273151602090007</t>
  </si>
  <si>
    <t>3273152611120013</t>
  </si>
  <si>
    <t>3273154911070004</t>
  </si>
  <si>
    <t>3273151209102065</t>
  </si>
  <si>
    <t>3277010211080004</t>
  </si>
  <si>
    <t>3277010801090015</t>
  </si>
  <si>
    <t>3277014706090007</t>
  </si>
  <si>
    <t>3277011010061275</t>
  </si>
  <si>
    <t>3273156901090005</t>
  </si>
  <si>
    <t>3273151312110028</t>
  </si>
  <si>
    <t>3277014708090003</t>
  </si>
  <si>
    <t>3277011206070116</t>
  </si>
  <si>
    <t>3273090605090001</t>
  </si>
  <si>
    <t>3277012607180011</t>
  </si>
  <si>
    <t>3277016801090003</t>
  </si>
  <si>
    <t>3277010311061836</t>
  </si>
  <si>
    <t>3277014705090003</t>
  </si>
  <si>
    <t>3277011202090015</t>
  </si>
  <si>
    <t>MTSS MANBA`UL HUDA</t>
  </si>
  <si>
    <t>3277011906080006</t>
  </si>
  <si>
    <t>3277010311060736</t>
  </si>
  <si>
    <t>3277010711080005</t>
  </si>
  <si>
    <t>3277010211062002</t>
  </si>
  <si>
    <t>3273154410080004</t>
  </si>
  <si>
    <t>3273150401130014</t>
  </si>
  <si>
    <t>3273150705090004</t>
  </si>
  <si>
    <t>3273150909100526</t>
  </si>
  <si>
    <t>MTSS PERSIS RAHAYU</t>
  </si>
  <si>
    <t>3204444110080001</t>
  </si>
  <si>
    <t>3273152209170012</t>
  </si>
  <si>
    <t>3273156403100001</t>
  </si>
  <si>
    <t>3273151209105682</t>
  </si>
  <si>
    <t>3277016103040009</t>
  </si>
  <si>
    <t>3277012406130056</t>
  </si>
  <si>
    <t>3275057005090003</t>
  </si>
  <si>
    <t>3277013011220012</t>
  </si>
  <si>
    <t>3277011909090002</t>
  </si>
  <si>
    <t>3204100506200009</t>
  </si>
  <si>
    <t>SMP BESTARI UTAMI</t>
  </si>
  <si>
    <t>3277014807080005</t>
  </si>
  <si>
    <t>3277012101110028</t>
  </si>
  <si>
    <t>3277017006080004</t>
  </si>
  <si>
    <t>3277011010070029</t>
  </si>
  <si>
    <t>3277012708080003</t>
  </si>
  <si>
    <t>3277011704070024</t>
  </si>
  <si>
    <t>MTs DARUSSALAM</t>
  </si>
  <si>
    <t>3277010212080003</t>
  </si>
  <si>
    <t>3277011904070413</t>
  </si>
  <si>
    <t>3277015411080007</t>
  </si>
  <si>
    <t>3277012701080034</t>
  </si>
  <si>
    <t>3277014110080002</t>
  </si>
  <si>
    <t>3277012403090007</t>
  </si>
  <si>
    <t>3277010303090002</t>
  </si>
  <si>
    <t>3277010207090241</t>
  </si>
  <si>
    <t>3273156907080002</t>
  </si>
  <si>
    <t>3273150909103398</t>
  </si>
  <si>
    <t>3277014801090004</t>
  </si>
  <si>
    <t>3277011210061115</t>
  </si>
  <si>
    <t>3273157003080001</t>
  </si>
  <si>
    <t>3273151109104780</t>
  </si>
  <si>
    <t>3204105111080002</t>
  </si>
  <si>
    <t>3204102104054045</t>
  </si>
  <si>
    <t>SMP WIYATA BAKTI</t>
  </si>
  <si>
    <t>3277012902080007</t>
  </si>
  <si>
    <t>3273151311070004</t>
  </si>
  <si>
    <t>3273151109107237</t>
  </si>
  <si>
    <t>MTSS AL AMANAH</t>
  </si>
  <si>
    <t>3277015804090008</t>
  </si>
  <si>
    <t>3277010806230007</t>
  </si>
  <si>
    <t>3273154811080002</t>
  </si>
  <si>
    <t>3273151209100654</t>
  </si>
  <si>
    <t>3277015812070010</t>
  </si>
  <si>
    <t>3277012212140019</t>
  </si>
  <si>
    <t>3277015707080004</t>
  </si>
  <si>
    <t>3277011406120005</t>
  </si>
  <si>
    <t>SMP NEGERI 15 CIMAHI</t>
  </si>
  <si>
    <t>3277010304090008</t>
  </si>
  <si>
    <t>3277010311060987</t>
  </si>
  <si>
    <t>3277017108080006</t>
  </si>
  <si>
    <t>3277012804110007</t>
  </si>
  <si>
    <t>3277014902090003</t>
  </si>
  <si>
    <t>3277013112080044</t>
  </si>
  <si>
    <t>3277016105090001</t>
  </si>
  <si>
    <t>3277012409090141</t>
  </si>
  <si>
    <t>3277017012090008</t>
  </si>
  <si>
    <t>3277010311060274</t>
  </si>
  <si>
    <t>3277011009080007</t>
  </si>
  <si>
    <t>3277013001070028</t>
  </si>
  <si>
    <t>3277016301090001</t>
  </si>
  <si>
    <t>3277011604090171</t>
  </si>
  <si>
    <t>3273151301090001</t>
  </si>
  <si>
    <t>3273151009101411</t>
  </si>
  <si>
    <t>3273151002080002</t>
  </si>
  <si>
    <t>3273151109109465</t>
  </si>
  <si>
    <t>3273154104080004</t>
  </si>
  <si>
    <t>3273151009104647</t>
  </si>
  <si>
    <t>3277012906080003</t>
  </si>
  <si>
    <t>3277013110062020</t>
  </si>
  <si>
    <t>3277014101090012</t>
  </si>
  <si>
    <t>3277012011130021</t>
  </si>
  <si>
    <t>3205327001090002</t>
  </si>
  <si>
    <t>3273150711180022</t>
  </si>
  <si>
    <t>3277016110080003</t>
  </si>
  <si>
    <t>3277012008070045</t>
  </si>
  <si>
    <t>3273152201090002</t>
  </si>
  <si>
    <t>3273151109109146</t>
  </si>
  <si>
    <t>3273151902090003</t>
  </si>
  <si>
    <t>3273151209105450</t>
  </si>
  <si>
    <t>SMPN 1 MARGAASIH</t>
  </si>
  <si>
    <t>3277015201090003</t>
  </si>
  <si>
    <t>3277010111060863</t>
  </si>
  <si>
    <t>3273164503090002</t>
  </si>
  <si>
    <t>3277022301140013</t>
  </si>
  <si>
    <t>MTsS Riyadlul Huda</t>
  </si>
  <si>
    <t>3277011512080003</t>
  </si>
  <si>
    <t>3277010303090021</t>
  </si>
  <si>
    <t>3277015109080003</t>
  </si>
  <si>
    <t>3277010311061818</t>
  </si>
  <si>
    <t>3204107010080002</t>
  </si>
  <si>
    <t>3204102811110005</t>
  </si>
  <si>
    <t>SMPS ISLAM DARUL HIKMAH</t>
  </si>
  <si>
    <t>3277012808080007</t>
  </si>
  <si>
    <t>3277012404070174</t>
  </si>
  <si>
    <t>3273151211080002</t>
  </si>
  <si>
    <t>3273151404110009</t>
  </si>
  <si>
    <t>SMP DARUL FALAH 2</t>
  </si>
  <si>
    <t>3277015603080006</t>
  </si>
  <si>
    <t>3277011910080032</t>
  </si>
  <si>
    <t>3310011111080001</t>
  </si>
  <si>
    <t>3277010204080032</t>
  </si>
  <si>
    <t>3277025305080005</t>
  </si>
  <si>
    <t>3277021606100091</t>
  </si>
  <si>
    <t>SMP NEGERI 16 CIMAHI</t>
  </si>
  <si>
    <t>3273152802090001</t>
  </si>
  <si>
    <t>3273151209107400</t>
  </si>
  <si>
    <t>3277015405090001</t>
  </si>
  <si>
    <t>3277011808230023</t>
  </si>
  <si>
    <t>SMP MUTIARA 4</t>
  </si>
  <si>
    <t>3277012310080007</t>
  </si>
  <si>
    <t>3277010811060187</t>
  </si>
  <si>
    <t>3273035901090002</t>
  </si>
  <si>
    <t>3273030208103304</t>
  </si>
  <si>
    <t>MTSS AL ISLAM</t>
  </si>
  <si>
    <t>3277015404090010</t>
  </si>
  <si>
    <t>3277011611200030</t>
  </si>
  <si>
    <t>3277016209080006</t>
  </si>
  <si>
    <t>3277012610100014</t>
  </si>
  <si>
    <t>3277015411080001</t>
  </si>
  <si>
    <t>3277016012080006</t>
  </si>
  <si>
    <t>3277011210061188</t>
  </si>
  <si>
    <t>3277011310080002</t>
  </si>
  <si>
    <t>3277011505230004</t>
  </si>
  <si>
    <t>MTSS SIRNAMISKIN</t>
  </si>
  <si>
    <t>3277011105080001</t>
  </si>
  <si>
    <t>3277010311060929</t>
  </si>
  <si>
    <t>3273137005090001</t>
  </si>
  <si>
    <t>3273152109160024</t>
  </si>
  <si>
    <t>3277016402090006</t>
  </si>
  <si>
    <t>3277011702230009</t>
  </si>
  <si>
    <t>3277012807070009</t>
  </si>
  <si>
    <t>3277012504070239</t>
  </si>
  <si>
    <t>3277015904080005</t>
  </si>
  <si>
    <t>3277010111060316</t>
  </si>
  <si>
    <t>3273156502090001</t>
  </si>
  <si>
    <t>3273151109109134</t>
  </si>
  <si>
    <t>3277016307090003</t>
  </si>
  <si>
    <t>3277011805090345</t>
  </si>
  <si>
    <t>3277010806080008</t>
  </si>
  <si>
    <t>3277010511060056</t>
  </si>
  <si>
    <t>3273156507080004</t>
  </si>
  <si>
    <t>3273152506110008</t>
  </si>
  <si>
    <t>SMP NEGERI 41</t>
  </si>
  <si>
    <t>3203156301090005</t>
  </si>
  <si>
    <t>3277010911210011</t>
  </si>
  <si>
    <t>SMP HIKMAH TELADAN</t>
  </si>
  <si>
    <t>3277015312070007</t>
  </si>
  <si>
    <t>3277012709160045</t>
  </si>
  <si>
    <t>3273155706090008</t>
  </si>
  <si>
    <t>3277012408200011</t>
  </si>
  <si>
    <t>3217011711080006</t>
  </si>
  <si>
    <t>3277010502150041</t>
  </si>
  <si>
    <t>3273012407090002</t>
  </si>
  <si>
    <t>3273150208230007</t>
  </si>
  <si>
    <t>SMP NEGERI 12</t>
  </si>
  <si>
    <t>3277015509080006</t>
  </si>
  <si>
    <t>3277011110060441</t>
  </si>
  <si>
    <t>3207081809080002</t>
  </si>
  <si>
    <t>3273152502160001</t>
  </si>
  <si>
    <t>SMP Islam Bahrul Ulum</t>
  </si>
  <si>
    <t>3277010304090006</t>
  </si>
  <si>
    <t>3277022206210007</t>
  </si>
  <si>
    <t>SMP NEGERI 2 CIMAHI</t>
  </si>
  <si>
    <t>3273151505080002</t>
  </si>
  <si>
    <t>3273151309100558</t>
  </si>
  <si>
    <t>3277011607080011</t>
  </si>
  <si>
    <t>3277010511061289</t>
  </si>
  <si>
    <t>3204106008080005</t>
  </si>
  <si>
    <t>3204100603120013</t>
  </si>
  <si>
    <t>3206324806080002</t>
  </si>
  <si>
    <t>3273152309190008</t>
  </si>
  <si>
    <t>SMP NURUL QOMAR</t>
  </si>
  <si>
    <t>3277015501090010</t>
  </si>
  <si>
    <t>3277011101210006</t>
  </si>
  <si>
    <t>3273156005080004</t>
  </si>
  <si>
    <t>3273150404140001</t>
  </si>
  <si>
    <t>MTSS ASSU`ADA</t>
  </si>
  <si>
    <t>3205096208080002</t>
  </si>
  <si>
    <t>3277012610160016</t>
  </si>
  <si>
    <t>3273155403090004</t>
  </si>
  <si>
    <t>3273152709130013</t>
  </si>
  <si>
    <t>3217066005080004</t>
  </si>
  <si>
    <t>3277031810180006</t>
  </si>
  <si>
    <t>SMP NEGERI 11 CIMAHI</t>
  </si>
  <si>
    <t>3277016405090006</t>
  </si>
  <si>
    <t>3277011302150008</t>
  </si>
  <si>
    <t>3277011609080005</t>
  </si>
  <si>
    <t>3277011909080012</t>
  </si>
  <si>
    <t>3206141204080004</t>
  </si>
  <si>
    <t>3277010705210007</t>
  </si>
  <si>
    <t>3273151603090001</t>
  </si>
  <si>
    <t>3273150909103632</t>
  </si>
  <si>
    <t>SMP NEGERI 4 SUMEDANG</t>
  </si>
  <si>
    <t>3277012511080004</t>
  </si>
  <si>
    <t>3277012402150020</t>
  </si>
  <si>
    <t>3277016811080008</t>
  </si>
  <si>
    <t>3277010210060366</t>
  </si>
  <si>
    <t>3301014406090004</t>
  </si>
  <si>
    <t>3301011706130013</t>
  </si>
  <si>
    <t>3277015911080003</t>
  </si>
  <si>
    <t>3277010704120011</t>
  </si>
  <si>
    <t>3277011104090003</t>
  </si>
  <si>
    <t>3277011011060338</t>
  </si>
  <si>
    <t>PKBM AT-TAJDID</t>
  </si>
  <si>
    <t>3273151512080001</t>
  </si>
  <si>
    <t>3273152001140009</t>
  </si>
  <si>
    <t>3203240303090003</t>
  </si>
  <si>
    <t>3277010211062061</t>
  </si>
  <si>
    <t>3277015309080001</t>
  </si>
  <si>
    <t>3277012408220015</t>
  </si>
  <si>
    <t>3277014704080002</t>
  </si>
  <si>
    <t>3277011010060142</t>
  </si>
  <si>
    <t>3277016004090002</t>
  </si>
  <si>
    <t>3277011904100019</t>
  </si>
  <si>
    <t>3277014805090007</t>
  </si>
  <si>
    <t>3277013107080012</t>
  </si>
  <si>
    <t>SMP AL-BADAR CIPULUS</t>
  </si>
  <si>
    <t>3273154406080002</t>
  </si>
  <si>
    <t>3273151109109107</t>
  </si>
  <si>
    <t>3277011805080005</t>
  </si>
  <si>
    <t>3277011608180009</t>
  </si>
  <si>
    <t>SMP PASUNDAN 2</t>
  </si>
  <si>
    <t>3303180102090002</t>
  </si>
  <si>
    <t>3277011811200005</t>
  </si>
  <si>
    <t>3203184510070001</t>
  </si>
  <si>
    <t>3277012910140016</t>
  </si>
  <si>
    <t>3277011603090004</t>
  </si>
  <si>
    <t>3277012206070050</t>
  </si>
  <si>
    <t>3277010903090003</t>
  </si>
  <si>
    <t>3277010311061309</t>
  </si>
  <si>
    <t>3277015305080006</t>
  </si>
  <si>
    <t>3277010102120014</t>
  </si>
  <si>
    <t>3273156808080002</t>
  </si>
  <si>
    <t>3273153012130003</t>
  </si>
  <si>
    <t>3277012910080001</t>
  </si>
  <si>
    <t>3277010312080024</t>
  </si>
  <si>
    <t>3277015411080003</t>
  </si>
  <si>
    <t>3277010103210012</t>
  </si>
  <si>
    <t>3277014204090001</t>
  </si>
  <si>
    <t>3277010409180006</t>
  </si>
  <si>
    <t>3273151909080002</t>
  </si>
  <si>
    <t>3273150909102015</t>
  </si>
  <si>
    <t>3277016401090005</t>
  </si>
  <si>
    <t>3277010411061039</t>
  </si>
  <si>
    <t>3273154606100005</t>
  </si>
  <si>
    <t>3273151109108286</t>
  </si>
  <si>
    <t>3273154110090002</t>
  </si>
  <si>
    <t>3273151209105379</t>
  </si>
  <si>
    <t>SMP ANGKASA LANUD HUSEIN SASTRANEGARA</t>
  </si>
  <si>
    <t>3277012602090007</t>
  </si>
  <si>
    <t>3277011010170011</t>
  </si>
  <si>
    <t>0084037929</t>
  </si>
  <si>
    <t>3217152711080001</t>
  </si>
  <si>
    <t>3277012312190002</t>
  </si>
  <si>
    <t>FAWAZA BARIQ ALKAMIL</t>
  </si>
  <si>
    <t>SMP IT FITHRAH INSANI</t>
  </si>
  <si>
    <t>3273150612080004</t>
  </si>
  <si>
    <t>3273150909102581</t>
  </si>
  <si>
    <t>3302037006080002</t>
  </si>
  <si>
    <t>3277011707190015</t>
  </si>
  <si>
    <t>3277014305000021</t>
  </si>
  <si>
    <t>3277012810110019</t>
  </si>
  <si>
    <t>3204250705090002</t>
  </si>
  <si>
    <t>3277012101070270</t>
  </si>
  <si>
    <t>3277016911070008</t>
  </si>
  <si>
    <t>3277010310160015</t>
  </si>
  <si>
    <t>3273154910080001</t>
  </si>
  <si>
    <t>3273150909103598</t>
  </si>
  <si>
    <t>3277015708080005</t>
  </si>
  <si>
    <t>3277010411061439</t>
  </si>
  <si>
    <t>3205134710080005</t>
  </si>
  <si>
    <t>3277010511060968</t>
  </si>
  <si>
    <t>3207106805080002</t>
  </si>
  <si>
    <t>3273152403150006</t>
  </si>
  <si>
    <t>3277012712090004</t>
  </si>
  <si>
    <t>3277012111170007</t>
  </si>
  <si>
    <t>3277011401090002</t>
  </si>
  <si>
    <t>3277011004190012</t>
  </si>
  <si>
    <t>3273150202090003</t>
  </si>
  <si>
    <t>3273150909100739</t>
  </si>
  <si>
    <t>SMP NEGERI 32</t>
  </si>
  <si>
    <t>3273151302090001</t>
  </si>
  <si>
    <t>3273150909100768</t>
  </si>
  <si>
    <t>3273157110080002</t>
  </si>
  <si>
    <t>3273150909103203</t>
  </si>
  <si>
    <t>3277014511080007</t>
  </si>
  <si>
    <t>3277011604070304</t>
  </si>
  <si>
    <t>3277015001090001</t>
  </si>
  <si>
    <t>3277012011200008</t>
  </si>
  <si>
    <t>3204104505090009</t>
  </si>
  <si>
    <t>3204102505110152</t>
  </si>
  <si>
    <t>3301151911070003</t>
  </si>
  <si>
    <t>3273012410170007</t>
  </si>
  <si>
    <t>SMP PASUNDAN 10</t>
  </si>
  <si>
    <t>3277014708080003</t>
  </si>
  <si>
    <t>3277010311061765</t>
  </si>
  <si>
    <t>3277010512080001</t>
  </si>
  <si>
    <t>3277010611061274</t>
  </si>
  <si>
    <t>3204111311080003</t>
  </si>
  <si>
    <t>3277012405220035</t>
  </si>
  <si>
    <t>3277016810070003</t>
  </si>
  <si>
    <t>3277010111060887</t>
  </si>
  <si>
    <t>3277016401090010</t>
  </si>
  <si>
    <t>3277011505110010</t>
  </si>
  <si>
    <t>3273186005090002</t>
  </si>
  <si>
    <t>3277012310130019</t>
  </si>
  <si>
    <t>SMP NEGERI 23</t>
  </si>
  <si>
    <t>3277016806090006</t>
  </si>
  <si>
    <t>3277010509080030</t>
  </si>
  <si>
    <t>3210210509080001</t>
  </si>
  <si>
    <t>3273151512140002</t>
  </si>
  <si>
    <t>3273156611080002</t>
  </si>
  <si>
    <t>3273150909109252</t>
  </si>
  <si>
    <t>3277012208070005</t>
  </si>
  <si>
    <t>3277012609180018</t>
  </si>
  <si>
    <t>3277011204090006</t>
  </si>
  <si>
    <t>3277010701130014</t>
  </si>
  <si>
    <t>SMP ASSALAAM</t>
  </si>
  <si>
    <t>3277017107080004</t>
  </si>
  <si>
    <t>3277011805090366</t>
  </si>
  <si>
    <t>3273155907080002</t>
  </si>
  <si>
    <t>3277010402080010</t>
  </si>
  <si>
    <t>3277011107120007</t>
  </si>
  <si>
    <t>3277011303090001</t>
  </si>
  <si>
    <t>3277012409090072</t>
  </si>
  <si>
    <t>3277015910080005</t>
  </si>
  <si>
    <t>3277010211220003</t>
  </si>
  <si>
    <t>3277010703090001</t>
  </si>
  <si>
    <t>3277010712210004</t>
  </si>
  <si>
    <t>3277014507080010</t>
  </si>
  <si>
    <t>3277012305130002</t>
  </si>
  <si>
    <t>3277013012070004</t>
  </si>
  <si>
    <t>3277010402110011</t>
  </si>
  <si>
    <t>3273156602090005</t>
  </si>
  <si>
    <t>3273151512120003</t>
  </si>
  <si>
    <t>SMP KRISTEN BPPK</t>
  </si>
  <si>
    <t>3603286607090002</t>
  </si>
  <si>
    <t>3277012603070048</t>
  </si>
  <si>
    <t>3277011905090007</t>
  </si>
  <si>
    <t>3277010211170004</t>
  </si>
  <si>
    <t>3273154503090002</t>
  </si>
  <si>
    <t>3273151209100671</t>
  </si>
  <si>
    <t>3277016105080006</t>
  </si>
  <si>
    <t>3277010311061770</t>
  </si>
  <si>
    <t>3277016704090003</t>
  </si>
  <si>
    <t>3277011606100132</t>
  </si>
  <si>
    <t>3277014612080003</t>
  </si>
  <si>
    <t>3277011511100012</t>
  </si>
  <si>
    <t>3273055110070003</t>
  </si>
  <si>
    <t>3277010803210025</t>
  </si>
  <si>
    <t>KENFITRIA SALSABILLA PEGARANI</t>
  </si>
  <si>
    <t>3273150404090002</t>
  </si>
  <si>
    <t>3273150102120011</t>
  </si>
  <si>
    <t>3205051606080001</t>
  </si>
  <si>
    <t>3277010502150050</t>
  </si>
  <si>
    <t>3277012201090007</t>
  </si>
  <si>
    <t>3277010111061126</t>
  </si>
  <si>
    <t>3204460602090004</t>
  </si>
  <si>
    <t>3204461004050193</t>
  </si>
  <si>
    <t>SMPN 2 MARGAASIH</t>
  </si>
  <si>
    <t>3277010710080003</t>
  </si>
  <si>
    <t>3277010111060628</t>
  </si>
  <si>
    <t>3273155008080002</t>
  </si>
  <si>
    <t>3273150310120028</t>
  </si>
  <si>
    <t>3273155409080002</t>
  </si>
  <si>
    <t>3273150909103125</t>
  </si>
  <si>
    <t>3273055010080003</t>
  </si>
  <si>
    <t>3273052712110022</t>
  </si>
  <si>
    <t>3273051403090007</t>
  </si>
  <si>
    <t>3273150203150009</t>
  </si>
  <si>
    <t>3277016101090001</t>
  </si>
  <si>
    <t>3277011902090021</t>
  </si>
  <si>
    <t>3277016507080009</t>
  </si>
  <si>
    <t>3277011612220023</t>
  </si>
  <si>
    <t>3277017112080002</t>
  </si>
  <si>
    <t>3277012912070036</t>
  </si>
  <si>
    <t>3273126809080003</t>
  </si>
  <si>
    <t>3273152605080003</t>
  </si>
  <si>
    <t>3273150909102793</t>
  </si>
  <si>
    <t>3273156605080002</t>
  </si>
  <si>
    <t>3273151109104981</t>
  </si>
  <si>
    <t>3277016911080007</t>
  </si>
  <si>
    <t>3277010311110031</t>
  </si>
  <si>
    <t>3273135407080002</t>
  </si>
  <si>
    <t>3277011104190006</t>
  </si>
  <si>
    <t>SMP NEGERI 4</t>
  </si>
  <si>
    <t>3277012604090003</t>
  </si>
  <si>
    <t>3277012609110010</t>
  </si>
  <si>
    <t>3273155704090003</t>
  </si>
  <si>
    <t>3273151009100524</t>
  </si>
  <si>
    <t>SMP NEGERI 36</t>
  </si>
  <si>
    <t>3277014804090008</t>
  </si>
  <si>
    <t>3277010511060892</t>
  </si>
  <si>
    <t>3305036510080004</t>
  </si>
  <si>
    <t>3273032211160009</t>
  </si>
  <si>
    <t>3277015712080003</t>
  </si>
  <si>
    <t>3277010211061535</t>
  </si>
  <si>
    <t>3273155503090003</t>
  </si>
  <si>
    <t>3273151209103566</t>
  </si>
  <si>
    <t>3273152711080001</t>
  </si>
  <si>
    <t>3273150909102269</t>
  </si>
  <si>
    <t>SMP NEGERI 50</t>
  </si>
  <si>
    <t>3277010504090003</t>
  </si>
  <si>
    <t>3277012609110017</t>
  </si>
  <si>
    <t>3273154403090006</t>
  </si>
  <si>
    <t>3273151209105539</t>
  </si>
  <si>
    <t>3277010602090007</t>
  </si>
  <si>
    <t>3277010211060374</t>
  </si>
  <si>
    <t>3273155006080001</t>
  </si>
  <si>
    <t>3273151109104147</t>
  </si>
  <si>
    <t>3273152609080005</t>
  </si>
  <si>
    <t>3273151109108252</t>
  </si>
  <si>
    <t>3277012502090007</t>
  </si>
  <si>
    <t>3277012301070038</t>
  </si>
  <si>
    <t>3204106204090005</t>
  </si>
  <si>
    <t>3277010102190011</t>
  </si>
  <si>
    <t>3277010408080004</t>
  </si>
  <si>
    <t>3277012904080002</t>
  </si>
  <si>
    <t>3277011706090003</t>
  </si>
  <si>
    <t>3277011702080026</t>
  </si>
  <si>
    <t>3273151101090004</t>
  </si>
  <si>
    <t>3273151209105768</t>
  </si>
  <si>
    <t>SMPN 2 RENGASDENGKLOK</t>
  </si>
  <si>
    <t>5102062810080002</t>
  </si>
  <si>
    <t>3277010309070009</t>
  </si>
  <si>
    <t>3277010311060825</t>
  </si>
  <si>
    <t>3273065310080004</t>
  </si>
  <si>
    <t>3273061208102074</t>
  </si>
  <si>
    <t>3216086104090004</t>
  </si>
  <si>
    <t>3273151909160004</t>
  </si>
  <si>
    <t>3277014210090010</t>
  </si>
  <si>
    <t>3277011804070377</t>
  </si>
  <si>
    <t>3277015412080003</t>
  </si>
  <si>
    <t>3277011705080001</t>
  </si>
  <si>
    <t>3277016405090003</t>
  </si>
  <si>
    <t>3277010509100014</t>
  </si>
  <si>
    <t>3277011007090005</t>
  </si>
  <si>
    <t>3277011005110013</t>
  </si>
  <si>
    <t>SMP BPPI BOJONG</t>
  </si>
  <si>
    <t>3273070109080002</t>
  </si>
  <si>
    <t>3277012803190008</t>
  </si>
  <si>
    <t>3277010201090005</t>
  </si>
  <si>
    <t>3277011905110004</t>
  </si>
  <si>
    <t>3277014903080005</t>
  </si>
  <si>
    <t>3277010311061134</t>
  </si>
  <si>
    <t>SMP NEGERI 47</t>
  </si>
  <si>
    <t>3273155706090004</t>
  </si>
  <si>
    <t>3273152102110010</t>
  </si>
  <si>
    <t>3277012410080002</t>
  </si>
  <si>
    <t>3277011707070020</t>
  </si>
  <si>
    <t>3277016903080004</t>
  </si>
  <si>
    <t>3277010611061667</t>
  </si>
  <si>
    <t>3205135112080001</t>
  </si>
  <si>
    <t>3277012311090004</t>
  </si>
  <si>
    <t>MTsN 5 Garut</t>
  </si>
  <si>
    <t>0098449027</t>
  </si>
  <si>
    <t>3277012903090002</t>
  </si>
  <si>
    <t>3277010411060146</t>
  </si>
  <si>
    <t>RIVALDO HARLY KHAN</t>
  </si>
  <si>
    <t>3204100609080002</t>
  </si>
  <si>
    <t>3204103011110002</t>
  </si>
  <si>
    <t>3273154907080005</t>
  </si>
  <si>
    <t>3273150106120004</t>
  </si>
  <si>
    <t>3277016303090005</t>
  </si>
  <si>
    <t>3277010404070059</t>
  </si>
  <si>
    <t>3273154203090003</t>
  </si>
  <si>
    <t>3273151108220008</t>
  </si>
  <si>
    <t>3206327110080001</t>
  </si>
  <si>
    <t>3277012805200001</t>
  </si>
  <si>
    <t>3204106112080003</t>
  </si>
  <si>
    <t>3204102305110053</t>
  </si>
  <si>
    <t>3273155208080006</t>
  </si>
  <si>
    <t>3273151109107424</t>
  </si>
  <si>
    <t>3273155807080002</t>
  </si>
  <si>
    <t>3273150909102989</t>
  </si>
  <si>
    <t>3092107457</t>
  </si>
  <si>
    <t>3273052709090001</t>
  </si>
  <si>
    <t>3273050708104186</t>
  </si>
  <si>
    <t>MOH ARGA KHARISMA</t>
  </si>
  <si>
    <t>3277015009080007</t>
  </si>
  <si>
    <t>3277010111070008</t>
  </si>
  <si>
    <t>3277016909080002</t>
  </si>
  <si>
    <t>3277011401090013</t>
  </si>
  <si>
    <t>3277011804080001</t>
  </si>
  <si>
    <t>3277011207220009</t>
  </si>
  <si>
    <t>3277012107090001</t>
  </si>
  <si>
    <t>3277010303100071</t>
  </si>
  <si>
    <t>3273042109080002</t>
  </si>
  <si>
    <t>3273040508101228</t>
  </si>
  <si>
    <t>3277012612080003</t>
  </si>
  <si>
    <t>3277011805090326</t>
  </si>
  <si>
    <t>3273155309080002</t>
  </si>
  <si>
    <t>3273150909102837</t>
  </si>
  <si>
    <t>3277016403080003</t>
  </si>
  <si>
    <t>3277010303080003</t>
  </si>
  <si>
    <t>3277012002090007</t>
  </si>
  <si>
    <t>3277010711060807</t>
  </si>
  <si>
    <t>3204105010080003</t>
  </si>
  <si>
    <t>3204101809120050</t>
  </si>
  <si>
    <t>3204105412080004</t>
  </si>
  <si>
    <t>3204102104050995</t>
  </si>
  <si>
    <t>3273034705090001</t>
  </si>
  <si>
    <t>3273032305220015</t>
  </si>
  <si>
    <t>3277011609080010</t>
  </si>
  <si>
    <t>3277012604070188</t>
  </si>
  <si>
    <t>3273261111080001</t>
  </si>
  <si>
    <t>3273260910102341</t>
  </si>
  <si>
    <t>SMP DHARMA KARTINI</t>
  </si>
  <si>
    <t>3277013101090002</t>
  </si>
  <si>
    <t>3277011709080002</t>
  </si>
  <si>
    <t>3273154903090002</t>
  </si>
  <si>
    <t>3273152808170012</t>
  </si>
  <si>
    <t>3277015212080008</t>
  </si>
  <si>
    <t>3277010904070100</t>
  </si>
  <si>
    <t>3277015908080002</t>
  </si>
  <si>
    <t>3277010811060117</t>
  </si>
  <si>
    <t>3273150810080003</t>
  </si>
  <si>
    <t>3273151109109077</t>
  </si>
  <si>
    <t>3277010307080001</t>
  </si>
  <si>
    <t>3277010711060238</t>
  </si>
  <si>
    <t>3273061407090004</t>
  </si>
  <si>
    <t>3273061208103029</t>
  </si>
  <si>
    <t>SMP NEGERI 1 ARGAPURA</t>
  </si>
  <si>
    <t>3277015908080005</t>
  </si>
  <si>
    <t>3277011507220007</t>
  </si>
  <si>
    <t>3277012907080003</t>
  </si>
  <si>
    <t>3277011403230009</t>
  </si>
  <si>
    <t>3273155108080004</t>
  </si>
  <si>
    <t>3273151210110067</t>
  </si>
  <si>
    <t>3277010912080009</t>
  </si>
  <si>
    <t>3277010705080009</t>
  </si>
  <si>
    <t>3277011901080004</t>
  </si>
  <si>
    <t>3277010111060811</t>
  </si>
  <si>
    <t>3277016206090008</t>
  </si>
  <si>
    <t>3277010511060134</t>
  </si>
  <si>
    <t>3277012503090007</t>
  </si>
  <si>
    <t>3277011503120012</t>
  </si>
  <si>
    <t>3277035811080004</t>
  </si>
  <si>
    <t>3277033101070091</t>
  </si>
  <si>
    <t>SMP NEGERI 5 CIMAHI</t>
  </si>
  <si>
    <t>3277010403090002</t>
  </si>
  <si>
    <t>3277016303090004</t>
  </si>
  <si>
    <t>3273037008080008</t>
  </si>
  <si>
    <t>3277010203170012</t>
  </si>
  <si>
    <t>3277014702090003</t>
  </si>
  <si>
    <t>3277012409090201</t>
  </si>
  <si>
    <t>3277011704090004</t>
  </si>
  <si>
    <t>3273152911160005</t>
  </si>
  <si>
    <t>3205025206090006</t>
  </si>
  <si>
    <t>3277010207180019</t>
  </si>
  <si>
    <t>3277014911080004</t>
  </si>
  <si>
    <t>3277012903070067</t>
  </si>
  <si>
    <t>3273154502090002</t>
  </si>
  <si>
    <t>3273150203170010</t>
  </si>
  <si>
    <t>3277017006090003</t>
  </si>
  <si>
    <t>3277011311060067</t>
  </si>
  <si>
    <t>3277015104090003</t>
  </si>
  <si>
    <t>3277010511060626</t>
  </si>
  <si>
    <t>3277010810080002</t>
  </si>
  <si>
    <t>3277010411060206</t>
  </si>
  <si>
    <t>3277016710080002</t>
  </si>
  <si>
    <t>3277010411061107</t>
  </si>
  <si>
    <t>3277010708080002</t>
  </si>
  <si>
    <t>3277012101100027</t>
  </si>
  <si>
    <t>3277010811060005</t>
  </si>
  <si>
    <t>3204174107080005</t>
  </si>
  <si>
    <t>3277012312130024</t>
  </si>
  <si>
    <t>3277010907080001</t>
  </si>
  <si>
    <t>3277010305070041</t>
  </si>
  <si>
    <t>3273155211080004</t>
  </si>
  <si>
    <t>3273152103130016</t>
  </si>
  <si>
    <t>3273155409090004</t>
  </si>
  <si>
    <t>3273152307120009</t>
  </si>
  <si>
    <t>3277011111080006</t>
  </si>
  <si>
    <t>3277010509120010</t>
  </si>
  <si>
    <t>3273154409080002</t>
  </si>
  <si>
    <t>3273154812080004</t>
  </si>
  <si>
    <t>3273153007180002</t>
  </si>
  <si>
    <t>3277016210080002</t>
  </si>
  <si>
    <t>3277013112080039</t>
  </si>
  <si>
    <t>3273155707080004</t>
  </si>
  <si>
    <t>3273150410130003</t>
  </si>
  <si>
    <t>3273152210080002</t>
  </si>
  <si>
    <t>3273151109109033</t>
  </si>
  <si>
    <t>3273152610060011</t>
  </si>
  <si>
    <t>3273150909101764</t>
  </si>
  <si>
    <t>3277010601090005</t>
  </si>
  <si>
    <t>3277010302150032</t>
  </si>
  <si>
    <t>3277011609080004</t>
  </si>
  <si>
    <t>3277013006100032</t>
  </si>
  <si>
    <t>3277012203090002</t>
  </si>
  <si>
    <t>3277011804070215</t>
  </si>
  <si>
    <t>3277015308080006</t>
  </si>
  <si>
    <t>3277011806190004</t>
  </si>
  <si>
    <t>3273156804090003</t>
  </si>
  <si>
    <t>3277013012130017</t>
  </si>
  <si>
    <t>3277016505090003</t>
  </si>
  <si>
    <t>3277012808080021</t>
  </si>
  <si>
    <t>SMP NEGERI 1 CIMAHI</t>
  </si>
  <si>
    <t>3277014705080001</t>
  </si>
  <si>
    <t>3277012105080020</t>
  </si>
  <si>
    <t>3277016203090006</t>
  </si>
  <si>
    <t>3277011406110006</t>
  </si>
  <si>
    <t>3277011505080002</t>
  </si>
  <si>
    <t>3277010111060949</t>
  </si>
  <si>
    <t>3277011104090001</t>
  </si>
  <si>
    <t>3277011105090016</t>
  </si>
  <si>
    <t>3204051509080004</t>
  </si>
  <si>
    <t>3273160211170002</t>
  </si>
  <si>
    <t>3277010712080001</t>
  </si>
  <si>
    <t>3277010611060155</t>
  </si>
  <si>
    <t>3277012111080006</t>
  </si>
  <si>
    <t>3277010311060427</t>
  </si>
  <si>
    <t>3273154909080002</t>
  </si>
  <si>
    <t>3273151109108263</t>
  </si>
  <si>
    <t>3277014309080004</t>
  </si>
  <si>
    <t>3277011607110004</t>
  </si>
  <si>
    <t>3277014109090003</t>
  </si>
  <si>
    <t>3277011310100003</t>
  </si>
  <si>
    <t>3277015601090001</t>
  </si>
  <si>
    <t>3277010502080043</t>
  </si>
  <si>
    <t>SMP NEGERI 1 LEUWIMUNDING</t>
  </si>
  <si>
    <t>3273155406090003</t>
  </si>
  <si>
    <t>3273151009101878</t>
  </si>
  <si>
    <t>3273150111080001</t>
  </si>
  <si>
    <t>3273150909105461</t>
  </si>
  <si>
    <t>3205136604090003</t>
  </si>
  <si>
    <t>3277011806210007</t>
  </si>
  <si>
    <t>3277010911080001</t>
  </si>
  <si>
    <t>3277011303070043</t>
  </si>
  <si>
    <t>3277014404080006</t>
  </si>
  <si>
    <t>3273151407090006</t>
  </si>
  <si>
    <t>3273150612110011</t>
  </si>
  <si>
    <t>3277016301090004</t>
  </si>
  <si>
    <t>3277012310070002</t>
  </si>
  <si>
    <t>SMP NEGERI 27</t>
  </si>
  <si>
    <t>3277016009080004</t>
  </si>
  <si>
    <t>3277010810120009</t>
  </si>
  <si>
    <t>3277010605090003</t>
  </si>
  <si>
    <t>3277010704210001</t>
  </si>
  <si>
    <t>3277012206080012</t>
  </si>
  <si>
    <t>3277011108140005</t>
  </si>
  <si>
    <t>3273155802090005</t>
  </si>
  <si>
    <t>3273152605120004</t>
  </si>
  <si>
    <t>3273070904090001</t>
  </si>
  <si>
    <t>3277032105130011</t>
  </si>
  <si>
    <t>3273102901090001</t>
  </si>
  <si>
    <t>3277011809170027</t>
  </si>
  <si>
    <t>3277014708080002</t>
  </si>
  <si>
    <t>3277012107200021</t>
  </si>
  <si>
    <t>3312157110090002</t>
  </si>
  <si>
    <t>3312151711090003</t>
  </si>
  <si>
    <t>3277010711080006</t>
  </si>
  <si>
    <t>3277010806210004</t>
  </si>
  <si>
    <t>3277011602080004</t>
  </si>
  <si>
    <t>3277010503070012</t>
  </si>
  <si>
    <t>3273152212080001</t>
  </si>
  <si>
    <t>3273150909102413</t>
  </si>
  <si>
    <t>3173086804080003</t>
  </si>
  <si>
    <t>3277012401140060</t>
  </si>
  <si>
    <t>3273155807090003</t>
  </si>
  <si>
    <t>3273150503120003</t>
  </si>
  <si>
    <t>3277026110080002</t>
  </si>
  <si>
    <t>3277021805090104</t>
  </si>
  <si>
    <t>3277016405080004</t>
  </si>
  <si>
    <t>3277010211061213</t>
  </si>
  <si>
    <t>3277012503080007</t>
  </si>
  <si>
    <t>3277011107070023</t>
  </si>
  <si>
    <t>3277013107080004</t>
  </si>
  <si>
    <t>3277011711120002</t>
  </si>
  <si>
    <t>0094767112</t>
  </si>
  <si>
    <t>3277012301090004</t>
  </si>
  <si>
    <t>3277012812070034</t>
  </si>
  <si>
    <t>RIZKI ILHAMI</t>
  </si>
  <si>
    <t>3277016904090004</t>
  </si>
  <si>
    <t>3277012302080004</t>
  </si>
  <si>
    <t>1272050401090005</t>
  </si>
  <si>
    <t>3277013101130002</t>
  </si>
  <si>
    <t>3277012904080004</t>
  </si>
  <si>
    <t>3277010212090095</t>
  </si>
  <si>
    <t>3273155207080002</t>
  </si>
  <si>
    <t>3273151109109838</t>
  </si>
  <si>
    <t>3273156911080004</t>
  </si>
  <si>
    <t>3273150212200006</t>
  </si>
  <si>
    <t>3273154809090001</t>
  </si>
  <si>
    <t>3273151910210004</t>
  </si>
  <si>
    <t>3277014406080002</t>
  </si>
  <si>
    <t>3277010407080019</t>
  </si>
  <si>
    <t>3277014201090004</t>
  </si>
  <si>
    <t>3277011704070029</t>
  </si>
  <si>
    <t>0081512274</t>
  </si>
  <si>
    <t>3277014608080008</t>
  </si>
  <si>
    <t>3277010111061311</t>
  </si>
  <si>
    <t>WULAN SARI DEWI</t>
  </si>
  <si>
    <t>3277011006070005</t>
  </si>
  <si>
    <t>3277010311060699</t>
  </si>
  <si>
    <t>3277011210070006</t>
  </si>
  <si>
    <t>3277010207090510</t>
  </si>
  <si>
    <t>3206351010080001</t>
  </si>
  <si>
    <t>3277011712210013</t>
  </si>
  <si>
    <t xml:space="preserve">ABDURRAHMAN HAFIDZ ANBIASYAH </t>
  </si>
  <si>
    <t xml:space="preserve">ADAM RIDHO NUR AKBAR </t>
  </si>
  <si>
    <t xml:space="preserve">ADITYA HERDIANSAH PRATAMA </t>
  </si>
  <si>
    <t xml:space="preserve">AGNIS REZKYA PUTRI </t>
  </si>
  <si>
    <t>AIRA NAURAH ZAIDA</t>
  </si>
  <si>
    <t xml:space="preserve">AJI ANANDA HERMAWAN </t>
  </si>
  <si>
    <t>0091424360</t>
  </si>
  <si>
    <t>0092717610</t>
  </si>
  <si>
    <t>ALBARMUTAALI</t>
  </si>
  <si>
    <t>AKTA FAHRA FAUZIYAH KK FARHA FAUZIYAH IJAZAH SD FAHRA FAUZIYAH</t>
  </si>
  <si>
    <t xml:space="preserve">ALEXANDRIA RAFAEL SINAGA </t>
  </si>
  <si>
    <t>AL FIKRI SURYA AYUBI</t>
  </si>
  <si>
    <t xml:space="preserve">ALI PRTAMA </t>
  </si>
  <si>
    <t>ALISHA NAVIZA WIDTIA ARDHANI</t>
  </si>
  <si>
    <t xml:space="preserve">ALISYA NURUL QOLBI </t>
  </si>
  <si>
    <t xml:space="preserve">AMALIYA SITI MABRURROH </t>
  </si>
  <si>
    <t xml:space="preserve">AMBAR PUSPITA AYUNINGTIAS </t>
  </si>
  <si>
    <t>AMEERA FAATIN ARIFAH PRAMESWARI</t>
  </si>
  <si>
    <t xml:space="preserve">ANISA WANTI NURAINI </t>
  </si>
  <si>
    <t xml:space="preserve">ANNISA AULIA HAFIDZAH </t>
  </si>
  <si>
    <t xml:space="preserve">ANUGRAH ROLAS MARTUA MANALU </t>
  </si>
  <si>
    <t xml:space="preserve">ARDIANSYAH PUTRA </t>
  </si>
  <si>
    <t xml:space="preserve">ARVENILLA HANIFAH FEBRIYANTI </t>
  </si>
  <si>
    <t xml:space="preserve">ARYA MADA </t>
  </si>
  <si>
    <t xml:space="preserve">ARYA RAMADHAN </t>
  </si>
  <si>
    <t xml:space="preserve">ATHQOL AZKIYA AL AINA'UL MARDIYAH </t>
  </si>
  <si>
    <t>AULIA NINGSIH</t>
  </si>
  <si>
    <t xml:space="preserve">AULIA SYIFA NURUL 'AINI </t>
  </si>
  <si>
    <t>0107400448</t>
  </si>
  <si>
    <t xml:space="preserve">AYESSHA PUTRI RINALDI </t>
  </si>
  <si>
    <t xml:space="preserve">AYU ARIYANTI </t>
  </si>
  <si>
    <t xml:space="preserve">AYU FARIDA LESTARI </t>
  </si>
  <si>
    <t>0996630461</t>
  </si>
  <si>
    <t>AZ ZAHRA NUR AZIZAH</t>
  </si>
  <si>
    <t xml:space="preserve">AZKIA NUR AWALIYAH </t>
  </si>
  <si>
    <t>AZKIYA DINARA ZAHRATUSSYFA</t>
  </si>
  <si>
    <t xml:space="preserve">AZWAR AUFA HARDIANSYAH </t>
  </si>
  <si>
    <t xml:space="preserve">AZZIRA SYIFA SUPANGAT </t>
  </si>
  <si>
    <t xml:space="preserve">BAGAS PUTRA ADWITYO </t>
  </si>
  <si>
    <t xml:space="preserve">BISMA PRIAMBODO </t>
  </si>
  <si>
    <t xml:space="preserve">CHANDRIKA AZZAHRA RIZQULLOH </t>
  </si>
  <si>
    <t xml:space="preserve">CHELSEA DWI AYUNINGTYAS </t>
  </si>
  <si>
    <t xml:space="preserve">DALIILA AZKIA </t>
  </si>
  <si>
    <t xml:space="preserve">DANISH ARKAN MULYAWAN </t>
  </si>
  <si>
    <t>DATA</t>
  </si>
  <si>
    <t>0095896702</t>
  </si>
  <si>
    <t xml:space="preserve">DEA SEPTIANI </t>
  </si>
  <si>
    <t xml:space="preserve">DEDEN SYAHPUTRA </t>
  </si>
  <si>
    <t>DELLA SITI MUNAZAH MARDIAH</t>
  </si>
  <si>
    <t xml:space="preserve">DENIA ARIFRIANTY </t>
  </si>
  <si>
    <t xml:space="preserve">DESTRIDA RAZAN HANIFAH </t>
  </si>
  <si>
    <t xml:space="preserve">DEVIA ANATASYA </t>
  </si>
  <si>
    <t xml:space="preserve">DHAFIN RAZAQA PUTRA </t>
  </si>
  <si>
    <t>0094909590</t>
  </si>
  <si>
    <t xml:space="preserve">DINI AULIA FITRIANI </t>
  </si>
  <si>
    <t xml:space="preserve">DITHA AULIA LATHIFAH </t>
  </si>
  <si>
    <t xml:space="preserve">DIVA JULIAN SOELAEMAN </t>
  </si>
  <si>
    <t xml:space="preserve">DZAKY MOCHAMAD RAFA </t>
  </si>
  <si>
    <t xml:space="preserve">FADLI FIRMANSYAH </t>
  </si>
  <si>
    <t>FAKHRI ARKHAN NASHRULLAH</t>
  </si>
  <si>
    <t>nama beda satu huruf</t>
  </si>
  <si>
    <t xml:space="preserve">FALDI RADITYATAMA </t>
  </si>
  <si>
    <t xml:space="preserve">FATIH ZHOFRON </t>
  </si>
  <si>
    <t xml:space="preserve">FATQI ROUDATUL AFNAN </t>
  </si>
  <si>
    <t>0096181737</t>
  </si>
  <si>
    <t xml:space="preserve">FITRI NURHASANAH </t>
  </si>
  <si>
    <t xml:space="preserve">GALIH MUHAMAD ADDIEN </t>
  </si>
  <si>
    <t>GILANG RAMDHANI</t>
  </si>
  <si>
    <t>0094323392</t>
  </si>
  <si>
    <t>HABBIL ALGIFHARY SYAHBANA</t>
  </si>
  <si>
    <t>HARTA ALKINDI</t>
  </si>
  <si>
    <t>nama beda spasi</t>
  </si>
  <si>
    <t xml:space="preserve">HELGA DESNATALIA ZEGA </t>
  </si>
  <si>
    <t xml:space="preserve">IBNU SALMAN ARRAYYHANIFA </t>
  </si>
  <si>
    <t xml:space="preserve">IBRAHIM ABDILLAH GHAELANI JAMALUDIN </t>
  </si>
  <si>
    <t xml:space="preserve">ICHA DESWITA </t>
  </si>
  <si>
    <t xml:space="preserve">ICHA KAHERUNNISA </t>
  </si>
  <si>
    <t xml:space="preserve">ILMAIRA AULIA </t>
  </si>
  <si>
    <t xml:space="preserve">ILMIRA NURIL HAFSHAH </t>
  </si>
  <si>
    <t xml:space="preserve">IMAM HERDIANA </t>
  </si>
  <si>
    <t xml:space="preserve">IMAN SETIADI </t>
  </si>
  <si>
    <t xml:space="preserve">INDRI DWI VERNANDA </t>
  </si>
  <si>
    <t>ISAL MAULANA</t>
  </si>
  <si>
    <t>IYA</t>
  </si>
  <si>
    <t xml:space="preserve">IZKARIEMA AQEELA HASNA </t>
  </si>
  <si>
    <t xml:space="preserve">KAFKA SUTHANIKA PURWANEGARA </t>
  </si>
  <si>
    <t>KAILA ICA KHAIRUNNISA</t>
  </si>
  <si>
    <t xml:space="preserve">KAILA JUSTINE FAWWAZ </t>
  </si>
  <si>
    <t>KAISAR HAFIIZHAN ALMAN HAKIM SOPIAN</t>
  </si>
  <si>
    <t xml:space="preserve">KAMELIA ANGGRAENI </t>
  </si>
  <si>
    <t xml:space="preserve">KANZA BERLIANA </t>
  </si>
  <si>
    <t xml:space="preserve">KAYLA SALWA SANIAH </t>
  </si>
  <si>
    <t>0105316581</t>
  </si>
  <si>
    <t>KEYSHA ANGELITA DJAMHARI</t>
  </si>
  <si>
    <t>0093289446</t>
  </si>
  <si>
    <t>KHADAFIE REZKY RHAMADAN</t>
  </si>
  <si>
    <t xml:space="preserve">KHOIRUNNISA </t>
  </si>
  <si>
    <t>0098299836</t>
  </si>
  <si>
    <t xml:space="preserve">LOVELY PRISCILLA AUDREY </t>
  </si>
  <si>
    <t>M REVAN SAPUTRA</t>
  </si>
  <si>
    <t>MUHAMMAD REVAN SAPUTRA</t>
  </si>
  <si>
    <t>nama beda singkatan</t>
  </si>
  <si>
    <t>MUHAMAD DWI SATRIYO SUDRAJAT</t>
  </si>
  <si>
    <t xml:space="preserve">MELANI NURHAFIZA </t>
  </si>
  <si>
    <t>MOCHAMMAD.AKBAR KURNIAWAN</t>
  </si>
  <si>
    <t>0108619065</t>
  </si>
  <si>
    <t xml:space="preserve">MUHAMAD FATHIR VANDIAZ </t>
  </si>
  <si>
    <t>M.IRHAM BAIHAQI</t>
  </si>
  <si>
    <t xml:space="preserve">MUHAMAD RAFKA FIRDAUS </t>
  </si>
  <si>
    <t>MUHAMAD RAMDHAN  SAEFULLOH</t>
  </si>
  <si>
    <t>0104098761</t>
  </si>
  <si>
    <t>MUHAMAD ALIF FIRDAUS</t>
  </si>
  <si>
    <t xml:space="preserve">MUHAMMAD ARYA PUTRA LAKSONO </t>
  </si>
  <si>
    <t>MUHAMNAD DENIS</t>
  </si>
  <si>
    <t>0095285852</t>
  </si>
  <si>
    <t>MUHAMMAD DHAFIN AR-RAZI</t>
  </si>
  <si>
    <t xml:space="preserve">MUHAMMAD FAHRIZAL KUSMAYADI </t>
  </si>
  <si>
    <t xml:space="preserve">MUHAMMAD LEVIDHYA KERTYA PRATAMA </t>
  </si>
  <si>
    <t>0091652572</t>
  </si>
  <si>
    <t>MUHAMMAD HAMMAM MUBAARAK</t>
  </si>
  <si>
    <t xml:space="preserve">MUHAMMAD NUR IQBAL </t>
  </si>
  <si>
    <t xml:space="preserve">MUHAMMAD RAIHAN </t>
  </si>
  <si>
    <t xml:space="preserve">MUHAMMAD RAKA IMANSYAH </t>
  </si>
  <si>
    <t xml:space="preserve">MUHAMMAD RASYID HIDAYATULLAH </t>
  </si>
  <si>
    <t xml:space="preserve">MUHAMMAD RAUFA ALTHAF ANHAR </t>
  </si>
  <si>
    <t>MUHAMMADSULTHANANWAR</t>
  </si>
  <si>
    <t>nama tidak ada spasi</t>
  </si>
  <si>
    <t>MUHAMMAD ZICKRY FADLAN PURNAMA</t>
  </si>
  <si>
    <t xml:space="preserve">MUHAMMAD ZICKRY FADLAN PURNAMA </t>
  </si>
  <si>
    <t>MUTIARA HADIA PUTRI</t>
  </si>
  <si>
    <t xml:space="preserve">MUTIARA LESTARI </t>
  </si>
  <si>
    <t xml:space="preserve">MUTIARA RAHMADEWI </t>
  </si>
  <si>
    <t>0105393628</t>
  </si>
  <si>
    <t xml:space="preserve">NABILA AGUSTINA SETIAWAN </t>
  </si>
  <si>
    <t xml:space="preserve">NABILA AURELLA PUTRI </t>
  </si>
  <si>
    <t xml:space="preserve">NABILA MEYJULLIANI </t>
  </si>
  <si>
    <t xml:space="preserve">NADITA PRATIWI </t>
  </si>
  <si>
    <t xml:space="preserve">NADIVA NURUL ASYIFA </t>
  </si>
  <si>
    <t xml:space="preserve">NAFA HANIFAH FEBRIANI </t>
  </si>
  <si>
    <t xml:space="preserve">NAJWA HAURAA ANDAIRY </t>
  </si>
  <si>
    <t>NANDA LSSTARI</t>
  </si>
  <si>
    <t xml:space="preserve">NASYA PUTRI AL ZAHRA </t>
  </si>
  <si>
    <t xml:space="preserve">NAYLA ZULFA SAPHIRA </t>
  </si>
  <si>
    <t xml:space="preserve">NAYRA SHAFANIA NADHIFA </t>
  </si>
  <si>
    <t>NAYSILA YULIANTIKA HARYADI</t>
  </si>
  <si>
    <t>NENG RAYSYA AFRILIYANI</t>
  </si>
  <si>
    <t>0094543045</t>
  </si>
  <si>
    <t xml:space="preserve">NISSA NURHANIFAH </t>
  </si>
  <si>
    <t xml:space="preserve">NUR ANISA </t>
  </si>
  <si>
    <t>NUR ASSYIFA ASSYIFA SABILA</t>
  </si>
  <si>
    <t xml:space="preserve">NUR RAMADHANI </t>
  </si>
  <si>
    <t xml:space="preserve">NURANI SITI ZAHRA </t>
  </si>
  <si>
    <t>NURLAELA NISPISABAN</t>
  </si>
  <si>
    <t>NURLAILA NISPI SABAN</t>
  </si>
  <si>
    <t xml:space="preserve">PAZIA NERISSA ARVIANA </t>
  </si>
  <si>
    <t xml:space="preserve">PUTRA PERMANA SIDIK </t>
  </si>
  <si>
    <t xml:space="preserve">PUTRI AMELIA </t>
  </si>
  <si>
    <t xml:space="preserve">PUTRI SANJAYA </t>
  </si>
  <si>
    <t xml:space="preserve">QUINSHA ALMIRA SOFIAN </t>
  </si>
  <si>
    <t xml:space="preserve">QUINSHA KAYLA AZZAHRA RAUDHATUL JANNAH </t>
  </si>
  <si>
    <t xml:space="preserve">RAAFI DWI PRADIPTA </t>
  </si>
  <si>
    <t xml:space="preserve">RAFA JEN NUR AHKSAN </t>
  </si>
  <si>
    <t xml:space="preserve"> RAFA JEN NUR AHKSAN </t>
  </si>
  <si>
    <t xml:space="preserve">RAFI AHMAD BASIL IBNI MAULUDI </t>
  </si>
  <si>
    <t>0099859933</t>
  </si>
  <si>
    <t xml:space="preserve">RAHAYU ANGGRAENI </t>
  </si>
  <si>
    <t xml:space="preserve">RAINA WULAN JANI </t>
  </si>
  <si>
    <t>0093147119</t>
  </si>
  <si>
    <t>RANGGA DWI KURNIYANT</t>
  </si>
  <si>
    <t xml:space="preserve">RASYA PRIATNA PUTRA </t>
  </si>
  <si>
    <t xml:space="preserve">RAYA NOVIYANTI </t>
  </si>
  <si>
    <t xml:space="preserve">RAYKA KHANSA'A YASNISA </t>
  </si>
  <si>
    <t xml:space="preserve">REGINA MELIANI PUTRI </t>
  </si>
  <si>
    <t>REKSA ATHAR RIZKY</t>
  </si>
  <si>
    <t xml:space="preserve">RESHA RISKI NUR FADLI </t>
  </si>
  <si>
    <t xml:space="preserve">RESTINA SITI MARIYAM </t>
  </si>
  <si>
    <t xml:space="preserve">REVALIA PUTRI PERMATA </t>
  </si>
  <si>
    <t>REYSA NUR AENI</t>
  </si>
  <si>
    <t xml:space="preserve">REZKY FEBRIANSYAH </t>
  </si>
  <si>
    <t xml:space="preserve">RHIZKY AULIA NOPIANDI </t>
  </si>
  <si>
    <t xml:space="preserve">RIFA NATASHA PADILAH </t>
  </si>
  <si>
    <t xml:space="preserve">RIFAA RIHADATUL AISYA </t>
  </si>
  <si>
    <t>0103315014</t>
  </si>
  <si>
    <t xml:space="preserve">RINDU ZIDNI ZAKIA </t>
  </si>
  <si>
    <t xml:space="preserve">RISMA ANZANI FITRIANI </t>
  </si>
  <si>
    <t xml:space="preserve">RIYANI RAHMADANI </t>
  </si>
  <si>
    <t xml:space="preserve">RUBANI NURAHMAN </t>
  </si>
  <si>
    <t>SAFITRI AZ ZAHRA</t>
  </si>
  <si>
    <t xml:space="preserve">SAFITRI AZ ZAHRA </t>
  </si>
  <si>
    <t>0098809179</t>
  </si>
  <si>
    <t xml:space="preserve">SALSA </t>
  </si>
  <si>
    <t xml:space="preserve">SALSA ARIYANTI DEWI </t>
  </si>
  <si>
    <t xml:space="preserve">SALSABILA NUR AIENI SETIAWAN </t>
  </si>
  <si>
    <t xml:space="preserve">SALSABILA RUSNADI </t>
  </si>
  <si>
    <t xml:space="preserve">SALWA ADINDA NURRIZKIA </t>
  </si>
  <si>
    <t xml:space="preserve">SALWA APRILIANI </t>
  </si>
  <si>
    <t>SALWA AZKA NURSYAMSA</t>
  </si>
  <si>
    <t xml:space="preserve">SALWA AZKA NURSYAMSA </t>
  </si>
  <si>
    <t>SANITIA.CLARAHATI</t>
  </si>
  <si>
    <t>0092171873</t>
  </si>
  <si>
    <t xml:space="preserve">SEINA SYAFYA FITRI </t>
  </si>
  <si>
    <t>SELPI FITRIANI</t>
  </si>
  <si>
    <t xml:space="preserve">SENDY ANDYKA PURNAMA </t>
  </si>
  <si>
    <t>SERIL GRAHA APRILIA</t>
  </si>
  <si>
    <t>SERIL GRAHA APRLIA</t>
  </si>
  <si>
    <t xml:space="preserve">SETRI KENDRAN WIMAYA </t>
  </si>
  <si>
    <t>0092349467</t>
  </si>
  <si>
    <t xml:space="preserve">SILFA SULIASTI NURUL HIJJAH </t>
  </si>
  <si>
    <t xml:space="preserve">SINTA AGUSTINA </t>
  </si>
  <si>
    <t xml:space="preserve">SITI AYRA NUR RAMADHANY </t>
  </si>
  <si>
    <t xml:space="preserve">SITI FATIMAH AZHAR </t>
  </si>
  <si>
    <t xml:space="preserve">SITI MAEMUNAH RAHMADANI </t>
  </si>
  <si>
    <t>SITI MARWAH ASMIAH</t>
  </si>
  <si>
    <t xml:space="preserve">SITI NABILA </t>
  </si>
  <si>
    <t>0108996086</t>
  </si>
  <si>
    <t>SOPIAN ARIYANTO</t>
  </si>
  <si>
    <t xml:space="preserve">SOPIAN ARIYANTO </t>
  </si>
  <si>
    <t>0085264668</t>
  </si>
  <si>
    <t xml:space="preserve">SYAFIRA ELVIANA ULVI </t>
  </si>
  <si>
    <t>SYAHRIEL ALMUKHNIANSYAH</t>
  </si>
  <si>
    <t xml:space="preserve">SYERA AURELIA AZAHRA AZKIYA KURNIAWAN </t>
  </si>
  <si>
    <t>0116529357</t>
  </si>
  <si>
    <t>VERN AULIA GASSANI</t>
  </si>
  <si>
    <t xml:space="preserve">VINO DWIKI HERMAWAN </t>
  </si>
  <si>
    <t>0097232768</t>
  </si>
  <si>
    <t>YA</t>
  </si>
  <si>
    <t>YOGA ILHAM PUTRA ARDIYANSYAH</t>
  </si>
  <si>
    <t>0996156650</t>
  </si>
  <si>
    <t xml:space="preserve">ZAHRA ALQODRI NURHERMAWAN </t>
  </si>
  <si>
    <t xml:space="preserve">ZASKIA OKTAVIA PUTRI </t>
  </si>
  <si>
    <t xml:space="preserve">ZIHAN ZULFAA TAUFITRI </t>
  </si>
  <si>
    <t>0090537441</t>
  </si>
  <si>
    <t xml:space="preserve">ZIYAND RAHMAT HIDAYAT </t>
  </si>
  <si>
    <t>KELAS</t>
  </si>
  <si>
    <t>NAMA LENGKAP</t>
  </si>
  <si>
    <t>NAMA PANGGILAN</t>
  </si>
  <si>
    <t>JENIS KELAMIN</t>
  </si>
  <si>
    <t>TEMPAT LAHIR</t>
  </si>
  <si>
    <t>TANGGAL LAHIR</t>
  </si>
  <si>
    <t>AGAMA</t>
  </si>
  <si>
    <t>KEWARGANEGARAAN</t>
  </si>
  <si>
    <t>ANAK KE</t>
  </si>
  <si>
    <t>SAUDARA KANDUNG, TIRI, ANGKAT</t>
  </si>
  <si>
    <t>JUMLAH SAUDARA</t>
  </si>
  <si>
    <t>BAHASA SEHARI2</t>
  </si>
  <si>
    <t>GOLONGAN DARAH</t>
  </si>
  <si>
    <t>ALAMAT LENGKAP</t>
  </si>
  <si>
    <t>NO. HP</t>
  </si>
  <si>
    <t>TINGGAL DENGAN</t>
  </si>
  <si>
    <t>JARK TEMPUH</t>
  </si>
  <si>
    <t>NAMA AYAH</t>
  </si>
  <si>
    <t>NAMA IBU</t>
  </si>
  <si>
    <t>PENDIDIKAN AYAH</t>
  </si>
  <si>
    <t>PENDIDIKAN IBU</t>
  </si>
  <si>
    <t>PEKERJAAN AYAH</t>
  </si>
  <si>
    <t>KET. PEKERJAAN</t>
  </si>
  <si>
    <t>PEKERJAAN IBU</t>
  </si>
  <si>
    <t>ASAL SMP</t>
  </si>
  <si>
    <t>NO IJASAH SMP</t>
  </si>
  <si>
    <t>TINGGI BADAN</t>
  </si>
  <si>
    <t>BERAT BADAN</t>
  </si>
  <si>
    <t>PRESTASI</t>
  </si>
  <si>
    <t>X 10</t>
  </si>
  <si>
    <t xml:space="preserve">Hafidz </t>
  </si>
  <si>
    <t>Jakarta</t>
  </si>
  <si>
    <t>Islam</t>
  </si>
  <si>
    <t xml:space="preserve">Indonesia </t>
  </si>
  <si>
    <t>Sunda</t>
  </si>
  <si>
    <t>A</t>
  </si>
  <si>
    <t>Cigondewah Hilir 002/003 Margaasih</t>
  </si>
  <si>
    <t>089604342322</t>
  </si>
  <si>
    <t>Ayah dan Ibu</t>
  </si>
  <si>
    <t>2.3</t>
  </si>
  <si>
    <t>BIBIH SATIA DARMA KUSUMAH</t>
  </si>
  <si>
    <t xml:space="preserve">MUJI RAHAYU </t>
  </si>
  <si>
    <t>Sarjana</t>
  </si>
  <si>
    <t>SMA</t>
  </si>
  <si>
    <t>Wiraswasta</t>
  </si>
  <si>
    <t>Karyawan Swasta</t>
  </si>
  <si>
    <t>SMP N 55 Bandung</t>
  </si>
  <si>
    <t>Prestasi Rapor</t>
  </si>
  <si>
    <t>X 6</t>
  </si>
  <si>
    <t>X 3</t>
  </si>
  <si>
    <t>X 1</t>
  </si>
  <si>
    <t>ADELIA</t>
  </si>
  <si>
    <t xml:space="preserve">Bandung </t>
  </si>
  <si>
    <t>ISLAM</t>
  </si>
  <si>
    <t xml:space="preserve">INDONESIA </t>
  </si>
  <si>
    <t>AB</t>
  </si>
  <si>
    <t>KP.SUKAMAJU 003/006 MELONG CIMAHI SELATAN</t>
  </si>
  <si>
    <t>081321010726</t>
  </si>
  <si>
    <t>ayah</t>
  </si>
  <si>
    <t>0.9</t>
  </si>
  <si>
    <t>IWAN RIDWAN</t>
  </si>
  <si>
    <t>DEDEH</t>
  </si>
  <si>
    <t>Buruh</t>
  </si>
  <si>
    <t>Lainnya</t>
  </si>
  <si>
    <t>121202530664806</t>
  </si>
  <si>
    <t>KETM</t>
  </si>
  <si>
    <t>X 7</t>
  </si>
  <si>
    <t>Adya</t>
  </si>
  <si>
    <t>Bandung</t>
  </si>
  <si>
    <t>Indonesia</t>
  </si>
  <si>
    <t>Bahasa Indonesia</t>
  </si>
  <si>
    <t>CIJERAH II GG TANJUNG 5 NO 156 MELONG CIMAHI SELATAN</t>
  </si>
  <si>
    <t>081373793245</t>
  </si>
  <si>
    <t>0.2</t>
  </si>
  <si>
    <t>BAGUS TRENGGONO</t>
  </si>
  <si>
    <t>YUPITA</t>
  </si>
  <si>
    <t>S1</t>
  </si>
  <si>
    <t>D3</t>
  </si>
  <si>
    <t>SMPN 4 KOTA CIMAHI</t>
  </si>
  <si>
    <t>X 2</t>
  </si>
  <si>
    <t>X 4</t>
  </si>
  <si>
    <t>Agnis</t>
  </si>
  <si>
    <t>Cimahi</t>
  </si>
  <si>
    <t>Tidak tahu</t>
  </si>
  <si>
    <t>Blok Cisegel 04/09 Melong Cimahi Selatan</t>
  </si>
  <si>
    <t>04</t>
  </si>
  <si>
    <t>09</t>
  </si>
  <si>
    <t xml:space="preserve">Cisegel </t>
  </si>
  <si>
    <t>Melong</t>
  </si>
  <si>
    <t xml:space="preserve">Cimahi Selatan </t>
  </si>
  <si>
    <t>083829178806</t>
  </si>
  <si>
    <t>Ayah Ibu</t>
  </si>
  <si>
    <t>1.4</t>
  </si>
  <si>
    <t xml:space="preserve">SUTARMAN </t>
  </si>
  <si>
    <t xml:space="preserve">SITI ROKHAYAH </t>
  </si>
  <si>
    <t>SLTA</t>
  </si>
  <si>
    <t xml:space="preserve">Karyawan Swasta </t>
  </si>
  <si>
    <t>Tidak bekerja</t>
  </si>
  <si>
    <t>X 11</t>
  </si>
  <si>
    <t>Agra</t>
  </si>
  <si>
    <t>SINDANG SARI BARAT 07/26 MELONG CIMAHI SELATAN</t>
  </si>
  <si>
    <t>07</t>
  </si>
  <si>
    <t>Sindang sari</t>
  </si>
  <si>
    <t>Cimahi Selatan</t>
  </si>
  <si>
    <t>082130198600</t>
  </si>
  <si>
    <t>orang tua</t>
  </si>
  <si>
    <t>0.7</t>
  </si>
  <si>
    <t>AGUNG BULDANI</t>
  </si>
  <si>
    <t>NURHASANAH</t>
  </si>
  <si>
    <t>SMP</t>
  </si>
  <si>
    <t>SMP PASUNDAN 2 CIMAHI</t>
  </si>
  <si>
    <t>X 8</t>
  </si>
  <si>
    <t>Fadil</t>
  </si>
  <si>
    <t>KOTA CIMAHI</t>
  </si>
  <si>
    <t>Sunda dan Indonesia</t>
  </si>
  <si>
    <t>Cijerah 2 No. 58/19 001/003 Gempol Sari Bandung Kulon</t>
  </si>
  <si>
    <t>001</t>
  </si>
  <si>
    <t>003</t>
  </si>
  <si>
    <t>Desa kelurahan gempol sari</t>
  </si>
  <si>
    <t>Kelurahan gempol sari</t>
  </si>
  <si>
    <t>Bandung kulon</t>
  </si>
  <si>
    <t>083195394603</t>
  </si>
  <si>
    <t>Uwak</t>
  </si>
  <si>
    <t>1.0</t>
  </si>
  <si>
    <t>HENDRA</t>
  </si>
  <si>
    <t>METTA RAMAYANTI</t>
  </si>
  <si>
    <t>Sma</t>
  </si>
  <si>
    <t>Sudah Meninggal</t>
  </si>
  <si>
    <t>Smpn 57 bandung</t>
  </si>
  <si>
    <t>AIRA,AII</t>
  </si>
  <si>
    <t>CIJERAH 2 BLOK 20 NO 215 02/16 MELONG CIMAHI SELATAN</t>
  </si>
  <si>
    <t>-</t>
  </si>
  <si>
    <t xml:space="preserve">MELONG </t>
  </si>
  <si>
    <t xml:space="preserve">CIMAHI SELATAN </t>
  </si>
  <si>
    <t>0895400604977</t>
  </si>
  <si>
    <t>AYAH</t>
  </si>
  <si>
    <t>0.4</t>
  </si>
  <si>
    <t>TATA</t>
  </si>
  <si>
    <t xml:space="preserve">KOKOY ROHAETI </t>
  </si>
  <si>
    <t>Pensiunan</t>
  </si>
  <si>
    <t>Domisili</t>
  </si>
  <si>
    <t>rayka</t>
  </si>
  <si>
    <t>sunda, indonesia</t>
  </si>
  <si>
    <t>JL.SAKURA NO 14 06/18 MARGAASIH MARGAASIH</t>
  </si>
  <si>
    <t>06</t>
  </si>
  <si>
    <t>MARGAASIH</t>
  </si>
  <si>
    <t>081229221069</t>
  </si>
  <si>
    <t>Ayah</t>
  </si>
  <si>
    <t>2.6</t>
  </si>
  <si>
    <t>ELAN SUSANTO</t>
  </si>
  <si>
    <t>IRMA ENDALAWATI WIGUNA</t>
  </si>
  <si>
    <t>Harian Lepas</t>
  </si>
  <si>
    <t>SMP NEGERI 1 MARGAASIH</t>
  </si>
  <si>
    <t>PAPS</t>
  </si>
  <si>
    <t>Aji</t>
  </si>
  <si>
    <t>Jl.MALEBER UTARA NO.201 06/06 MALEBER GARUDA ANDIR</t>
  </si>
  <si>
    <t>006</t>
  </si>
  <si>
    <t>Maleber</t>
  </si>
  <si>
    <t>Garuda</t>
  </si>
  <si>
    <t>Andir</t>
  </si>
  <si>
    <t>083869981421</t>
  </si>
  <si>
    <t>Ayah ibu</t>
  </si>
  <si>
    <t xml:space="preserve">UGAY HERMAWAN </t>
  </si>
  <si>
    <t xml:space="preserve">DEWI SULIANI </t>
  </si>
  <si>
    <t>Smk</t>
  </si>
  <si>
    <t>Swasta</t>
  </si>
  <si>
    <t>Wirausaha</t>
  </si>
  <si>
    <t xml:space="preserve">SMP PAJAJARAN 1 BANDUNG </t>
  </si>
  <si>
    <t>Prestasi Non Akademis</t>
  </si>
  <si>
    <t>Akhdam</t>
  </si>
  <si>
    <t>Subang</t>
  </si>
  <si>
    <t>Warga Negara Indonesia</t>
  </si>
  <si>
    <t>JL RANCABENTANG TIMUR 03/12 CIBEREUM CIMAHI SELATAN</t>
  </si>
  <si>
    <t>012</t>
  </si>
  <si>
    <t>Rancabentang</t>
  </si>
  <si>
    <t>CIBEUREUM</t>
  </si>
  <si>
    <t>CIMAHI SELATAN</t>
  </si>
  <si>
    <t>082118992464</t>
  </si>
  <si>
    <t>2.2</t>
  </si>
  <si>
    <t>EPI PRIYATNA</t>
  </si>
  <si>
    <t>TITIN NURJANAH</t>
  </si>
  <si>
    <t>SMK</t>
  </si>
  <si>
    <t>49.8</t>
  </si>
  <si>
    <t>kim</t>
  </si>
  <si>
    <t>bandung</t>
  </si>
  <si>
    <t>islam</t>
  </si>
  <si>
    <t>warga negara indonesia</t>
  </si>
  <si>
    <t>indonesia</t>
  </si>
  <si>
    <t>Kp. Cipatat 01/10 Lagadar Margaasih</t>
  </si>
  <si>
    <t>01</t>
  </si>
  <si>
    <t>Cipatat</t>
  </si>
  <si>
    <t>Lagadar</t>
  </si>
  <si>
    <t>margaasih</t>
  </si>
  <si>
    <t>085799423924</t>
  </si>
  <si>
    <t>4.8</t>
  </si>
  <si>
    <t>WIDHI UTOMO</t>
  </si>
  <si>
    <t>LINDAWATI TANTIKA</t>
  </si>
  <si>
    <t>stm</t>
  </si>
  <si>
    <t>sma</t>
  </si>
  <si>
    <t>grab online</t>
  </si>
  <si>
    <t>Irsyad</t>
  </si>
  <si>
    <t>Cijerah 2 Gg Dukuh Blok 7 No 197 03/12 Melong Cimahi Selatan</t>
  </si>
  <si>
    <t>03</t>
  </si>
  <si>
    <t>Cijerah</t>
  </si>
  <si>
    <t>Cimahi selatan</t>
  </si>
  <si>
    <t>081804700266</t>
  </si>
  <si>
    <t>Ibu</t>
  </si>
  <si>
    <t>0.3</t>
  </si>
  <si>
    <t>ANDY SUTANTO</t>
  </si>
  <si>
    <t>LUSI SUSANTINI</t>
  </si>
  <si>
    <t>SMKK</t>
  </si>
  <si>
    <t>Baitul Izzah Boarding school</t>
  </si>
  <si>
    <t>ALEXANDRIA</t>
  </si>
  <si>
    <t>Cimahi 18 Mei 2009</t>
  </si>
  <si>
    <t>INDONESIA</t>
  </si>
  <si>
    <t>BAHASA SUNDA</t>
  </si>
  <si>
    <t>JL GEMPOL ASIH 02/35 GEMPOL MELONG CIMAHI SELATAN</t>
  </si>
  <si>
    <t>02</t>
  </si>
  <si>
    <t>GEMPOL</t>
  </si>
  <si>
    <t>MELONG</t>
  </si>
  <si>
    <t>081296200123</t>
  </si>
  <si>
    <t>AYAH IBU</t>
  </si>
  <si>
    <t>SAMRIS</t>
  </si>
  <si>
    <t>HARYANTI</t>
  </si>
  <si>
    <t xml:space="preserve">Al Fikri </t>
  </si>
  <si>
    <t>Jl SINDANG SARI GG H HASAN 134 07/26 MELON CIMAHI SELATAN</t>
  </si>
  <si>
    <t>089699005307</t>
  </si>
  <si>
    <t>0.6</t>
  </si>
  <si>
    <t xml:space="preserve">SURYANTO </t>
  </si>
  <si>
    <t>YETI KUSMIYATI</t>
  </si>
  <si>
    <t>SMPN4 Cimahi</t>
  </si>
  <si>
    <t>421.3/271.309-SMP.4/VI/2025</t>
  </si>
  <si>
    <t>Rafka</t>
  </si>
  <si>
    <t>DUNGUS LEMBU GIRANG 03/11 MARGAASIH MARGAASIH</t>
  </si>
  <si>
    <t>011</t>
  </si>
  <si>
    <t>Kampung Dungus Lembu Girang</t>
  </si>
  <si>
    <t>Margaasih</t>
  </si>
  <si>
    <t>085295066430</t>
  </si>
  <si>
    <t>MOCH. SURYANA</t>
  </si>
  <si>
    <t>YULIA ELMA NOVIYANTI</t>
  </si>
  <si>
    <t>SLTP</t>
  </si>
  <si>
    <t>SMP 1 NEGERI MARGAASIH</t>
  </si>
  <si>
    <t>Anak Guru</t>
  </si>
  <si>
    <t>Aliifah</t>
  </si>
  <si>
    <t>Jl Cigondewah Kaler 02/03 Cigondewah Kaler Bandung Kulon</t>
  </si>
  <si>
    <t>Cigondewah</t>
  </si>
  <si>
    <t>Cigondewah kaler</t>
  </si>
  <si>
    <t>0882002771779</t>
  </si>
  <si>
    <t>AKA SODIKIN</t>
  </si>
  <si>
    <t>IMAS IKE</t>
  </si>
  <si>
    <t>Sd</t>
  </si>
  <si>
    <t xml:space="preserve">Buruh </t>
  </si>
  <si>
    <t xml:space="preserve">SMP Pasundan 2 Cimahi </t>
  </si>
  <si>
    <t>421.3.5/280/SKEP/SMP-Pas2./2025</t>
  </si>
  <si>
    <t>Alisha</t>
  </si>
  <si>
    <t xml:space="preserve">CIBUNTU BARAT 04/01 CARINGIN BANDUNG KULON </t>
  </si>
  <si>
    <t>Cibuntu barat</t>
  </si>
  <si>
    <t>Caringin</t>
  </si>
  <si>
    <t>081779439198</t>
  </si>
  <si>
    <t>TONI MARSELA</t>
  </si>
  <si>
    <t>TARYUNI</t>
  </si>
  <si>
    <t>MTS</t>
  </si>
  <si>
    <t>Bandung 2 juni 2025</t>
  </si>
  <si>
    <t>Domisili Khusus</t>
  </si>
  <si>
    <t xml:space="preserve">Alisya </t>
  </si>
  <si>
    <t xml:space="preserve">Cimahi </t>
  </si>
  <si>
    <t xml:space="preserve">Islam </t>
  </si>
  <si>
    <t xml:space="preserve">bahasa sunda dan Indonesia </t>
  </si>
  <si>
    <t>Cijerah 2 Gg Bungur 3 No 69 02/33 Melong Cimahi Selatan</t>
  </si>
  <si>
    <t>002</t>
  </si>
  <si>
    <t>033</t>
  </si>
  <si>
    <t xml:space="preserve">GG bungur 3 </t>
  </si>
  <si>
    <t xml:space="preserve">melong </t>
  </si>
  <si>
    <t>083159844562</t>
  </si>
  <si>
    <t xml:space="preserve">orang tua </t>
  </si>
  <si>
    <t xml:space="preserve">KOKO KOMARUDIN </t>
  </si>
  <si>
    <t xml:space="preserve">JURIYAH </t>
  </si>
  <si>
    <t xml:space="preserve">tamat SD </t>
  </si>
  <si>
    <t>Pedagang Kecil</t>
  </si>
  <si>
    <t xml:space="preserve">SMPN 4 Cimahi </t>
  </si>
  <si>
    <t>421.3/271-SMP.4/VI/2025</t>
  </si>
  <si>
    <t>ALIYA</t>
  </si>
  <si>
    <t>BANDUNG</t>
  </si>
  <si>
    <t>SUNDA/INDONESIA</t>
  </si>
  <si>
    <t>CIBUNTU SAYURAN 06/06 WARUNG MUNCANG BANDUNG KULON</t>
  </si>
  <si>
    <t>CIBUNTU</t>
  </si>
  <si>
    <t>WARUNG MUNCANG</t>
  </si>
  <si>
    <t>BANDUNG KULON</t>
  </si>
  <si>
    <t>083192395561</t>
  </si>
  <si>
    <t>DADAN SETIABUDI</t>
  </si>
  <si>
    <t>ENOK MIRA</t>
  </si>
  <si>
    <t>SMP PASUNDAN 7 BANDUNG</t>
  </si>
  <si>
    <t>084/102.11/SMP.pas/7/PP/2025</t>
  </si>
  <si>
    <t>X 5</t>
  </si>
  <si>
    <t>Aliya</t>
  </si>
  <si>
    <t>Islam6</t>
  </si>
  <si>
    <t>bahasa indonesia &amp; bahasa sunda</t>
  </si>
  <si>
    <t>JL MUKODAR TENGAH NO 58 06/07 CIBEREUM CIMAHI SELATAN</t>
  </si>
  <si>
    <t>Cibeureum</t>
  </si>
  <si>
    <t xml:space="preserve">Cibeureum </t>
  </si>
  <si>
    <t>0882001143897</t>
  </si>
  <si>
    <t>1.5</t>
  </si>
  <si>
    <t>DENNY SAPUTRA</t>
  </si>
  <si>
    <t>IIN MARLINA</t>
  </si>
  <si>
    <t>SMPN 7 CIMAHI</t>
  </si>
  <si>
    <t>apin</t>
  </si>
  <si>
    <t>cimahi 06-08-2009</t>
  </si>
  <si>
    <t>Indonesia/wni</t>
  </si>
  <si>
    <t>Indonesia/sunda</t>
  </si>
  <si>
    <t>Cijerah 2 Blok 9 No 57 02/14 Melong Cimahi Selatan</t>
  </si>
  <si>
    <t xml:space="preserve">cimahi selatan </t>
  </si>
  <si>
    <t>089668532123</t>
  </si>
  <si>
    <t xml:space="preserve">ayah ibu </t>
  </si>
  <si>
    <t>0.1</t>
  </si>
  <si>
    <t xml:space="preserve">SONY DARYONO </t>
  </si>
  <si>
    <t>YENI YUNIAR</t>
  </si>
  <si>
    <t xml:space="preserve">slta/sederajat </t>
  </si>
  <si>
    <t xml:space="preserve">SMP NEGERI 4 CIMAHI </t>
  </si>
  <si>
    <t>zia</t>
  </si>
  <si>
    <t>sunda-indonesia</t>
  </si>
  <si>
    <t>B</t>
  </si>
  <si>
    <t xml:space="preserve">Jl Melong Raya Cijerah 2 Blok Sukamaju No 27 04/06 Melong </t>
  </si>
  <si>
    <t>Blok Sukamaju</t>
  </si>
  <si>
    <t>085187504334</t>
  </si>
  <si>
    <t xml:space="preserve">0.5 </t>
  </si>
  <si>
    <t>ACEP HANDRI</t>
  </si>
  <si>
    <t>TITIN HAERANI</t>
  </si>
  <si>
    <t>Amel</t>
  </si>
  <si>
    <t xml:space="preserve">Sumedang </t>
  </si>
  <si>
    <t>Bahasa ibu</t>
  </si>
  <si>
    <t>Jl Rengas 004/006 Gempol Sari Bandung Kulon</t>
  </si>
  <si>
    <t>004</t>
  </si>
  <si>
    <t xml:space="preserve">Gempolsari </t>
  </si>
  <si>
    <t xml:space="preserve">Bandung kulon </t>
  </si>
  <si>
    <t>083155824677</t>
  </si>
  <si>
    <t xml:space="preserve">Ayah dan ibu </t>
  </si>
  <si>
    <t>2.8</t>
  </si>
  <si>
    <t xml:space="preserve">FITRIANSYAH </t>
  </si>
  <si>
    <t xml:space="preserve">NOVIANTI </t>
  </si>
  <si>
    <t xml:space="preserve">SMK </t>
  </si>
  <si>
    <t xml:space="preserve">SMA </t>
  </si>
  <si>
    <t xml:space="preserve">SMP 57 bandung </t>
  </si>
  <si>
    <t>DN-02/D-SD/K13/0038000</t>
  </si>
  <si>
    <t>Ambar</t>
  </si>
  <si>
    <t>WNI</t>
  </si>
  <si>
    <t>JL MELONG ASIH  001/026 MELONG CIMAHI SELATAN</t>
  </si>
  <si>
    <t>026</t>
  </si>
  <si>
    <t>082118186871</t>
  </si>
  <si>
    <t xml:space="preserve">Orang tua </t>
  </si>
  <si>
    <t xml:space="preserve">SUPRIYONO </t>
  </si>
  <si>
    <t xml:space="preserve">TINI KURNIATI HANINGSIH </t>
  </si>
  <si>
    <t xml:space="preserve">SLTA/SEDERAJAT </t>
  </si>
  <si>
    <t xml:space="preserve">Buka Foto Studio </t>
  </si>
  <si>
    <t>imel</t>
  </si>
  <si>
    <t>CIMAHI</t>
  </si>
  <si>
    <t>B.sunda</t>
  </si>
  <si>
    <t>BLOK CISEGEL 03/09 MELONG CIMAHI SELATAN</t>
  </si>
  <si>
    <t>009</t>
  </si>
  <si>
    <t>blok cisegel</t>
  </si>
  <si>
    <t>melong</t>
  </si>
  <si>
    <t>083845148522</t>
  </si>
  <si>
    <t xml:space="preserve">UNIS SYAHRONI </t>
  </si>
  <si>
    <t>DIAN</t>
  </si>
  <si>
    <t>SD</t>
  </si>
  <si>
    <t>JUALAN TAHU KELILING</t>
  </si>
  <si>
    <t>SDN 183 SAYURAN KOTA BANDUNG</t>
  </si>
  <si>
    <t>421.3/282/SKEP/SMP Pas.2/2025</t>
  </si>
  <si>
    <t>X 12</t>
  </si>
  <si>
    <t>AMY</t>
  </si>
  <si>
    <t>KP. CIPATAT BINONG 01/12 LAGADAR MARGAASIH</t>
  </si>
  <si>
    <t>LAGADAR</t>
  </si>
  <si>
    <t>089679147300</t>
  </si>
  <si>
    <t>ORANGTUA</t>
  </si>
  <si>
    <t>3.6</t>
  </si>
  <si>
    <t>KUSMAYADI</t>
  </si>
  <si>
    <t>ROSMIATI WIATNA WIJAYA</t>
  </si>
  <si>
    <t>PNS/TNI/Polri</t>
  </si>
  <si>
    <t xml:space="preserve">Angel </t>
  </si>
  <si>
    <t>Kristen</t>
  </si>
  <si>
    <t>JL. GEMPOL SARI 04/01 GEMPOL SARI BANDUNG KULON</t>
  </si>
  <si>
    <t>Gempol Sari</t>
  </si>
  <si>
    <t>Bandung Kulon</t>
  </si>
  <si>
    <t>082115067785</t>
  </si>
  <si>
    <t>0.8</t>
  </si>
  <si>
    <t>ANJU MANURUNG</t>
  </si>
  <si>
    <t>SUMUANG SIBURIAN</t>
  </si>
  <si>
    <t>SMP SANTO MIKAEL</t>
  </si>
  <si>
    <t>Nisa</t>
  </si>
  <si>
    <t xml:space="preserve">Nganjuk </t>
  </si>
  <si>
    <t>Bahasa Indonesia dan bahasa Sunda</t>
  </si>
  <si>
    <t>Jl Boeng Raya No 22 06/28 Melong Cimahi Selatan</t>
  </si>
  <si>
    <t>028</t>
  </si>
  <si>
    <t xml:space="preserve">Melong </t>
  </si>
  <si>
    <t>085603045334</t>
  </si>
  <si>
    <t>Orang tua</t>
  </si>
  <si>
    <t>SUPARNO</t>
  </si>
  <si>
    <t>SUTATIK</t>
  </si>
  <si>
    <t>Smp</t>
  </si>
  <si>
    <t xml:space="preserve">SMPN 1 MARGAASIH </t>
  </si>
  <si>
    <t>X 9</t>
  </si>
  <si>
    <t xml:space="preserve">Bahasa Indonesia </t>
  </si>
  <si>
    <t>Melong Tengah 01/04 Melong Cimahi Selatan</t>
  </si>
  <si>
    <t>MELONG TENGAH</t>
  </si>
  <si>
    <t>082246444600</t>
  </si>
  <si>
    <t>AYAH DAN IBU</t>
  </si>
  <si>
    <t>1.7</t>
  </si>
  <si>
    <t xml:space="preserve">DADAN AHDAN </t>
  </si>
  <si>
    <t>YETI ANILA</t>
  </si>
  <si>
    <t xml:space="preserve">SMP </t>
  </si>
  <si>
    <t>MTS MISBAHUNNUR</t>
  </si>
  <si>
    <t>Arga</t>
  </si>
  <si>
    <t>JL FOKER TENGAH 4 NO 9 04/23 MELONG CIMAHGI SELATAN</t>
  </si>
  <si>
    <t>023</t>
  </si>
  <si>
    <t>085943034277</t>
  </si>
  <si>
    <t>MUHAMAD HUSAENI</t>
  </si>
  <si>
    <t>RIKA HANDAYANI</t>
  </si>
  <si>
    <t>Arnis</t>
  </si>
  <si>
    <t>GG. HALTEU UTARA NO.300/77 06/11 DUNGUS CARIANG ANDIR</t>
  </si>
  <si>
    <t>DUNGUS CARIANG</t>
  </si>
  <si>
    <t>ANDIR</t>
  </si>
  <si>
    <t>085174398589</t>
  </si>
  <si>
    <t>ANDY MAR'AT</t>
  </si>
  <si>
    <t>DEWI WIDYASARI</t>
  </si>
  <si>
    <t>DIPLOMA IV/STRATA I</t>
  </si>
  <si>
    <t>SLTA/SEDERAJAT</t>
  </si>
  <si>
    <t>SMPN 32 BANDUNG</t>
  </si>
  <si>
    <t>VENI</t>
  </si>
  <si>
    <t>JL. GEMPOL SARI GG SALUYU 02/07 BANDUNG KULON</t>
  </si>
  <si>
    <t>007</t>
  </si>
  <si>
    <t xml:space="preserve">GEMPOLSARI </t>
  </si>
  <si>
    <t xml:space="preserve">BANDUNG KULON </t>
  </si>
  <si>
    <t>081935037303</t>
  </si>
  <si>
    <t>IBU DAN AYAH</t>
  </si>
  <si>
    <t>SOINUN</t>
  </si>
  <si>
    <t xml:space="preserve">SUYATMI </t>
  </si>
  <si>
    <t xml:space="preserve">SMPN 57 BANDUNG </t>
  </si>
  <si>
    <t>Arya</t>
  </si>
  <si>
    <t>bahasa sunda</t>
  </si>
  <si>
    <t>JL. SOEKARNO HATTA 06/05 BABAKAN CIPARAY BABAKAN CIPARAY</t>
  </si>
  <si>
    <t>005</t>
  </si>
  <si>
    <t>babakan ciparay</t>
  </si>
  <si>
    <t>085722683897</t>
  </si>
  <si>
    <t>AJIS SOMANTRI</t>
  </si>
  <si>
    <t>IRMA MAYASARI</t>
  </si>
  <si>
    <t>SMPN 36 BANDUNG</t>
  </si>
  <si>
    <t>121202507902093</t>
  </si>
  <si>
    <t>ARYA</t>
  </si>
  <si>
    <t>BANDAR LAMPUNG</t>
  </si>
  <si>
    <t>INDONESIA dan SUNDA</t>
  </si>
  <si>
    <t>JL. SINDANG SARI 06/26 GG. H. ASIKIN MELONG CIMAHI SELATAN</t>
  </si>
  <si>
    <t>Gg. H. Asikin</t>
  </si>
  <si>
    <t>087784616566</t>
  </si>
  <si>
    <t>BIBI</t>
  </si>
  <si>
    <t>ASEP SOFYAN</t>
  </si>
  <si>
    <t>AGUSTINA APRIYANI</t>
  </si>
  <si>
    <t>Asfa</t>
  </si>
  <si>
    <t>Blok Jambangan 03/10 Cigondewah Kaler Bandung Kulon</t>
  </si>
  <si>
    <t>089667161122</t>
  </si>
  <si>
    <t>1.3</t>
  </si>
  <si>
    <t>DHUHI MAMDUH HALIN</t>
  </si>
  <si>
    <t>MUSLIMATIN</t>
  </si>
  <si>
    <t>Penjahit</t>
  </si>
  <si>
    <t>Smpn 55 negeri kota bandung</t>
  </si>
  <si>
    <t>39.90</t>
  </si>
  <si>
    <t>CILA</t>
  </si>
  <si>
    <t>JL. CIBUNTU TIMUR 03/04 WARUNG MUNCANG BANDUNG KULON</t>
  </si>
  <si>
    <t>087711001611</t>
  </si>
  <si>
    <t>1.6</t>
  </si>
  <si>
    <t>CEVI ARISANDI</t>
  </si>
  <si>
    <t>DEWI ROHANAH</t>
  </si>
  <si>
    <t>MTsS AT TAUFIQ</t>
  </si>
  <si>
    <t>MTs-25 100001070</t>
  </si>
  <si>
    <t>Aulia</t>
  </si>
  <si>
    <t>BLOK SUKAMAJU 05/06 MELONG MELONG CIMAHI SELATAN</t>
  </si>
  <si>
    <t>087735445602</t>
  </si>
  <si>
    <t>0.5</t>
  </si>
  <si>
    <t xml:space="preserve">JUJUN JUNAEDI </t>
  </si>
  <si>
    <t>HENDRI WIGIANTI</t>
  </si>
  <si>
    <t>ARUM</t>
  </si>
  <si>
    <t>BAHASA INDONESIA</t>
  </si>
  <si>
    <t>KOMP. PESONA MARGAASIH B. 3 NO. 8 01/10 MARGAASIH</t>
  </si>
  <si>
    <t>010</t>
  </si>
  <si>
    <t>NANJUNG</t>
  </si>
  <si>
    <t>0882001235889</t>
  </si>
  <si>
    <t>MUHAMAD HASYIM BUSIRI</t>
  </si>
  <si>
    <t>TUGINI</t>
  </si>
  <si>
    <t xml:space="preserve">ayessha </t>
  </si>
  <si>
    <t>Bandung, 6 Juni 2009</t>
  </si>
  <si>
    <t>Jl Melong Asih GG Manunggal 2C 07/09 Cijerah Bandung Kulon</t>
  </si>
  <si>
    <t xml:space="preserve">kampung sayuran </t>
  </si>
  <si>
    <t xml:space="preserve">Cijerah </t>
  </si>
  <si>
    <t>bandung kulon</t>
  </si>
  <si>
    <t>08988249347</t>
  </si>
  <si>
    <t>ibu/ayah</t>
  </si>
  <si>
    <t xml:space="preserve">ARI KRISNA RINALDI </t>
  </si>
  <si>
    <t xml:space="preserve">ENDAH FITRIANI </t>
  </si>
  <si>
    <t xml:space="preserve">bekerja resto online dr rumah bersama ibu </t>
  </si>
  <si>
    <t xml:space="preserve">SMPN 41 BANDUNG </t>
  </si>
  <si>
    <t>Ayu</t>
  </si>
  <si>
    <t>Jl. Cijerah Gg. Saluyu 2 03/04 Cijerah Bandung Kulon</t>
  </si>
  <si>
    <t xml:space="preserve">Bandung Kulon </t>
  </si>
  <si>
    <t>0881023689448</t>
  </si>
  <si>
    <t xml:space="preserve">SLAMET RIYANTO </t>
  </si>
  <si>
    <t>WIDA JULEHA</t>
  </si>
  <si>
    <t xml:space="preserve">TAMAT SD/SEDERAJAT </t>
  </si>
  <si>
    <t xml:space="preserve">SMPN 39 BANDUNG </t>
  </si>
  <si>
    <t>MAYLA</t>
  </si>
  <si>
    <t>JL. DACOTA TENGAH NO. 1 01/29 KOMP. MGG MELONG</t>
  </si>
  <si>
    <t>KOMP. MGG</t>
  </si>
  <si>
    <t>082111924263</t>
  </si>
  <si>
    <t>ANDRIAN PARDIANA</t>
  </si>
  <si>
    <t>ADINDA INTAN PRIHATAMA</t>
  </si>
  <si>
    <t>DIPLOMA 3</t>
  </si>
  <si>
    <t>S-1</t>
  </si>
  <si>
    <t>SMP AL AMANAH</t>
  </si>
  <si>
    <t xml:space="preserve">AZRIL </t>
  </si>
  <si>
    <t>sunda</t>
  </si>
  <si>
    <t>JL. MARGA ASRI III BLOK C6 06/05 GEMPOL SARI BANDUNG KULON</t>
  </si>
  <si>
    <t>05</t>
  </si>
  <si>
    <t>Bumi asri</t>
  </si>
  <si>
    <t>gempol sari</t>
  </si>
  <si>
    <t>087701441174</t>
  </si>
  <si>
    <t>MISBAH ISMAIL</t>
  </si>
  <si>
    <t>IMAS TITA</t>
  </si>
  <si>
    <t>DIPLOMA 1</t>
  </si>
  <si>
    <t>SMP NEGERI 57 BANDUNG</t>
  </si>
  <si>
    <t>174.</t>
  </si>
  <si>
    <t>64.5</t>
  </si>
  <si>
    <t>AZZAHRA NUR AZIZAH</t>
  </si>
  <si>
    <t>Zira</t>
  </si>
  <si>
    <t>Indonesia dan sunda</t>
  </si>
  <si>
    <t>Jl Maleber Utara 03/06 Maleber Utara Andir</t>
  </si>
  <si>
    <t>Maleber utara</t>
  </si>
  <si>
    <t>0895385755573</t>
  </si>
  <si>
    <t>HERU SUPANGAT</t>
  </si>
  <si>
    <t>NENG ROHAYATI</t>
  </si>
  <si>
    <t>SMP PASUNDAN 02 CIMAHI</t>
  </si>
  <si>
    <t xml:space="preserve">AISYAH </t>
  </si>
  <si>
    <t>JL BOROBUDUR 3 NO.17 03/10 CIBEREUM CIMAHI SELATAN</t>
  </si>
  <si>
    <t>082127276058</t>
  </si>
  <si>
    <t>IBU</t>
  </si>
  <si>
    <t>ISMIRANTI KUSUMAWATI</t>
  </si>
  <si>
    <t xml:space="preserve">ISMIRANTI KUSUMAWATI </t>
  </si>
  <si>
    <t>D III</t>
  </si>
  <si>
    <t>MENGURUS RUMAH TANGGA</t>
  </si>
  <si>
    <t>SMAN 4 CIMAHI</t>
  </si>
  <si>
    <t>DN-02/D-SD/K13/0710568</t>
  </si>
  <si>
    <t>BELLA</t>
  </si>
  <si>
    <t>KRISTEN</t>
  </si>
  <si>
    <t>MESS BATU RENGAT 02/13 CIGONDEWAH KALER BANDUNG KULON</t>
  </si>
  <si>
    <t>013</t>
  </si>
  <si>
    <t>CIGONDEWAH KALER</t>
  </si>
  <si>
    <t>085800226577</t>
  </si>
  <si>
    <t>SUHENDRY</t>
  </si>
  <si>
    <t>SRI HARTINI</t>
  </si>
  <si>
    <t>SMPN 57</t>
  </si>
  <si>
    <t>Jl.Nanarohana 04/01 Warung Muncang Bandung Kulon</t>
  </si>
  <si>
    <t>RT 4</t>
  </si>
  <si>
    <t>RW 01</t>
  </si>
  <si>
    <t xml:space="preserve">jalan nanarohana </t>
  </si>
  <si>
    <t>Warung muncang</t>
  </si>
  <si>
    <t>AGUS TAUFIQ</t>
  </si>
  <si>
    <t>RITA SUMARNI</t>
  </si>
  <si>
    <t>TIDAK ADA</t>
  </si>
  <si>
    <t>Smp Pasundan 7 bandung</t>
  </si>
  <si>
    <t>Billy</t>
  </si>
  <si>
    <t>Sukagalih 01/34 Melong CImahi Selatan</t>
  </si>
  <si>
    <t>Sukagalih</t>
  </si>
  <si>
    <t>081322498250</t>
  </si>
  <si>
    <t>ADE ROSIDIN</t>
  </si>
  <si>
    <t>ASMINI</t>
  </si>
  <si>
    <t>SMPN 4 CIMAHI</t>
  </si>
  <si>
    <t>DN-02/D-SD/K13/0625600</t>
  </si>
  <si>
    <t>Cahaya</t>
  </si>
  <si>
    <t>2/26/0010</t>
  </si>
  <si>
    <t>JALAN MUKODAR III NO 88 01/07 CIBEREUM CIMAHI SELATAN</t>
  </si>
  <si>
    <t>KEBON KOPI</t>
  </si>
  <si>
    <t>088220586854</t>
  </si>
  <si>
    <t xml:space="preserve">ALAM PANDUWINATA </t>
  </si>
  <si>
    <t>LINA YULIANA</t>
  </si>
  <si>
    <t>CALLYSTA</t>
  </si>
  <si>
    <t>Bahasa Indonesia dan Bahasa Sunda</t>
  </si>
  <si>
    <t>JL.PALEM NO E-03. KOMP. TAMAN BUKIT LAGADAR 01/09</t>
  </si>
  <si>
    <t>081212889803</t>
  </si>
  <si>
    <t xml:space="preserve">5.2 </t>
  </si>
  <si>
    <t>JOHAR PALACITA</t>
  </si>
  <si>
    <t>NIKEN BUDI ASTUTI</t>
  </si>
  <si>
    <t>S1 HUKUM</t>
  </si>
  <si>
    <t>Kalvin, vin, pin</t>
  </si>
  <si>
    <t>Katolik</t>
  </si>
  <si>
    <t xml:space="preserve">Bahasa Indonesia, sedikit Sunda </t>
  </si>
  <si>
    <t>JL. MELONG TENGAH 05/04 MELONG CIMAHI SELATAN</t>
  </si>
  <si>
    <t>081779145584</t>
  </si>
  <si>
    <t>BOSMER NAIBAHO</t>
  </si>
  <si>
    <t>ERNAPERA SIMARMATA</t>
  </si>
  <si>
    <t>SMP Negeri 9 Cimahi</t>
  </si>
  <si>
    <t>Rara</t>
  </si>
  <si>
    <t>CIMAHI,6 July 2009</t>
  </si>
  <si>
    <t xml:space="preserve">Indonesia/Sunda </t>
  </si>
  <si>
    <t>Sukagalih 02/34 Melong Cimahi Selatan</t>
  </si>
  <si>
    <t>034</t>
  </si>
  <si>
    <t xml:space="preserve">Sukagalih </t>
  </si>
  <si>
    <t>087733311703</t>
  </si>
  <si>
    <t>Orangtua</t>
  </si>
  <si>
    <t>4.3</t>
  </si>
  <si>
    <t>BENI ARYANTO</t>
  </si>
  <si>
    <t>DIANA</t>
  </si>
  <si>
    <t>SMA/SEDERAJAT</t>
  </si>
  <si>
    <t>421.3/271.4/VI/2025</t>
  </si>
  <si>
    <t>vivi</t>
  </si>
  <si>
    <t>kristen</t>
  </si>
  <si>
    <t>Jl. Sindang Sari Barat Kp. Sayuran 03/07 Cijerah Bandung Kulon</t>
  </si>
  <si>
    <t>Kp. Sayuran</t>
  </si>
  <si>
    <t>085797165984</t>
  </si>
  <si>
    <t>ROMMEL SIMAMORA</t>
  </si>
  <si>
    <t>DASNAIJO SITANGGANG</t>
  </si>
  <si>
    <t>SMPN 9 Bandung</t>
  </si>
  <si>
    <t>PK. 03.02.05/421.3/495-TU/SMPN9/VI/2025</t>
  </si>
  <si>
    <t>Echa</t>
  </si>
  <si>
    <t>Jl.GEMPOL SARI GG.SALUYU 01/07 GEMPOL SARI BANDUNG KULON</t>
  </si>
  <si>
    <t>Gg.saluyu</t>
  </si>
  <si>
    <t>Gempol sari</t>
  </si>
  <si>
    <t>082115075513</t>
  </si>
  <si>
    <t>ayah dan ibu</t>
  </si>
  <si>
    <t>2.7</t>
  </si>
  <si>
    <t>TATANG NURJAMAN</t>
  </si>
  <si>
    <t>ENNY ROCHAENIE</t>
  </si>
  <si>
    <t>Smp Plus Sindang Resmi</t>
  </si>
  <si>
    <t>421.3/SMPP-SR/1438VI/2025</t>
  </si>
  <si>
    <t xml:space="preserve">CHELSEA </t>
  </si>
  <si>
    <t xml:space="preserve">BANDUNG </t>
  </si>
  <si>
    <t xml:space="preserve">SUNDA / INDONESIA </t>
  </si>
  <si>
    <t>Perum Cijerah 1 No. 45 06/05 Cijerah Bandung Kulon</t>
  </si>
  <si>
    <t>081222606563</t>
  </si>
  <si>
    <t>Ayah dan ibu</t>
  </si>
  <si>
    <t xml:space="preserve">SUPARMANTO </t>
  </si>
  <si>
    <t xml:space="preserve">JASIMAH </t>
  </si>
  <si>
    <t>420/271-SMP.4/VI/2025</t>
  </si>
  <si>
    <t>CHERYL</t>
  </si>
  <si>
    <t>CIJERAH II BLOK XI NO 92 07/19 MELONG CIMAHI SELATAN</t>
  </si>
  <si>
    <t>019</t>
  </si>
  <si>
    <t>082115353005</t>
  </si>
  <si>
    <t>ORANG TUA</t>
  </si>
  <si>
    <t>DEDE WINANDAR</t>
  </si>
  <si>
    <t>METY HERMAWATI</t>
  </si>
  <si>
    <t>Chika</t>
  </si>
  <si>
    <t>Jl. Sindang Sari 03/26 Melong Cimahi Selatan</t>
  </si>
  <si>
    <t xml:space="preserve">Cimahi selatan </t>
  </si>
  <si>
    <t>087705481978</t>
  </si>
  <si>
    <t xml:space="preserve">Ayah </t>
  </si>
  <si>
    <t>ATANG</t>
  </si>
  <si>
    <t xml:space="preserve">NURI TRISNAWATI </t>
  </si>
  <si>
    <t>Keyla</t>
  </si>
  <si>
    <t>GANG NUSA INDAH 3 NO 21 04/17 MELONG CIMAHI SELATAN</t>
  </si>
  <si>
    <t>017</t>
  </si>
  <si>
    <t>089662990605</t>
  </si>
  <si>
    <t xml:space="preserve">BOY ALAMSYAH </t>
  </si>
  <si>
    <t>ANI MARYANI</t>
  </si>
  <si>
    <t>daanish</t>
  </si>
  <si>
    <t>Kp. Jati 01/11 No.29 Nanjung Margaasih</t>
  </si>
  <si>
    <t>tpu paguyuban</t>
  </si>
  <si>
    <t>Nanjung</t>
  </si>
  <si>
    <t>085134276605</t>
  </si>
  <si>
    <t>ibu dan ayah</t>
  </si>
  <si>
    <t>ADANG RAHMAT</t>
  </si>
  <si>
    <t>FITRI YULIANTI</t>
  </si>
  <si>
    <t>Daffa</t>
  </si>
  <si>
    <t>Perumnas Cijerah II Blok 21 Gg. Hidayah 8 No.115 03/16</t>
  </si>
  <si>
    <t xml:space="preserve">- </t>
  </si>
  <si>
    <t>081321017077</t>
  </si>
  <si>
    <t>DHONI MULYADI S</t>
  </si>
  <si>
    <t>RENI NURLINA</t>
  </si>
  <si>
    <t>DIII</t>
  </si>
  <si>
    <t>Dila</t>
  </si>
  <si>
    <t xml:space="preserve">Kp Sayuran Gg manunggal 2C 05/07 Cijerah Bandung Kulon </t>
  </si>
  <si>
    <t xml:space="preserve">Kampung sayuran </t>
  </si>
  <si>
    <t>085724086411</t>
  </si>
  <si>
    <t xml:space="preserve">AGAN SAROPUDIN </t>
  </si>
  <si>
    <t xml:space="preserve">ENI WIDAYATI </t>
  </si>
  <si>
    <t>Sekolah Menengah Atas</t>
  </si>
  <si>
    <t xml:space="preserve">Sekolah Menengah Atas </t>
  </si>
  <si>
    <t xml:space="preserve">SMP NEGERI 41 BANDUNG </t>
  </si>
  <si>
    <t xml:space="preserve">DANISH </t>
  </si>
  <si>
    <t xml:space="preserve">ISLAM </t>
  </si>
  <si>
    <t>Perum Cijerah II Blok 13 GG Nusa Indah V No 67  06./17 Melong</t>
  </si>
  <si>
    <t xml:space="preserve">Nusa Indah V </t>
  </si>
  <si>
    <t>085860593178</t>
  </si>
  <si>
    <t xml:space="preserve">Orang Tua </t>
  </si>
  <si>
    <t xml:space="preserve">DODI MULYAWAN DJUWANDA </t>
  </si>
  <si>
    <t xml:space="preserve">ERTY MERLINA </t>
  </si>
  <si>
    <t>DIPLOMA III</t>
  </si>
  <si>
    <t xml:space="preserve">SMP Negeri 4 Cimahi </t>
  </si>
  <si>
    <t>421.3/271.095-SMP.4/VI/2025</t>
  </si>
  <si>
    <t xml:space="preserve">DARA ELVARIA ZULIA </t>
  </si>
  <si>
    <t>Dara</t>
  </si>
  <si>
    <t>Jl. Bata Merah lll No.2B 04/02 Caringin Bandung Kulon</t>
  </si>
  <si>
    <t>082319199389</t>
  </si>
  <si>
    <t xml:space="preserve">Kakak </t>
  </si>
  <si>
    <t>AGUS ALFIAN</t>
  </si>
  <si>
    <t xml:space="preserve">ULLY ANDALIA </t>
  </si>
  <si>
    <t xml:space="preserve">SMP negeri 1 Margaasih </t>
  </si>
  <si>
    <t>Darrell</t>
  </si>
  <si>
    <t>Sunda Dan Indonesia</t>
  </si>
  <si>
    <t>Melong Raya Gang Sari Asih 03/31 Melong Cimahi Selatan</t>
  </si>
  <si>
    <t xml:space="preserve"> Melong</t>
  </si>
  <si>
    <t>082116233052</t>
  </si>
  <si>
    <t>DONI NUGRAHA</t>
  </si>
  <si>
    <t>DINI ROSDIANI</t>
  </si>
  <si>
    <t>ASMTB</t>
  </si>
  <si>
    <t>421.3/271.136-SMP.4/VI/2025</t>
  </si>
  <si>
    <t>davina</t>
  </si>
  <si>
    <t>CIJERAH 2 BLOK 5 NO 105 GANG DELIMA 2 02/13 MELONG</t>
  </si>
  <si>
    <t>gang delima 2</t>
  </si>
  <si>
    <t>cimahi selatan</t>
  </si>
  <si>
    <t>0882000993659</t>
  </si>
  <si>
    <t>ayah ibu</t>
  </si>
  <si>
    <t>1.9</t>
  </si>
  <si>
    <t>LADYANA KOSWARA</t>
  </si>
  <si>
    <t>ENDAH FITRIDYA IMANIAR</t>
  </si>
  <si>
    <t>421.3/271-SMP.4/ VI/2025</t>
  </si>
  <si>
    <t>6/9/0010</t>
  </si>
  <si>
    <t>GG BUNGUR IV BLOK 16 NO 119 03/33 MELONG CIMAHI SELATAN</t>
  </si>
  <si>
    <t>083166015963</t>
  </si>
  <si>
    <t>wali</t>
  </si>
  <si>
    <t>ARDIANSYAH</t>
  </si>
  <si>
    <t>SRIE AYU LESTARI SETIANINGSIH</t>
  </si>
  <si>
    <t>silva / cia</t>
  </si>
  <si>
    <t>bahasa Sunda dan bahasa indonesia</t>
  </si>
  <si>
    <t>Blok Sukamaju 08/06 Melong Cimahi Selatan</t>
  </si>
  <si>
    <t>08</t>
  </si>
  <si>
    <t>0895605581819</t>
  </si>
  <si>
    <t>AHMAD ROMLI</t>
  </si>
  <si>
    <t>YATI NURHAJAR</t>
  </si>
  <si>
    <t>sd</t>
  </si>
  <si>
    <t>SMP negeri 4 cimahi</t>
  </si>
  <si>
    <t>Della</t>
  </si>
  <si>
    <t>Jl. Cijerah Gg. Pasantren 07/06 Cijerah Cibuntu Bandung Kulon</t>
  </si>
  <si>
    <t>Cibuntu</t>
  </si>
  <si>
    <t>083125771927</t>
  </si>
  <si>
    <t>WIDI PRASETYO</t>
  </si>
  <si>
    <t>NENG WINDA SITI ISTIANAH ROSIDAH</t>
  </si>
  <si>
    <t>MTs ASSUADA</t>
  </si>
  <si>
    <t xml:space="preserve">Denia </t>
  </si>
  <si>
    <t xml:space="preserve">GG.H.SANUSI JL.BOJONG RAYA NO.05 07/01 CARINGIN </t>
  </si>
  <si>
    <t xml:space="preserve">CARINGIN </t>
  </si>
  <si>
    <t>081312978750</t>
  </si>
  <si>
    <t xml:space="preserve">ARI ARIPIN </t>
  </si>
  <si>
    <t>KUSNIAWATI</t>
  </si>
  <si>
    <t>desra</t>
  </si>
  <si>
    <t>KP.JATI II 03/03 NANJUNG MARGAASIH</t>
  </si>
  <si>
    <t>nanjung</t>
  </si>
  <si>
    <t>0882002456925</t>
  </si>
  <si>
    <t>2.4</t>
  </si>
  <si>
    <t>CAHYADI</t>
  </si>
  <si>
    <t>LINA HERLINA</t>
  </si>
  <si>
    <t>Destina</t>
  </si>
  <si>
    <t>SUNDA</t>
  </si>
  <si>
    <t>Jalan Cijerah Gang Ambia Cijerah Bandung Kulon</t>
  </si>
  <si>
    <t>Gang ambia</t>
  </si>
  <si>
    <t>0882002357301</t>
  </si>
  <si>
    <t>1.2</t>
  </si>
  <si>
    <t xml:space="preserve">YADI SUPRIADI </t>
  </si>
  <si>
    <t>FITRI ARIYANI</t>
  </si>
  <si>
    <t>TIDAK</t>
  </si>
  <si>
    <t xml:space="preserve">Pasundan 7 bandung </t>
  </si>
  <si>
    <t>dedes</t>
  </si>
  <si>
    <t>Perumnas Cijerah 2 Blok 17 GG Bungur 9 No.79 03/15 Melong</t>
  </si>
  <si>
    <t>081224049304</t>
  </si>
  <si>
    <t>WIJI SUPARMIN</t>
  </si>
  <si>
    <t>SUYANI</t>
  </si>
  <si>
    <t xml:space="preserve">DEVIA NUR HANDAYANI </t>
  </si>
  <si>
    <t>Devia</t>
  </si>
  <si>
    <t xml:space="preserve">Campuran Indonesia dan sunda </t>
  </si>
  <si>
    <t>Cigondewah Kaler 04/12 Bandung Kulon</t>
  </si>
  <si>
    <t xml:space="preserve">Cigondewah Kaler </t>
  </si>
  <si>
    <t>083854857703</t>
  </si>
  <si>
    <t xml:space="preserve">DEDE SANTANA </t>
  </si>
  <si>
    <t xml:space="preserve">NURJANAH </t>
  </si>
  <si>
    <t>Mts</t>
  </si>
  <si>
    <t xml:space="preserve">Buruh harian </t>
  </si>
  <si>
    <t>Smp ypkkp</t>
  </si>
  <si>
    <t>121202507880802</t>
  </si>
  <si>
    <t>154.</t>
  </si>
  <si>
    <t>45.</t>
  </si>
  <si>
    <t xml:space="preserve">DHAFIN </t>
  </si>
  <si>
    <t xml:space="preserve">BAHASA INDONESIA </t>
  </si>
  <si>
    <t xml:space="preserve">PERUM CIJERAH II BLOK19/123 02/03 GEMPOL SARI </t>
  </si>
  <si>
    <t>0895342305234</t>
  </si>
  <si>
    <t>EDRI SABARA KEMAL</t>
  </si>
  <si>
    <t xml:space="preserve">YUNIAWATI SA'ADAH </t>
  </si>
  <si>
    <t xml:space="preserve">SMP NEGERI 36 BANDUNG </t>
  </si>
  <si>
    <t>Intan</t>
  </si>
  <si>
    <t>JL. CIJERAH GG HOLIL 05/06 CIBUNTU BANDUNG KULON</t>
  </si>
  <si>
    <t>CIJERAH</t>
  </si>
  <si>
    <t>08235462719</t>
  </si>
  <si>
    <t>AGUS SUGIANTO</t>
  </si>
  <si>
    <t>SUTRI NINGSIH</t>
  </si>
  <si>
    <t>Dinda</t>
  </si>
  <si>
    <t>Bahasa Indonesia, sunda</t>
  </si>
  <si>
    <t xml:space="preserve">GG. CIBUNTU TENGAH 2 01/09 WARUNG MUNCANG </t>
  </si>
  <si>
    <t>Cibuntu Tengah</t>
  </si>
  <si>
    <t>088709642905</t>
  </si>
  <si>
    <t>DADANG SURYANA</t>
  </si>
  <si>
    <t>ANDRIYANI</t>
  </si>
  <si>
    <t xml:space="preserve">Buruh harian lepas (kalo ada kerjaan di bayar kalo gada kerjaan ga di bayar) </t>
  </si>
  <si>
    <t>121202521099131</t>
  </si>
  <si>
    <t>Jl. Cidamar 08/02 Pasirkaliki CImahi Utara</t>
  </si>
  <si>
    <t>Cidamar</t>
  </si>
  <si>
    <t>Pasirkaliki</t>
  </si>
  <si>
    <t>Cimahi Utara</t>
  </si>
  <si>
    <t>088802285124</t>
  </si>
  <si>
    <t>DIKDIK NUGRAHA</t>
  </si>
  <si>
    <t>KARTINI</t>
  </si>
  <si>
    <t>SMPN 47 BANDUNG</t>
  </si>
  <si>
    <t>Diva</t>
  </si>
  <si>
    <t xml:space="preserve">Bahasa Sunda dan Indonesia </t>
  </si>
  <si>
    <t>BLOK NYONTROL 01/03 MELONG NYONTROL MELONG</t>
  </si>
  <si>
    <t xml:space="preserve">MELONG NYONTROL </t>
  </si>
  <si>
    <t>083825992989</t>
  </si>
  <si>
    <t>IRKHAM KHOLIK</t>
  </si>
  <si>
    <t xml:space="preserve">NUNUNG KURAESIN </t>
  </si>
  <si>
    <t>SLTA (STM)</t>
  </si>
  <si>
    <t>diva</t>
  </si>
  <si>
    <t>Indonesiq</t>
  </si>
  <si>
    <t>Jl.Sindang Sari No 33 03/26 MELONG CIMAHI SELATAN</t>
  </si>
  <si>
    <t>083142981311</t>
  </si>
  <si>
    <t>saudara</t>
  </si>
  <si>
    <t>0.49</t>
  </si>
  <si>
    <t xml:space="preserve">DERIS SOELAEMAN </t>
  </si>
  <si>
    <t xml:space="preserve">IIM HALIMAH </t>
  </si>
  <si>
    <t xml:space="preserve">SMPN 4 CIMAHI </t>
  </si>
  <si>
    <t>DN-02-/D-SD/K13/07107554</t>
  </si>
  <si>
    <t>apsel</t>
  </si>
  <si>
    <t>bandung, 30-04-2009</t>
  </si>
  <si>
    <t xml:space="preserve">islam </t>
  </si>
  <si>
    <t xml:space="preserve">BTN MARGAASIH BLOK T5 NO. 04 04/19 MARGAASIH MARGAASIH </t>
  </si>
  <si>
    <t>081322889426</t>
  </si>
  <si>
    <t>ayahibu</t>
  </si>
  <si>
    <t>5.5</t>
  </si>
  <si>
    <t>SUPRIYANTO</t>
  </si>
  <si>
    <t>SUTIRAH</t>
  </si>
  <si>
    <t>puput</t>
  </si>
  <si>
    <t xml:space="preserve">bandung </t>
  </si>
  <si>
    <t>Gg Sukarela No 158/78 08/09 Ciroyom Andir</t>
  </si>
  <si>
    <t>ciroyom</t>
  </si>
  <si>
    <t>andir</t>
  </si>
  <si>
    <t>081312673610</t>
  </si>
  <si>
    <t xml:space="preserve">2.5 </t>
  </si>
  <si>
    <t>FERRI GUNADI</t>
  </si>
  <si>
    <t>SRI YANTI</t>
  </si>
  <si>
    <t>smk</t>
  </si>
  <si>
    <t>smpn 41 bandung</t>
  </si>
  <si>
    <t>dwi</t>
  </si>
  <si>
    <t>sunda dan indonesia</t>
  </si>
  <si>
    <t>Jl Gempol Sari Gg Saluyu 04/07 Gempol Sari Bandung Kulon</t>
  </si>
  <si>
    <t>desa gempol sari</t>
  </si>
  <si>
    <t>082315473331</t>
  </si>
  <si>
    <t>MUNSORIP</t>
  </si>
  <si>
    <t>CUCU WIDANINGSIH</t>
  </si>
  <si>
    <t>driver</t>
  </si>
  <si>
    <t>SMPN 57 BANDUNG</t>
  </si>
  <si>
    <t xml:space="preserve">DZAKY </t>
  </si>
  <si>
    <t xml:space="preserve">CIMAHI </t>
  </si>
  <si>
    <t>KP RANCAMALANG 03/11 MARGAASIH MARGAASIH</t>
  </si>
  <si>
    <t>KP RANCAMALANG</t>
  </si>
  <si>
    <t xml:space="preserve">MARGAASIH </t>
  </si>
  <si>
    <t>085642408434</t>
  </si>
  <si>
    <t>4.1</t>
  </si>
  <si>
    <t xml:space="preserve">KOKO KOSASIH </t>
  </si>
  <si>
    <t xml:space="preserve">IDA LAILA </t>
  </si>
  <si>
    <t>Konpeksi</t>
  </si>
  <si>
    <t>Eci</t>
  </si>
  <si>
    <t xml:space="preserve">Sunda </t>
  </si>
  <si>
    <t>CIGONDEWAH KALER 02/03 BANDUNG KULON</t>
  </si>
  <si>
    <t>0882002528726</t>
  </si>
  <si>
    <t xml:space="preserve">GUGUN GUNAWAN </t>
  </si>
  <si>
    <t xml:space="preserve">NIA NURHASANAH </t>
  </si>
  <si>
    <t xml:space="preserve">SLTP/SEDERAJAT </t>
  </si>
  <si>
    <t>Evan</t>
  </si>
  <si>
    <t>JL. JATAYU 1 GG. HANURA NO.4/72 01/05 HUSEIN SASTRANEGARA</t>
  </si>
  <si>
    <t xml:space="preserve">HUSEIN SASTRANEGARA </t>
  </si>
  <si>
    <t>CICENDO</t>
  </si>
  <si>
    <t>083166892967</t>
  </si>
  <si>
    <t>Ibu saja</t>
  </si>
  <si>
    <t>RUDI RISWANDI</t>
  </si>
  <si>
    <t>FARRAH DYANE</t>
  </si>
  <si>
    <t xml:space="preserve">SMPN 23 BANDUNG </t>
  </si>
  <si>
    <t>Fabian</t>
  </si>
  <si>
    <t>Jalan Melong Tengah No 164 03/04 MELONG CIMAHI SELATAN</t>
  </si>
  <si>
    <t>0895708477333</t>
  </si>
  <si>
    <t>2.1</t>
  </si>
  <si>
    <t>JANUAR MAULIANA</t>
  </si>
  <si>
    <t>IPAH SARIPAH</t>
  </si>
  <si>
    <t>STM</t>
  </si>
  <si>
    <t>fadil</t>
  </si>
  <si>
    <t>JL. REUNGAS RT/RW.003/006, Gempolsari, Kec.Bandung Kulon, Kota Bandung</t>
  </si>
  <si>
    <t>sunda / idonesia</t>
  </si>
  <si>
    <t>JL. REUNGAS 03/06 GEMPOLSARI BANDUNG KULON</t>
  </si>
  <si>
    <t>REUNGAS</t>
  </si>
  <si>
    <t>GEMPOLSARI</t>
  </si>
  <si>
    <t>083852553704</t>
  </si>
  <si>
    <t>bapa</t>
  </si>
  <si>
    <t>NANDANG SUDRAJAT</t>
  </si>
  <si>
    <t>ETI</t>
  </si>
  <si>
    <t>SLTP/SEDERAJAT</t>
  </si>
  <si>
    <t>ayah bekerja di pabrik, dan sampingan gojek</t>
  </si>
  <si>
    <t xml:space="preserve">Fadli </t>
  </si>
  <si>
    <t xml:space="preserve">Garut </t>
  </si>
  <si>
    <t>GG. MANUNGGAL IIC 06/10 CIJERAH BANDUNG KULON</t>
  </si>
  <si>
    <t>085724864013</t>
  </si>
  <si>
    <t xml:space="preserve">AA KOMARUDIN </t>
  </si>
  <si>
    <t xml:space="preserve">INA DEWANTI </t>
  </si>
  <si>
    <t xml:space="preserve">MTsS AL ISTIQOMAH </t>
  </si>
  <si>
    <t>MTs-25 100092244</t>
  </si>
  <si>
    <t>fah/far/fauz</t>
  </si>
  <si>
    <t>Akta:27- 07/2009. KK: 26- 07/2009. IJAZAH SD:27-07/2009. IJAZAH SMP BELUM ADA</t>
  </si>
  <si>
    <t>KP.DUNGUS LEMBU</t>
  </si>
  <si>
    <t>KP DUNGUS LEMBU 04/11 MARGAASIH MARGAASIH</t>
  </si>
  <si>
    <t>Kp. Dungus Lembu</t>
  </si>
  <si>
    <t>0882001264961</t>
  </si>
  <si>
    <t>ASEP NURDIN</t>
  </si>
  <si>
    <t>ESIH SARININGSIH</t>
  </si>
  <si>
    <t>Fahri</t>
  </si>
  <si>
    <t>Cibuntu II 03/09 WARUNG MUNCANG BANDUNG KULON</t>
  </si>
  <si>
    <t>Warung Muncang</t>
  </si>
  <si>
    <t>085703071637</t>
  </si>
  <si>
    <t>TAKRO</t>
  </si>
  <si>
    <t>SITI AISAH</t>
  </si>
  <si>
    <t>SMPN 6 BANDUNG</t>
  </si>
  <si>
    <t>Faisal,Isall,sal</t>
  </si>
  <si>
    <t>RI</t>
  </si>
  <si>
    <t>Jl. Suryani Dalam 07/01 Warung Muncang Bandung Kulon</t>
  </si>
  <si>
    <t>Suryani dalam</t>
  </si>
  <si>
    <t>warung muncang</t>
  </si>
  <si>
    <t>085724681748</t>
  </si>
  <si>
    <t>kakak perempuan</t>
  </si>
  <si>
    <t>6.3</t>
  </si>
  <si>
    <t>GINO</t>
  </si>
  <si>
    <t>ICAH</t>
  </si>
  <si>
    <t xml:space="preserve">maxim </t>
  </si>
  <si>
    <t>Smp kiansantang</t>
  </si>
  <si>
    <t xml:space="preserve">Fajar </t>
  </si>
  <si>
    <t>JALAN PARALON 1</t>
  </si>
  <si>
    <t>Jl Paralon 1 Gg. Sawargi 02/11 Cigondewah Kaler Bandung Kulon</t>
  </si>
  <si>
    <t>Kampung seketimbang</t>
  </si>
  <si>
    <t xml:space="preserve">Cigondewah kaler </t>
  </si>
  <si>
    <t>083866184018</t>
  </si>
  <si>
    <t xml:space="preserve">ANGGA INDRA RUKMANA </t>
  </si>
  <si>
    <t>Pedagang</t>
  </si>
  <si>
    <t>Tidak ada</t>
  </si>
  <si>
    <t>SMPN 55 KOTA BANDUNG</t>
  </si>
  <si>
    <t>DN-02/D-SD/K13/0615786</t>
  </si>
  <si>
    <t xml:space="preserve">Padang </t>
  </si>
  <si>
    <t>bahasa indonesia</t>
  </si>
  <si>
    <t>Gg. Bungur 9 No 113 03/15 Melong Cimahi Selatan</t>
  </si>
  <si>
    <t>015</t>
  </si>
  <si>
    <t>085600287514</t>
  </si>
  <si>
    <t>MANZIL KAMALUDIN</t>
  </si>
  <si>
    <t>SHOVIA CINDERA ISMI</t>
  </si>
  <si>
    <t>SMPN 31 Bandung</t>
  </si>
  <si>
    <t>Farrel</t>
  </si>
  <si>
    <t>WRI</t>
  </si>
  <si>
    <t>Jl. H. Alpi No. 60A/80 05/01 Cibuntu Bandung Kulon</t>
  </si>
  <si>
    <t>085795984120</t>
  </si>
  <si>
    <t>Orang Tua</t>
  </si>
  <si>
    <t xml:space="preserve">1.3 </t>
  </si>
  <si>
    <t>HASANUDDIN</t>
  </si>
  <si>
    <t>TIKA PEBRIANI</t>
  </si>
  <si>
    <t>Akademi</t>
  </si>
  <si>
    <t>Kerja Serabutan</t>
  </si>
  <si>
    <t>421.3/271.418-SMP.4/VI/2025</t>
  </si>
  <si>
    <t>39.3</t>
  </si>
  <si>
    <t>FATMA</t>
  </si>
  <si>
    <t>CIANJUR</t>
  </si>
  <si>
    <t>CAMPUR SUNDA - INDO</t>
  </si>
  <si>
    <t>JL MELONG BLOK SUKARINTIH 04/05 MELONG CIMAHI SELATAN</t>
  </si>
  <si>
    <t>081546961593</t>
  </si>
  <si>
    <t xml:space="preserve">AYAH </t>
  </si>
  <si>
    <t>7.1</t>
  </si>
  <si>
    <t>AEP SAEPUDIN</t>
  </si>
  <si>
    <t>SITI MARIAM</t>
  </si>
  <si>
    <t>SMP NEGERI 2 HAURWANGI</t>
  </si>
  <si>
    <t xml:space="preserve">FATQI / AFNAN </t>
  </si>
  <si>
    <t>JL. JEND SUDIRMAN GG. MANUNGGAL 2C 04/10 CIJERAH</t>
  </si>
  <si>
    <t xml:space="preserve">KEBON TERONG </t>
  </si>
  <si>
    <t xml:space="preserve">CIJERAH </t>
  </si>
  <si>
    <t>081222132711</t>
  </si>
  <si>
    <t>JOKO WIYONO</t>
  </si>
  <si>
    <t xml:space="preserve">SUPRIHATIN </t>
  </si>
  <si>
    <t xml:space="preserve">SMP NEGERI 47 BANDUNG </t>
  </si>
  <si>
    <t>FELLISA</t>
  </si>
  <si>
    <t>GG.MANUNGGAL II C 04/10 CIJERAH BANDUNG KULON</t>
  </si>
  <si>
    <t>cijerah</t>
  </si>
  <si>
    <t>08888339587</t>
  </si>
  <si>
    <t>1.8</t>
  </si>
  <si>
    <t>ASEP DENI JUNAEDI</t>
  </si>
  <si>
    <t>ELI HERLIANI</t>
  </si>
  <si>
    <t>habis kontrak kerja akhir tahun 2024, posisi sekarang lagi tidak bekerja</t>
  </si>
  <si>
    <t>dela</t>
  </si>
  <si>
    <t>bahasa Indonesia</t>
  </si>
  <si>
    <t>Komplek Pesona Margaasih, Blok B3 No 11 01/10 MARGAASIH</t>
  </si>
  <si>
    <t>Komplek Pesona Margaasih</t>
  </si>
  <si>
    <t>0895356070099</t>
  </si>
  <si>
    <t>2.97</t>
  </si>
  <si>
    <t>JOKO PURWOKO</t>
  </si>
  <si>
    <t>ANI SUKARTIJAH</t>
  </si>
  <si>
    <t>SMEA</t>
  </si>
  <si>
    <t xml:space="preserve">FIRAS ILMI CAHYADIN </t>
  </si>
  <si>
    <t>Firas</t>
  </si>
  <si>
    <t>KP.SAYURAN GG.MANUNGGAL 2C 04/09 CIJERAH BANDUNG KULON</t>
  </si>
  <si>
    <t>KP.SAYURAN</t>
  </si>
  <si>
    <t>089517814833</t>
  </si>
  <si>
    <t xml:space="preserve">AGUS CAHYADIN </t>
  </si>
  <si>
    <t>ENIH</t>
  </si>
  <si>
    <t>.</t>
  </si>
  <si>
    <t xml:space="preserve">SMP PASUNDAN 2 CIMAHI </t>
  </si>
  <si>
    <t>121202521099290</t>
  </si>
  <si>
    <t>firman/man</t>
  </si>
  <si>
    <t>Campuran indonesia sunda</t>
  </si>
  <si>
    <t>JL. JATAYU GG. HANURA NO. 4/72 01/05 HUSEIN SASTRANEGARA</t>
  </si>
  <si>
    <t>HUSEIN SASTRANEGARA</t>
  </si>
  <si>
    <t>081533150448</t>
  </si>
  <si>
    <t>Ibu, kakek dan nenek</t>
  </si>
  <si>
    <t>4.2</t>
  </si>
  <si>
    <t>ASEP AHMAD</t>
  </si>
  <si>
    <t>NOVI YULIANI</t>
  </si>
  <si>
    <t>SMPN 23 BANDUNG</t>
  </si>
  <si>
    <t>funny</t>
  </si>
  <si>
    <t>Kristen Protestan</t>
  </si>
  <si>
    <t>Blok Sukamaju  01/06 Tapanuli Melong Cimahi Selatan</t>
  </si>
  <si>
    <t>Tapanuli</t>
  </si>
  <si>
    <t>089510755405</t>
  </si>
  <si>
    <t>DARIANUS TAMBUNAN</t>
  </si>
  <si>
    <t>SAGIMARIA SITOMPUL</t>
  </si>
  <si>
    <t>Galih</t>
  </si>
  <si>
    <t>Blok Sakola 02/07 Melong CImahi Selatan</t>
  </si>
  <si>
    <t>blok sakola</t>
  </si>
  <si>
    <t>083195642680</t>
  </si>
  <si>
    <t xml:space="preserve">DIDI SUPRIYADI </t>
  </si>
  <si>
    <t xml:space="preserve">ADE ROKANAH </t>
  </si>
  <si>
    <t>gaja</t>
  </si>
  <si>
    <t>Perumnas Cijerah 2 Blok 22 Gang Galura 4 No 24A 05/16</t>
  </si>
  <si>
    <t>083839038591</t>
  </si>
  <si>
    <t>ANDA SUHANDA</t>
  </si>
  <si>
    <t>NENI HARTATI</t>
  </si>
  <si>
    <t>pensiunan perum perumnas</t>
  </si>
  <si>
    <t>GHIANDA</t>
  </si>
  <si>
    <t>JL. RASAMALA 1 NO. 3 KOMP. GRAHA MARGAASIH 06/20 LAGADAR</t>
  </si>
  <si>
    <t>020</t>
  </si>
  <si>
    <t>085759108935</t>
  </si>
  <si>
    <t xml:space="preserve">5.1 </t>
  </si>
  <si>
    <t>RUSLAN ADIDJAJA</t>
  </si>
  <si>
    <t>NOVA ERNAWATI</t>
  </si>
  <si>
    <t>S2</t>
  </si>
  <si>
    <t>LANG</t>
  </si>
  <si>
    <t>Jl.CIJERAH PAL 3 04/07 GG. ABAH DAWI CIBUNTU BANDUNG KULON</t>
  </si>
  <si>
    <t>GANG ABAH DAWI</t>
  </si>
  <si>
    <t xml:space="preserve">CIBUNTU </t>
  </si>
  <si>
    <t>083870205456</t>
  </si>
  <si>
    <t xml:space="preserve">EUIS KOMARIAH </t>
  </si>
  <si>
    <t>Tamat SD</t>
  </si>
  <si>
    <t xml:space="preserve">SMP PASUNDAN 7 BANDUNG </t>
  </si>
  <si>
    <t>GIO</t>
  </si>
  <si>
    <t xml:space="preserve">JL. MELONG GG. HEGARSARI NO. 94 05/12 MELONG </t>
  </si>
  <si>
    <t>088224585247</t>
  </si>
  <si>
    <t>MASRIADI</t>
  </si>
  <si>
    <t>NURMALINA</t>
  </si>
  <si>
    <t>gio</t>
  </si>
  <si>
    <t>JL MELONG RAYA BLOK 4 GG MANINTIN NO 101 02/10 MELONG</t>
  </si>
  <si>
    <t>RT 2</t>
  </si>
  <si>
    <t>082113187688</t>
  </si>
  <si>
    <t>ILHAM ANWAR</t>
  </si>
  <si>
    <t>NUR JANAH</t>
  </si>
  <si>
    <t>Habil</t>
  </si>
  <si>
    <t xml:space="preserve">JAKARTA </t>
  </si>
  <si>
    <t>Jl. Bomber 6 No 4 Melong Green Garden 06/29 MELONG</t>
  </si>
  <si>
    <t>083157229853</t>
  </si>
  <si>
    <t>ibu saja</t>
  </si>
  <si>
    <t>DEWI YULIANTI</t>
  </si>
  <si>
    <t>Habib</t>
  </si>
  <si>
    <t>KP SITUHIANG 04/17 MUKAPAYUNG CILILIN</t>
  </si>
  <si>
    <t xml:space="preserve">KP SITUHIANG </t>
  </si>
  <si>
    <t>MUKAPAYUNG</t>
  </si>
  <si>
    <t>CILILIN</t>
  </si>
  <si>
    <t>083814395307</t>
  </si>
  <si>
    <t>Ibu dan ayah</t>
  </si>
  <si>
    <t>ISWANDI</t>
  </si>
  <si>
    <t xml:space="preserve">AI SUPARTINI </t>
  </si>
  <si>
    <t>Haikal</t>
  </si>
  <si>
    <t>Bahasa sunda dan b indo</t>
  </si>
  <si>
    <t xml:space="preserve">Jl SINGOSARI UJUNG NO 5 01/21 PHARMINDO MELONG </t>
  </si>
  <si>
    <t>Pharmindo</t>
  </si>
  <si>
    <t>082128109009</t>
  </si>
  <si>
    <t>AGUS EFFENDI</t>
  </si>
  <si>
    <t>MAEMUNAH</t>
  </si>
  <si>
    <t>Buruh harian lepas</t>
  </si>
  <si>
    <t>Smpn 4 cimahi</t>
  </si>
  <si>
    <t>Hana</t>
  </si>
  <si>
    <t>Indonesia dan Sunda</t>
  </si>
  <si>
    <t>Blok Cisegel No 135 04/09 Melong Cimahi Selatan</t>
  </si>
  <si>
    <t>Cisegel</t>
  </si>
  <si>
    <t>081285568034</t>
  </si>
  <si>
    <t>Kakak</t>
  </si>
  <si>
    <t>SAHONO</t>
  </si>
  <si>
    <t>ECIN KURAESIN</t>
  </si>
  <si>
    <t>Sekolah Menengah Pertama</t>
  </si>
  <si>
    <t>NADIA</t>
  </si>
  <si>
    <t>indonesia sunda</t>
  </si>
  <si>
    <t>Kp Cikuya 06/15 Lagadar Margaasih</t>
  </si>
  <si>
    <t>kp cikuya</t>
  </si>
  <si>
    <t>lagadar</t>
  </si>
  <si>
    <t>085794485806</t>
  </si>
  <si>
    <t xml:space="preserve">ayah </t>
  </si>
  <si>
    <t>DEDI SUPRIADI</t>
  </si>
  <si>
    <t>NENENG KURNIA</t>
  </si>
  <si>
    <t>smp</t>
  </si>
  <si>
    <t>d1</t>
  </si>
  <si>
    <t>smp plus ypp darussurur</t>
  </si>
  <si>
    <t>Prestasi Kepemimpinan</t>
  </si>
  <si>
    <t>helga</t>
  </si>
  <si>
    <t>BANDUNG, 24 DESEMBER , 2009</t>
  </si>
  <si>
    <t>KOMP. MARGAASIH REGENCY BLOK D 18 08/10 MARGAASIH</t>
  </si>
  <si>
    <t>008</t>
  </si>
  <si>
    <t>082121044902</t>
  </si>
  <si>
    <t xml:space="preserve">MARETNIUS ZEGA </t>
  </si>
  <si>
    <t>ALFATETY MURNI GEA</t>
  </si>
  <si>
    <t xml:space="preserve">SMP NEGERI 1 MARGAASIH </t>
  </si>
  <si>
    <t>Helmina</t>
  </si>
  <si>
    <t>Bahasa Sunda</t>
  </si>
  <si>
    <t>Sukagalih 04/34 Melong CImahi Selatan</t>
  </si>
  <si>
    <t>Blok sukagalih</t>
  </si>
  <si>
    <t>ADE ICANG</t>
  </si>
  <si>
    <t>IIN</t>
  </si>
  <si>
    <t xml:space="preserve">Hilman </t>
  </si>
  <si>
    <t xml:space="preserve">Perumnas Cijerah 2 Blok 20 Gg Hidayah 10 No 162 03/02 </t>
  </si>
  <si>
    <t xml:space="preserve">Gempol Sari </t>
  </si>
  <si>
    <t>0895428552975</t>
  </si>
  <si>
    <t xml:space="preserve">RONI RUSTANDI </t>
  </si>
  <si>
    <t>NERIYANTI</t>
  </si>
  <si>
    <t>MTsS Al Bashariyah</t>
  </si>
  <si>
    <t xml:space="preserve">IKRAM GIBRAN DZIAULHAQ </t>
  </si>
  <si>
    <t>IKRAM</t>
  </si>
  <si>
    <t>Jl. Melong I Blok XI No. 20 05/19 Melong Cimahi Selatan</t>
  </si>
  <si>
    <t>085173099392</t>
  </si>
  <si>
    <t xml:space="preserve">CECEP SYAPARI </t>
  </si>
  <si>
    <t xml:space="preserve">LIA NURAENI </t>
  </si>
  <si>
    <t>Guru honorer</t>
  </si>
  <si>
    <t>421.3/271-SMP4/VI/2025</t>
  </si>
  <si>
    <t>ilma</t>
  </si>
  <si>
    <t>Jl. Reungas 04/06 Gempol Sari Bandung Kulon</t>
  </si>
  <si>
    <t xml:space="preserve">blok reungas </t>
  </si>
  <si>
    <t>087875710378</t>
  </si>
  <si>
    <t xml:space="preserve">orangtua </t>
  </si>
  <si>
    <t xml:space="preserve">DINDIN SAMSUDIN </t>
  </si>
  <si>
    <t xml:space="preserve">SOFIYATUL ALIYAH </t>
  </si>
  <si>
    <t>Imam Herdiana</t>
  </si>
  <si>
    <t xml:space="preserve">Sunda/Indonesia </t>
  </si>
  <si>
    <t>JL.CIJERAH GG BAPA SYARIF 1 04/05 CIBUNTU BANDUNG KULON</t>
  </si>
  <si>
    <t>JL.CIJERAH</t>
  </si>
  <si>
    <t>0895708620503</t>
  </si>
  <si>
    <t>DADAN HERDIANA</t>
  </si>
  <si>
    <t>TINI HARTINI</t>
  </si>
  <si>
    <t>butuh harian lepas</t>
  </si>
  <si>
    <t>51.5</t>
  </si>
  <si>
    <t>Iman</t>
  </si>
  <si>
    <t>JL.SOEKARNO HATTA GG.BPK.WIRA NO.70 03/04 CIBUNTU</t>
  </si>
  <si>
    <t>CIBUNTU BARAT</t>
  </si>
  <si>
    <t>08997134443</t>
  </si>
  <si>
    <t>IYANG SARDIMAN</t>
  </si>
  <si>
    <t>YAYAH ROKAYAH</t>
  </si>
  <si>
    <t>MTs</t>
  </si>
  <si>
    <t>MTs-25 120161644</t>
  </si>
  <si>
    <t>Sukagalih 03/34 Melong Cimahi Selatan</t>
  </si>
  <si>
    <t>08818282795</t>
  </si>
  <si>
    <t xml:space="preserve">IWAN SURIPTO </t>
  </si>
  <si>
    <t xml:space="preserve">ISTARI </t>
  </si>
  <si>
    <t>SMP Negeri 4 Cimahi</t>
  </si>
  <si>
    <t xml:space="preserve">IRGI ADITYA PRATAMA RAMADHAN </t>
  </si>
  <si>
    <t>irgi</t>
  </si>
  <si>
    <t>BLOK CIKENDAL 02/05 MELONG CIMAHI SELATAN</t>
  </si>
  <si>
    <t>CIKENDAL</t>
  </si>
  <si>
    <t>083875451492</t>
  </si>
  <si>
    <t xml:space="preserve">AJUN MURIYANTO </t>
  </si>
  <si>
    <t xml:space="preserve">NISA NURANISA </t>
  </si>
  <si>
    <t>P2962214</t>
  </si>
  <si>
    <t>Kenneth</t>
  </si>
  <si>
    <t xml:space="preserve">GRAHA MARGAASIH JL MAHONI IV NO 1 02/20 LAGADAR </t>
  </si>
  <si>
    <t>085860063832</t>
  </si>
  <si>
    <t>JONATHAN FRANCISCUS ONGGELENG</t>
  </si>
  <si>
    <t>LUSIANA KOBANDAHA</t>
  </si>
  <si>
    <t>SMPN 3 CIMAHI</t>
  </si>
  <si>
    <t>Aqeela</t>
  </si>
  <si>
    <t xml:space="preserve">Tasikmalaya </t>
  </si>
  <si>
    <t>Kp. Tabrik 01/02 Jayaratu Sariwangi</t>
  </si>
  <si>
    <t xml:space="preserve">Kampung Tabrik </t>
  </si>
  <si>
    <t>Jayaratu</t>
  </si>
  <si>
    <t xml:space="preserve">Sariwangi </t>
  </si>
  <si>
    <t>082320471553</t>
  </si>
  <si>
    <t>SURYADIN</t>
  </si>
  <si>
    <t xml:space="preserve">INA MARLINA </t>
  </si>
  <si>
    <t xml:space="preserve">MTsN 1 Kota Bandung </t>
  </si>
  <si>
    <t>Adit</t>
  </si>
  <si>
    <t>Leuweung Gede 03/27 Cibereum Cimahi Selatan</t>
  </si>
  <si>
    <t>027</t>
  </si>
  <si>
    <t>Leuweug Gede</t>
  </si>
  <si>
    <t>083112112925</t>
  </si>
  <si>
    <t>TARSONO</t>
  </si>
  <si>
    <t>SOHIBAH</t>
  </si>
  <si>
    <t>JERIKO</t>
  </si>
  <si>
    <t>BLOK CITOPENG SARI 7 07/22 MELONG CIMAHI SELATAN</t>
  </si>
  <si>
    <t>Citopeng</t>
  </si>
  <si>
    <t>081223983959</t>
  </si>
  <si>
    <t>1.1</t>
  </si>
  <si>
    <t>JAJANG MIHARJA</t>
  </si>
  <si>
    <t>ROSTIKA</t>
  </si>
  <si>
    <t>SMP PASUNDAN 2 KOTA CIMAHI</t>
  </si>
  <si>
    <t>Jessie</t>
  </si>
  <si>
    <t>JL. MUKODAR SELATAN BLOK CITOPENG MELONG CIMAHI SELATAN</t>
  </si>
  <si>
    <t>Jalan Citopeng Sari 7</t>
  </si>
  <si>
    <t>085871318656</t>
  </si>
  <si>
    <t>SIM KUY SUP M. YOSEP</t>
  </si>
  <si>
    <t>AAN ROSTIANINGSIH</t>
  </si>
  <si>
    <t>SMPN 47 Bandung</t>
  </si>
  <si>
    <t>Jihan</t>
  </si>
  <si>
    <t>Bahasa Indonesia, Bahasa Sunda</t>
  </si>
  <si>
    <t>KP. CIKUNGKURAK GG. KARYA BAKTI 01/04 MARGAHAYU UTARA</t>
  </si>
  <si>
    <t>Kp. Cikungkurak</t>
  </si>
  <si>
    <t>Margahayu Utara</t>
  </si>
  <si>
    <t>Babakan Ciparay</t>
  </si>
  <si>
    <t>087734791479</t>
  </si>
  <si>
    <t>AGUS SOBANDI</t>
  </si>
  <si>
    <t>SAMROTUL PUADAH</t>
  </si>
  <si>
    <t>Mts Darul Ma'arif</t>
  </si>
  <si>
    <t>JIHAN SUTARLAAN</t>
  </si>
  <si>
    <t>Jl. Cijerah 2 Blok 10 No. 69 02/19 Melong Cimahi Selatan</t>
  </si>
  <si>
    <t>MELONG ASIH</t>
  </si>
  <si>
    <t>087822428911</t>
  </si>
  <si>
    <t>AYAH/IBU</t>
  </si>
  <si>
    <t>HENHEN SUTARLAN</t>
  </si>
  <si>
    <t>HANI RAHMAWATI</t>
  </si>
  <si>
    <t>D1 KOMPUTER</t>
  </si>
  <si>
    <t>KAFKA</t>
  </si>
  <si>
    <t>WARGA NEGARA INDONESIA</t>
  </si>
  <si>
    <t>MELONG ASIH BLOK XI WIJAYA KUSUMAH NO. 28 05/19</t>
  </si>
  <si>
    <t>WIJAYA KUSUMAH 1</t>
  </si>
  <si>
    <t>085137600899</t>
  </si>
  <si>
    <t>IBU SAJA</t>
  </si>
  <si>
    <t>ANGGANA PURWANEGARA</t>
  </si>
  <si>
    <t>VONY HERAWATI</t>
  </si>
  <si>
    <t>121202530666763</t>
  </si>
  <si>
    <t>Kai</t>
  </si>
  <si>
    <t>Bahasa Indonesia + Bahasa Sunda</t>
  </si>
  <si>
    <t>Jl. Cibarengkok No. 177A/182C 03/07 Sukabungah SUkajadi</t>
  </si>
  <si>
    <t>Sukabungah</t>
  </si>
  <si>
    <t>Sukajadi</t>
  </si>
  <si>
    <t>081312598046</t>
  </si>
  <si>
    <t>Ayah &amp; Ibu</t>
  </si>
  <si>
    <t xml:space="preserve">7.9 </t>
  </si>
  <si>
    <t>DADAN SUPARDAN</t>
  </si>
  <si>
    <t>SRI MULYATI</t>
  </si>
  <si>
    <t>SMP Negeri 40 Bandung</t>
  </si>
  <si>
    <t>46.45</t>
  </si>
  <si>
    <t>kaila/kakai/ica/pesek</t>
  </si>
  <si>
    <t>SUNDA DAN INDONESIA</t>
  </si>
  <si>
    <t>JL. BATU RENGAT NO. 7 03/13 CIGONDEWAH KALER</t>
  </si>
  <si>
    <t>087837775255</t>
  </si>
  <si>
    <t xml:space="preserve">TEGUH RAHARJO </t>
  </si>
  <si>
    <t>IBAH</t>
  </si>
  <si>
    <t>SMPN 55 BANDUNG</t>
  </si>
  <si>
    <t>kaila</t>
  </si>
  <si>
    <t xml:space="preserve">Indonesian </t>
  </si>
  <si>
    <t>CIJERAH 2 BLOK 17 NO.15 01/15 MELONG CIMAHI SELATAN</t>
  </si>
  <si>
    <t>cijerah 2</t>
  </si>
  <si>
    <t xml:space="preserve">cimahi Selatan </t>
  </si>
  <si>
    <t>083835141472</t>
  </si>
  <si>
    <t>GUGUN GUMILAR</t>
  </si>
  <si>
    <t>WAHYUNI</t>
  </si>
  <si>
    <t>SMP 4 CIMAHI</t>
  </si>
  <si>
    <t>kaila/kai/ila/la</t>
  </si>
  <si>
    <t>sunda/indo</t>
  </si>
  <si>
    <t>CIGONDEWAH HILIR 05/03 MARGAASIH</t>
  </si>
  <si>
    <t>Cigondewah hilir</t>
  </si>
  <si>
    <t xml:space="preserve">Cigondewah hilir </t>
  </si>
  <si>
    <t>088218802909</t>
  </si>
  <si>
    <t>bapak</t>
  </si>
  <si>
    <t>2.5</t>
  </si>
  <si>
    <t xml:space="preserve">MAMAD </t>
  </si>
  <si>
    <t xml:space="preserve">KURAESIN </t>
  </si>
  <si>
    <t xml:space="preserve">SD </t>
  </si>
  <si>
    <t>menjahit</t>
  </si>
  <si>
    <t xml:space="preserve">smp al-masudiyah </t>
  </si>
  <si>
    <t xml:space="preserve">Kaisar </t>
  </si>
  <si>
    <t>JL MUKODAR DALAM 01/08 CIBEREUM CIMAHI SELATAN</t>
  </si>
  <si>
    <t>CIBEREUM</t>
  </si>
  <si>
    <t xml:space="preserve">CIBEREUM </t>
  </si>
  <si>
    <t>083831212296</t>
  </si>
  <si>
    <t>IYAN SOPIAN</t>
  </si>
  <si>
    <t>SANTI SUSILAWATI</t>
  </si>
  <si>
    <t>Smp Negeri 4 cimahi</t>
  </si>
  <si>
    <t>KANZA</t>
  </si>
  <si>
    <t>BAHASA INDONESIA DAN BAHASA SUNDA</t>
  </si>
  <si>
    <t xml:space="preserve">CIJERAH 2 GG NUSA INDAH 3 NO 152 04/17 MELONG </t>
  </si>
  <si>
    <t xml:space="preserve">KELURAHAN MELONG </t>
  </si>
  <si>
    <t>KECAMATAN CIMAHI SELATAN</t>
  </si>
  <si>
    <t>088802118246</t>
  </si>
  <si>
    <t xml:space="preserve">Ayah Ibu </t>
  </si>
  <si>
    <t xml:space="preserve">DENI FIRMAN HIDAYAT </t>
  </si>
  <si>
    <t>KOENTARI</t>
  </si>
  <si>
    <t>MTSN 1 KOTA BANDUNG</t>
  </si>
  <si>
    <t>25-10-19-2-0135-0168/3097211597</t>
  </si>
  <si>
    <t>Kayla / Kay</t>
  </si>
  <si>
    <t>Indonesia &amp; Sunda</t>
  </si>
  <si>
    <t>Cigondewah Kaler No. 18 03/09 Bandung Kulon</t>
  </si>
  <si>
    <t>083131425187</t>
  </si>
  <si>
    <t>Ayah &amp; ibu</t>
  </si>
  <si>
    <t>WAHYUDIN</t>
  </si>
  <si>
    <t>ERNA YUNITA</t>
  </si>
  <si>
    <t>SLTA / SMA</t>
  </si>
  <si>
    <t>SLTP / SMP</t>
  </si>
  <si>
    <t xml:space="preserve">SMPN 36 BANDUNG </t>
  </si>
  <si>
    <t>kayra</t>
  </si>
  <si>
    <t>Bandung Barat</t>
  </si>
  <si>
    <t>B. Indonesia dan B. Sunda</t>
  </si>
  <si>
    <t>Jl Rancabentang 04/26 Cibereum CImahi Selatan</t>
  </si>
  <si>
    <t>083149209906</t>
  </si>
  <si>
    <t>IKI AHMAD JAKARIA</t>
  </si>
  <si>
    <t>KARNA NIA</t>
  </si>
  <si>
    <t>Kisha</t>
  </si>
  <si>
    <t>KP. CIPATAT 05/11 LAGADAR MARGAASIH</t>
  </si>
  <si>
    <t>CIPATAT</t>
  </si>
  <si>
    <t>088901641636</t>
  </si>
  <si>
    <t>3.2</t>
  </si>
  <si>
    <t>ALI ARIYADI</t>
  </si>
  <si>
    <t xml:space="preserve">RINA YANTI </t>
  </si>
  <si>
    <t>KEYSHA PUTRI ANDRIANI</t>
  </si>
  <si>
    <t>keysha</t>
  </si>
  <si>
    <t>Sunda,Indonesia</t>
  </si>
  <si>
    <t>Jl.Sindansari 01/26 Melong CImahi Selatan</t>
  </si>
  <si>
    <t>082312873142</t>
  </si>
  <si>
    <t>ANDRI RULIANDRI</t>
  </si>
  <si>
    <t>LILIS SULASTRI</t>
  </si>
  <si>
    <t xml:space="preserve">SMP 2 </t>
  </si>
  <si>
    <t>121202510017532</t>
  </si>
  <si>
    <t>KEVIN</t>
  </si>
  <si>
    <t>BEKASI</t>
  </si>
  <si>
    <t>INDONESIA CAMPUR SUNDA</t>
  </si>
  <si>
    <t xml:space="preserve">KP LEUWEUNG GEDE GG PANCURAN 07/11 CIBEREUM </t>
  </si>
  <si>
    <t>KP LEUWEUNG GEDE GG. PANCURAN</t>
  </si>
  <si>
    <t xml:space="preserve">CIBEUREUM </t>
  </si>
  <si>
    <t>081224249918</t>
  </si>
  <si>
    <t>SUHENDANG</t>
  </si>
  <si>
    <t>LIDYA CHANDRA</t>
  </si>
  <si>
    <t>Bahasa indonesia &amp; bahasa padang</t>
  </si>
  <si>
    <t>Jl Melong Raya GG. Delima 1 Blok 5 No 74 02/13 Melong</t>
  </si>
  <si>
    <t>085282203148</t>
  </si>
  <si>
    <t>JULHENDRI</t>
  </si>
  <si>
    <t>SRI MARYANTI</t>
  </si>
  <si>
    <t>SLTP / Sederajat</t>
  </si>
  <si>
    <t>SLTP/Sederajat</t>
  </si>
  <si>
    <t>121202530666870</t>
  </si>
  <si>
    <t>enjell</t>
  </si>
  <si>
    <t>Cibuntu 03/08 Cibuntu Bandung Kulon</t>
  </si>
  <si>
    <t>087852411954</t>
  </si>
  <si>
    <t xml:space="preserve">ALI HERMAWAN </t>
  </si>
  <si>
    <t xml:space="preserve">NENG ANITA ROHANI </t>
  </si>
  <si>
    <t>buruh harian lepas</t>
  </si>
  <si>
    <t>Raffa</t>
  </si>
  <si>
    <t>Jl. Cijerah II Blok X Gg. tanjung 1 No. 36 01/19 Melong</t>
  </si>
  <si>
    <t>Melong asih</t>
  </si>
  <si>
    <t>085603460236</t>
  </si>
  <si>
    <t>RONI NISPAHUDIN</t>
  </si>
  <si>
    <t>NOVA ANDRIANI</t>
  </si>
  <si>
    <t>Smp negeri 1 Bandung</t>
  </si>
  <si>
    <t>PK.03.02.05/332/SMPN 1/VI/2025</t>
  </si>
  <si>
    <t>Kayla</t>
  </si>
  <si>
    <t>Jl. H Alpi No 353 07/08 Babakan garut Cibuntu Bandung Kulon</t>
  </si>
  <si>
    <t>Babakan Garut</t>
  </si>
  <si>
    <t>Kelurahan Cibuntu</t>
  </si>
  <si>
    <t>Kecamatan Bandung Kulon</t>
  </si>
  <si>
    <t>081939189720</t>
  </si>
  <si>
    <t>1.05</t>
  </si>
  <si>
    <t>TARMEDI</t>
  </si>
  <si>
    <t>SRIMULYATI</t>
  </si>
  <si>
    <t>SMK SUDRAJAT</t>
  </si>
  <si>
    <t>Sekolah Dasar</t>
  </si>
  <si>
    <t>SMP ANGKASA LANUD HUSEIN</t>
  </si>
  <si>
    <t xml:space="preserve">KHIRANIA SITI FATIMAH </t>
  </si>
  <si>
    <t xml:space="preserve">khiran </t>
  </si>
  <si>
    <t>BLOK HEGARMANAH 06/07 MELONG CIMAHI SELATAN</t>
  </si>
  <si>
    <t>blok Hegarmanah RT 06 RW 07</t>
  </si>
  <si>
    <t>083820945124</t>
  </si>
  <si>
    <t>ayah,ibu</t>
  </si>
  <si>
    <t xml:space="preserve">YANYAN RIYANA </t>
  </si>
  <si>
    <t xml:space="preserve">ENTIN WARNASIH </t>
  </si>
  <si>
    <t>NISA</t>
  </si>
  <si>
    <t>Jl. Gempol Sari Blok Babakan 01/02 Melong Cimahi Selatan</t>
  </si>
  <si>
    <t xml:space="preserve">Jl Gempol sari blok babakan </t>
  </si>
  <si>
    <t>085221500465</t>
  </si>
  <si>
    <t>Ayah saja</t>
  </si>
  <si>
    <t>2.9</t>
  </si>
  <si>
    <t xml:space="preserve">NUR KHAERINA </t>
  </si>
  <si>
    <t xml:space="preserve">MTs Darussalam </t>
  </si>
  <si>
    <t>kifa</t>
  </si>
  <si>
    <t>Jl. Batu Rengat 04/02 Cigondewah Kaler Bandung Kulon</t>
  </si>
  <si>
    <t>cigondewah kaler</t>
  </si>
  <si>
    <t>0895601808500</t>
  </si>
  <si>
    <t>0.10</t>
  </si>
  <si>
    <t>SARWONO</t>
  </si>
  <si>
    <t>EKO BAYU WIJAYANTI</t>
  </si>
  <si>
    <t>DN- 02 /D-SD/K13/ 0621677</t>
  </si>
  <si>
    <t>LAIL</t>
  </si>
  <si>
    <t>INDONESIA DAN SUNDA</t>
  </si>
  <si>
    <t>JL. CIJERAH GG. PELITA 06/02 CIJERAH BANDUNG KULON</t>
  </si>
  <si>
    <t>BANDUNGKULON</t>
  </si>
  <si>
    <t>083891804624</t>
  </si>
  <si>
    <t>AYAH SAJA</t>
  </si>
  <si>
    <t>ULOH SAEPULOH</t>
  </si>
  <si>
    <t>ELLA NURLAELAWATI</t>
  </si>
  <si>
    <t>TAMAT SD</t>
  </si>
  <si>
    <t>Annisah</t>
  </si>
  <si>
    <t>BANDUNG BARAT</t>
  </si>
  <si>
    <t>082128347383</t>
  </si>
  <si>
    <t>AYAH  - IBU</t>
  </si>
  <si>
    <t>YAYA SURYADI</t>
  </si>
  <si>
    <t>ANA HERLINA</t>
  </si>
  <si>
    <t>SMP N 4 CIMAHI</t>
  </si>
  <si>
    <t>Liany</t>
  </si>
  <si>
    <t>Jl. Holis 06/09 Cibuntu Barat Cibuntu Bandung Kulon</t>
  </si>
  <si>
    <t>0895411252565</t>
  </si>
  <si>
    <t>BUDI SETIADI</t>
  </si>
  <si>
    <t>RINAWATI</t>
  </si>
  <si>
    <t>DIPLOMA I/II</t>
  </si>
  <si>
    <t>sederajat</t>
  </si>
  <si>
    <t>Lovely</t>
  </si>
  <si>
    <t>Margaasih Residence Kav D 06/04 Margaasih</t>
  </si>
  <si>
    <t xml:space="preserve">Margaasih </t>
  </si>
  <si>
    <t>08985707965</t>
  </si>
  <si>
    <t>BUDI ANDANI</t>
  </si>
  <si>
    <t>YUNITA</t>
  </si>
  <si>
    <t xml:space="preserve">SMPN 1 Margaasih </t>
  </si>
  <si>
    <t>Lucky</t>
  </si>
  <si>
    <t>Kristen prostestan</t>
  </si>
  <si>
    <t>Cijerah 2 Blok 3 Jl. Melong Raya Gg. Cemara No. 146  04/11</t>
  </si>
  <si>
    <t>089689500234</t>
  </si>
  <si>
    <t>JUARA HASUDUNGAN SIANTURI</t>
  </si>
  <si>
    <t>IIS HERAYANI</t>
  </si>
  <si>
    <t>Sederajat</t>
  </si>
  <si>
    <t>M IMAM ALKAISAN</t>
  </si>
  <si>
    <t>Imam, Can-can</t>
  </si>
  <si>
    <t>Indonesia, Sunda</t>
  </si>
  <si>
    <t>Kp. Cipatat Binong</t>
  </si>
  <si>
    <t>089525853045</t>
  </si>
  <si>
    <t>DADANG KUSMANA</t>
  </si>
  <si>
    <t>IMAS AIT</t>
  </si>
  <si>
    <t>MTs. MOHAMMAD TOHA CIMAHI</t>
  </si>
  <si>
    <t>MTs-25 100086407</t>
  </si>
  <si>
    <t>47.15</t>
  </si>
  <si>
    <t>Hanif</t>
  </si>
  <si>
    <t>JL. GRAHA ANGSANA II NO.29  03/20 GRAHA MARGAASIH LAGADAR</t>
  </si>
  <si>
    <t>085860120410</t>
  </si>
  <si>
    <t>5.1</t>
  </si>
  <si>
    <t>MASAGUS MUHAMAD IRSAN</t>
  </si>
  <si>
    <t>NINING YULIANI</t>
  </si>
  <si>
    <t>400.3.11/063/SMP.01/VI/2025</t>
  </si>
  <si>
    <t>Melani</t>
  </si>
  <si>
    <t>CIMINDI BARAT 05/17 CIBEREUM CIMAHI SELATAN</t>
  </si>
  <si>
    <t>089531935669</t>
  </si>
  <si>
    <t xml:space="preserve">2.9 </t>
  </si>
  <si>
    <t>DIKY HERMAWAN</t>
  </si>
  <si>
    <t>TINA LIKANTI</t>
  </si>
  <si>
    <t>Melati</t>
  </si>
  <si>
    <t>Bantul</t>
  </si>
  <si>
    <t>Komplek Pesona Margaasih Blok C3 No 18 04/10 NANJUNG</t>
  </si>
  <si>
    <t>085641838876</t>
  </si>
  <si>
    <t>ERY KHANDRA</t>
  </si>
  <si>
    <t>JUMINTEN</t>
  </si>
  <si>
    <t>SL TA/SEDERAJAT</t>
  </si>
  <si>
    <t>Melvy</t>
  </si>
  <si>
    <t xml:space="preserve">JL TIRTA INDAH NO 29 01/09 LEWEUNG GEDE CIBEREUM </t>
  </si>
  <si>
    <t>Leuweung Gede</t>
  </si>
  <si>
    <t>085954729522</t>
  </si>
  <si>
    <t xml:space="preserve">MAHMUDIN </t>
  </si>
  <si>
    <t xml:space="preserve">SEPTYANA RUSINTA </t>
  </si>
  <si>
    <t>D1</t>
  </si>
  <si>
    <t>SMP Negeri 7 Cimahi</t>
  </si>
  <si>
    <t>Mikha</t>
  </si>
  <si>
    <t>Kristen protestan</t>
  </si>
  <si>
    <t>Jl. Ranca Bentang 06/26 Cibereum Cimahi Selatan</t>
  </si>
  <si>
    <t>083172839043</t>
  </si>
  <si>
    <t>ibu</t>
  </si>
  <si>
    <t>SASNADER MARBUN ALM</t>
  </si>
  <si>
    <t>LIDIA KANDOW</t>
  </si>
  <si>
    <t xml:space="preserve">sma </t>
  </si>
  <si>
    <t>sudah meninggal</t>
  </si>
  <si>
    <t>Prestasi Akademis</t>
  </si>
  <si>
    <t>Desta</t>
  </si>
  <si>
    <t>JL. DIENG IV S NO. 96 03/30 MELONG CIMAHI SELATAN</t>
  </si>
  <si>
    <t>030</t>
  </si>
  <si>
    <t>085784076208</t>
  </si>
  <si>
    <t>DRS. BAYUPRINGGANDANI</t>
  </si>
  <si>
    <t>DRA. RADEN TINANINGRUM. MM. PD</t>
  </si>
  <si>
    <t>satria</t>
  </si>
  <si>
    <t>KP BABAKAN KIDUL 01/04 CIGUGUR TENGAH CIMAHI TENGAH</t>
  </si>
  <si>
    <t>BABAKAN KIDUL</t>
  </si>
  <si>
    <t>CIGUGUR TENGAH</t>
  </si>
  <si>
    <t>CIMAHI TENGAH</t>
  </si>
  <si>
    <t>082189975426</t>
  </si>
  <si>
    <t>SUMIHARJO</t>
  </si>
  <si>
    <t>TIODOR HAPPY LITA MAEMUNAH NADEAK</t>
  </si>
  <si>
    <t>SMP NEGERI 8 CIMAHI</t>
  </si>
  <si>
    <t>Arif</t>
  </si>
  <si>
    <t xml:space="preserve">indonesia </t>
  </si>
  <si>
    <t>Blok Babakan 01/02 Babakan Rengas Melong Cimahi Selatan</t>
  </si>
  <si>
    <t>babakan rengas</t>
  </si>
  <si>
    <t>083121595828</t>
  </si>
  <si>
    <t>IWAN IRWANTO</t>
  </si>
  <si>
    <t>NINA NURHAENI</t>
  </si>
  <si>
    <t>mts darussalam</t>
  </si>
  <si>
    <t>Mouza, moje, oja</t>
  </si>
  <si>
    <t>Mukodar Dalam 05/08 Cibereum Cimahi Selatan</t>
  </si>
  <si>
    <t>085691404713</t>
  </si>
  <si>
    <t>ADANG TARYANA</t>
  </si>
  <si>
    <t>EVA MUSTIKAWATI</t>
  </si>
  <si>
    <t>bagass juliann</t>
  </si>
  <si>
    <t>Blok Sukamaju 05/06 Melong Cimahi Selatan</t>
  </si>
  <si>
    <t>Blok sukamaju</t>
  </si>
  <si>
    <t>08988785091</t>
  </si>
  <si>
    <t>FAHRUL ROZI</t>
  </si>
  <si>
    <t>MARTINI</t>
  </si>
  <si>
    <t>DN-02/D/D-SD/K13/0710439</t>
  </si>
  <si>
    <t xml:space="preserve">Dafa </t>
  </si>
  <si>
    <t>Kp. Cikendal 06/05 Melong Cimahi Selatan</t>
  </si>
  <si>
    <t>Cikendal</t>
  </si>
  <si>
    <t>087815661570</t>
  </si>
  <si>
    <t>BUDI SUHENDAR</t>
  </si>
  <si>
    <t>AI RATNA NENGSIH</t>
  </si>
  <si>
    <t>Tamat sd</t>
  </si>
  <si>
    <t>Mengurus</t>
  </si>
  <si>
    <t>MTS IBNU SHOLIH</t>
  </si>
  <si>
    <t>Rio</t>
  </si>
  <si>
    <t>Indonesia sunda</t>
  </si>
  <si>
    <t>KP. HAURNGAMBANG 04/06 BATUJAJAR TIMUR BATUJAJAR</t>
  </si>
  <si>
    <t xml:space="preserve"> KP. HAURNGAMBANG</t>
  </si>
  <si>
    <t>BATUJAJAR TIMUR</t>
  </si>
  <si>
    <t>BATUJAJAR</t>
  </si>
  <si>
    <t>082120913879</t>
  </si>
  <si>
    <t>DADANG SUDRAJAT</t>
  </si>
  <si>
    <t>ANI SUHERNI</t>
  </si>
  <si>
    <t>SMPT AL MAS'UDIYAH</t>
  </si>
  <si>
    <t>400.3.5/103/VI/2025</t>
  </si>
  <si>
    <t>Indonesia/Sunda</t>
  </si>
  <si>
    <t>Pharmindo Jl. Mendut Barat M-69 03/18 Melong Cimahi Selatan</t>
  </si>
  <si>
    <t>085722826856</t>
  </si>
  <si>
    <t>ODING SETIAWAN</t>
  </si>
  <si>
    <t>NENI ROHAYATI</t>
  </si>
  <si>
    <t>TAMAT SD/SEDERAJAT</t>
  </si>
  <si>
    <t>MUHAMMAD FATHIR VANDIAZ</t>
  </si>
  <si>
    <t>Fathir</t>
  </si>
  <si>
    <t>Blok Cisegel 03/09 Melong Cimahi Selatan</t>
  </si>
  <si>
    <t xml:space="preserve">Blok cisegel </t>
  </si>
  <si>
    <t>083177212958</t>
  </si>
  <si>
    <t xml:space="preserve">SAEFUL RAHMAT </t>
  </si>
  <si>
    <t xml:space="preserve">ENI NURJANAH </t>
  </si>
  <si>
    <t>Hilmy</t>
  </si>
  <si>
    <t>Blok Toge 04/01 Caringin Bandung Kulon</t>
  </si>
  <si>
    <t>Blok toge</t>
  </si>
  <si>
    <t>087753719113</t>
  </si>
  <si>
    <t>MUHAMMAD TAUFIK</t>
  </si>
  <si>
    <t>VINA KUSTANIA</t>
  </si>
  <si>
    <t>Ilham / Wayy (Panggilan Akrab)</t>
  </si>
  <si>
    <t>Desa Margaasih</t>
  </si>
  <si>
    <t>Desa Margaasih 01/03 Margaasih Margaasih</t>
  </si>
  <si>
    <t>Cigugur</t>
  </si>
  <si>
    <t>081573365902</t>
  </si>
  <si>
    <t>Ibu dan Ayah</t>
  </si>
  <si>
    <t xml:space="preserve"> 2.5</t>
  </si>
  <si>
    <t>SUHENDAR</t>
  </si>
  <si>
    <t>OOM</t>
  </si>
  <si>
    <t>Ayah saya bekerja sebagai buruh bangunan</t>
  </si>
  <si>
    <t>SMP 1 Margaasih</t>
  </si>
  <si>
    <t>400.3.11./11 063 / SMP . 01/ VI /2025</t>
  </si>
  <si>
    <t>ilham ganteng</t>
  </si>
  <si>
    <t>CIREBON</t>
  </si>
  <si>
    <t>warga negara Indonesia</t>
  </si>
  <si>
    <t>GG JAMBU NO 24 BLOK 8 12/05 MELONG CIMAHI SELATAN</t>
  </si>
  <si>
    <t>085871652434</t>
  </si>
  <si>
    <t>TOTO SUGIANTO</t>
  </si>
  <si>
    <t>ESTI UTRIANI</t>
  </si>
  <si>
    <t>421.3/271.288 - SMP.4/VI/2025</t>
  </si>
  <si>
    <t>M.irham baihaqi</t>
  </si>
  <si>
    <t>B.indo</t>
  </si>
  <si>
    <t>Jl. Melong Tengah 02/04 Melong Cimahi Selatan</t>
  </si>
  <si>
    <t>Melong tengah</t>
  </si>
  <si>
    <t>0895323379296</t>
  </si>
  <si>
    <t>ASEP SETIAWAN</t>
  </si>
  <si>
    <t>ELIN AMALIAH</t>
  </si>
  <si>
    <t>0000000000000000</t>
  </si>
  <si>
    <t>Diploma I</t>
  </si>
  <si>
    <t>Sudah meninggal</t>
  </si>
  <si>
    <t>SMP MUTIARA 4 BANDUNG</t>
  </si>
  <si>
    <t>Panji</t>
  </si>
  <si>
    <t>JL. MIG III NO 12 MGG 05/29 MELONG CIMAHI SELATAN</t>
  </si>
  <si>
    <t>089502541007</t>
  </si>
  <si>
    <t>BUDIYANA RUHIYAT</t>
  </si>
  <si>
    <t>ENENG SARI MULYATI</t>
  </si>
  <si>
    <t>Buruh Harian Lepas</t>
  </si>
  <si>
    <t>indonesia/sunda</t>
  </si>
  <si>
    <t>melong  raya blok4 no 54cimahi selatan</t>
  </si>
  <si>
    <t>GANG NURI</t>
  </si>
  <si>
    <t>083337930720</t>
  </si>
  <si>
    <t>IMAN SULAIMAN</t>
  </si>
  <si>
    <t>IDA WALIAH</t>
  </si>
  <si>
    <t xml:space="preserve">SMP 4 BALEENDAH </t>
  </si>
  <si>
    <t>MESS BATU RENGAT 02/13 COGONDEWAH KALER BANDUNG KULON</t>
  </si>
  <si>
    <t>085157544598</t>
  </si>
  <si>
    <t>DEDI SUPARDI</t>
  </si>
  <si>
    <t>AAY SUPARTINI</t>
  </si>
  <si>
    <t>SMP N 57 BANDUNG</t>
  </si>
  <si>
    <t>Revan</t>
  </si>
  <si>
    <t>Bahasa Indonesia dan sunda</t>
  </si>
  <si>
    <t>Kp. Daraulin 05/07 Nanjung Margaasih</t>
  </si>
  <si>
    <t>Kp. Daraulin</t>
  </si>
  <si>
    <t>081323951463</t>
  </si>
  <si>
    <t>7.2</t>
  </si>
  <si>
    <t>JAJAT SUDRAJAT</t>
  </si>
  <si>
    <t>WIWIN WINARTI</t>
  </si>
  <si>
    <t>Smpn 2 margaasih</t>
  </si>
  <si>
    <t xml:space="preserve">Ahnaf </t>
  </si>
  <si>
    <t>Cijerah 1 Blok 06 No. 9 06/05 Cijerah Bandung Kulon</t>
  </si>
  <si>
    <t>081225768010</t>
  </si>
  <si>
    <t>Bapak dan Ibu</t>
  </si>
  <si>
    <t xml:space="preserve">UJANG DERAHMAN </t>
  </si>
  <si>
    <t>R. RATNA INDRASTUTI H.</t>
  </si>
  <si>
    <t>SLA</t>
  </si>
  <si>
    <t>Guru Maghrib mengaji dan Buruh harian lepas</t>
  </si>
  <si>
    <t>169/MTs.10.135/PP.01.01/06/2025</t>
  </si>
  <si>
    <t>Alif</t>
  </si>
  <si>
    <t>KP. CIPATAT NO. 09 06/10 LAGADAR MARGAASIH</t>
  </si>
  <si>
    <t>08999285906</t>
  </si>
  <si>
    <t xml:space="preserve">4.6 </t>
  </si>
  <si>
    <t>AGUS SUPRIATNA</t>
  </si>
  <si>
    <t>LASTRI</t>
  </si>
  <si>
    <t>STLA/SEDERAJAT</t>
  </si>
  <si>
    <t>48.3</t>
  </si>
  <si>
    <t>GG. SITI MARIAH NO. 482/86 10/02 JAMIKA BOJONGLOA KALER</t>
  </si>
  <si>
    <t>JAMIKA</t>
  </si>
  <si>
    <t>BOJONGLOA KALER</t>
  </si>
  <si>
    <t>083874405352</t>
  </si>
  <si>
    <t>HERU LAKSONO</t>
  </si>
  <si>
    <t>KORIAH</t>
  </si>
  <si>
    <t>MTsN 1 KOTA BANDUNG</t>
  </si>
  <si>
    <t>MTs-25 100001159</t>
  </si>
  <si>
    <t>DAKKA</t>
  </si>
  <si>
    <t>SINDANG SARI HG H ROSID NO 67 04/26 MELONG CIMAHI SELATAN</t>
  </si>
  <si>
    <t>SINDANG SARI</t>
  </si>
  <si>
    <t>083843290847</t>
  </si>
  <si>
    <t>0.75</t>
  </si>
  <si>
    <t>HENDI SUMARDI</t>
  </si>
  <si>
    <t>IMAS MINTARSIH</t>
  </si>
  <si>
    <t>121202521099968</t>
  </si>
  <si>
    <t>Jl Cijerah Gang Nawawi 03/03 Cijerah Bandung Kulon</t>
  </si>
  <si>
    <t>Desa cijerah</t>
  </si>
  <si>
    <t>083820535005</t>
  </si>
  <si>
    <t>AGUNG NUGRAHA</t>
  </si>
  <si>
    <t>POPI LAENI</t>
  </si>
  <si>
    <t>SMPN 39</t>
  </si>
  <si>
    <t>DHAFIN</t>
  </si>
  <si>
    <t>Bahasa Sunda,Bahasa Indonesia</t>
  </si>
  <si>
    <t>PERUM CIJERAH I BLOK 3 NO.1 03/05 CIJERAH BANDUNG KULON</t>
  </si>
  <si>
    <t>082229791921</t>
  </si>
  <si>
    <t>0.43</t>
  </si>
  <si>
    <t>RIDWAN</t>
  </si>
  <si>
    <t>HERNA NURDIANI</t>
  </si>
  <si>
    <t>DN-02/D-SD/K13/0617189</t>
  </si>
  <si>
    <t xml:space="preserve">Fahrizal </t>
  </si>
  <si>
    <t>Cijerah 2 Blok 9 No. 63 02/14 Melong Cimahi Selatan</t>
  </si>
  <si>
    <t>083850977070</t>
  </si>
  <si>
    <t xml:space="preserve">DEDE E KUSMAYADI </t>
  </si>
  <si>
    <t>SITI ROCHAENI</t>
  </si>
  <si>
    <t>421.3/1-SMP.4/VI/2025</t>
  </si>
  <si>
    <t>Lutfi</t>
  </si>
  <si>
    <t>Cigondewah kaler 02/03 Cigondewah Kaler Bandung Kulon</t>
  </si>
  <si>
    <t>089524813388</t>
  </si>
  <si>
    <t>AYAH KANDUNG</t>
  </si>
  <si>
    <t>BUDI SETIAWAN</t>
  </si>
  <si>
    <t>JAKIAH</t>
  </si>
  <si>
    <t>Kerja di ayah sendiri</t>
  </si>
  <si>
    <t>Smp plus sindang resmi</t>
  </si>
  <si>
    <t>AZAM</t>
  </si>
  <si>
    <t>SUKARINTIH 04/05 MELONG CIMAHI SELATAN</t>
  </si>
  <si>
    <t>089524279537</t>
  </si>
  <si>
    <t>AYAH / IBU</t>
  </si>
  <si>
    <t>EDI DESATRIA</t>
  </si>
  <si>
    <t>DIAN SUSANTI</t>
  </si>
  <si>
    <t>DIPLOMA</t>
  </si>
  <si>
    <t>MTS DARUSSALAM2</t>
  </si>
  <si>
    <t>B-034/MTs.D/506/Kelulusan/VI/2025</t>
  </si>
  <si>
    <t>Iqbal</t>
  </si>
  <si>
    <t>JL.CIJERAH GG. MANUNGGAL II C KP. SAYURAN 05/07 CIJERAH</t>
  </si>
  <si>
    <t>KP. SAYURAN</t>
  </si>
  <si>
    <t>085216225278</t>
  </si>
  <si>
    <t xml:space="preserve">NURHASIM </t>
  </si>
  <si>
    <t xml:space="preserve">YUYUN YUNIAWATI </t>
  </si>
  <si>
    <t xml:space="preserve">MUHAMMAD NURUL QOLBI </t>
  </si>
  <si>
    <t>arul,qolbi</t>
  </si>
  <si>
    <t>0096504815</t>
  </si>
  <si>
    <t>Blok Sukamaju 03/06 Melong Cimahi Selatan</t>
  </si>
  <si>
    <t xml:space="preserve">sukamaju </t>
  </si>
  <si>
    <t>0882002261577</t>
  </si>
  <si>
    <t xml:space="preserve">CAHYA DINATA </t>
  </si>
  <si>
    <t xml:space="preserve">ELIN KOMARIAH </t>
  </si>
  <si>
    <t>smp negri 4 cimahi</t>
  </si>
  <si>
    <t>121202530667600</t>
  </si>
  <si>
    <t xml:space="preserve">Raka </t>
  </si>
  <si>
    <t xml:space="preserve">Sukabumi </t>
  </si>
  <si>
    <t>Blok Sakola 07/07 Melong Cimahi Selatan</t>
  </si>
  <si>
    <t>melong asih</t>
  </si>
  <si>
    <t>087802518029</t>
  </si>
  <si>
    <t>IMAN SUSILO</t>
  </si>
  <si>
    <t xml:space="preserve">MAEMUNAH </t>
  </si>
  <si>
    <t>rasyid</t>
  </si>
  <si>
    <t>BANDUNG 6 FEBRUARY 2009</t>
  </si>
  <si>
    <t>Jalan Babakan Caringin No 31 04/04 Babakan Caringin Sukagalih</t>
  </si>
  <si>
    <t xml:space="preserve">Babakan Caringin </t>
  </si>
  <si>
    <t>088224383183</t>
  </si>
  <si>
    <t>8.7</t>
  </si>
  <si>
    <t>OHAN</t>
  </si>
  <si>
    <t>SITI AISYAH</t>
  </si>
  <si>
    <t>Smp0</t>
  </si>
  <si>
    <t xml:space="preserve">Supir angkot </t>
  </si>
  <si>
    <t xml:space="preserve">SMPN 64 BANDUNG </t>
  </si>
  <si>
    <t>PK.03.02.05/148/SMPN64/V/2025</t>
  </si>
  <si>
    <t>Raufa</t>
  </si>
  <si>
    <t>Jl Cijerah Hillir 1 No 32 05/04 Cijerah Bandung Kulon</t>
  </si>
  <si>
    <t>RT 05</t>
  </si>
  <si>
    <t>RW 04</t>
  </si>
  <si>
    <t>087801984961</t>
  </si>
  <si>
    <t>0.45</t>
  </si>
  <si>
    <t>AGUS ANHAR</t>
  </si>
  <si>
    <t>ANNY ROTUA LUBIS</t>
  </si>
  <si>
    <t>SMPN Negeri 9 Bandung</t>
  </si>
  <si>
    <t>abang/ael</t>
  </si>
  <si>
    <t>Jl Melong Asih Gg Jeruk No 13 Blok 7 01/12 Melong</t>
  </si>
  <si>
    <t>Kota cimahi</t>
  </si>
  <si>
    <t>089524830906</t>
  </si>
  <si>
    <t xml:space="preserve">Ibu </t>
  </si>
  <si>
    <t xml:space="preserve">WENDI RUSWENDI </t>
  </si>
  <si>
    <t>NENENG SUKAMULYANI</t>
  </si>
  <si>
    <t xml:space="preserve">Suda meninggal </t>
  </si>
  <si>
    <t xml:space="preserve">SMPN4 Cimahi </t>
  </si>
  <si>
    <t>RAZVAN</t>
  </si>
  <si>
    <t>Blok Sukamaju 04/06 Melong Cimahi Selatan</t>
  </si>
  <si>
    <t>Sukamaju</t>
  </si>
  <si>
    <t>087771816362</t>
  </si>
  <si>
    <t>DENI SUHENDRA</t>
  </si>
  <si>
    <t>NIA HANDAYANI</t>
  </si>
  <si>
    <t>PK.03.02.05/114/SMPN.47/VI/2025</t>
  </si>
  <si>
    <t>Reyhan</t>
  </si>
  <si>
    <t>CIJERAH 1 No. 61 05/05 Cijerah Bandung Kulon</t>
  </si>
  <si>
    <t>0895325503094</t>
  </si>
  <si>
    <t>HERMAYANTO</t>
  </si>
  <si>
    <t>NENG MASTUROH</t>
  </si>
  <si>
    <t>Kuliah</t>
  </si>
  <si>
    <t>Eza</t>
  </si>
  <si>
    <t>BABAKAN CIBALIGO 02/16 CIBEREUM CIMAHI SELATAN</t>
  </si>
  <si>
    <t>Babakan</t>
  </si>
  <si>
    <t>085945079629</t>
  </si>
  <si>
    <t>3.1</t>
  </si>
  <si>
    <t>JUHADI</t>
  </si>
  <si>
    <t xml:space="preserve">NENENG TARWILAH </t>
  </si>
  <si>
    <t>Mts yps majalaya</t>
  </si>
  <si>
    <t>Rizky</t>
  </si>
  <si>
    <t>Indonesia sama b sunda</t>
  </si>
  <si>
    <t>CIJERAH GG. PASANTREN 07/06 CIBUNTU BANDUNG KULON</t>
  </si>
  <si>
    <t>cibuntu</t>
  </si>
  <si>
    <t>081385034900</t>
  </si>
  <si>
    <t xml:space="preserve">0.9 </t>
  </si>
  <si>
    <t>ARSON ARISANDI</t>
  </si>
  <si>
    <t>ENDANG ARGA YUNITA</t>
  </si>
  <si>
    <t>SMU</t>
  </si>
  <si>
    <t>Sultan</t>
  </si>
  <si>
    <t>Jl. Cijerah No. 219 04/05 CIBUNTU BANDUNG KULON</t>
  </si>
  <si>
    <t xml:space="preserve">Cibuntu </t>
  </si>
  <si>
    <t>083842061307</t>
  </si>
  <si>
    <t xml:space="preserve">AHMAD MANSYUR </t>
  </si>
  <si>
    <t xml:space="preserve">PUPUNG ROBIAH </t>
  </si>
  <si>
    <t>BURUH HARIAN LEPAS</t>
  </si>
  <si>
    <t xml:space="preserve">Pasundan 7 Bandung </t>
  </si>
  <si>
    <t>084/102.11/SMP.Pas/7/PP/2025</t>
  </si>
  <si>
    <t>zaqi/jekk</t>
  </si>
  <si>
    <t>cimahi</t>
  </si>
  <si>
    <t>bahasa Indonesia dan sunda</t>
  </si>
  <si>
    <t>Jl Melong Raya Gg Delima 2 Blok 5 No 123 03/13 Melong</t>
  </si>
  <si>
    <t>089662990309</t>
  </si>
  <si>
    <t>0.12</t>
  </si>
  <si>
    <t>MUCHAMAD SOPYAN</t>
  </si>
  <si>
    <t>WATI</t>
  </si>
  <si>
    <t>smp negeri 4 cimahi</t>
  </si>
  <si>
    <t>121202530667731</t>
  </si>
  <si>
    <t>3091199482</t>
  </si>
  <si>
    <t xml:space="preserve">ZICKRY </t>
  </si>
  <si>
    <t xml:space="preserve">PERUMNAS CIJERAH 2 BLOK 10 NO 15 01/19 MELONG </t>
  </si>
  <si>
    <t xml:space="preserve">PERUMNAS </t>
  </si>
  <si>
    <t>0895631953600</t>
  </si>
  <si>
    <t xml:space="preserve">RAMA ASWARI PURNAMA </t>
  </si>
  <si>
    <t xml:space="preserve">MEITA RATNA PUTRI </t>
  </si>
  <si>
    <t xml:space="preserve">BURUH HARIAN LEPAS </t>
  </si>
  <si>
    <t>MUTIARA</t>
  </si>
  <si>
    <t xml:space="preserve">WONOGIRI </t>
  </si>
  <si>
    <t>Indonesia,jawa,sunda</t>
  </si>
  <si>
    <t xml:space="preserve">KP.MEKAR BAKTI 06/05 LAGADAR MARGAASIH
</t>
  </si>
  <si>
    <t>MEKAR BAKTI</t>
  </si>
  <si>
    <t>088211632634</t>
  </si>
  <si>
    <t>BEJO SUPRIANTO</t>
  </si>
  <si>
    <t>LARTI</t>
  </si>
  <si>
    <t>39.8</t>
  </si>
  <si>
    <t>Mutia</t>
  </si>
  <si>
    <t>Jl. Holis 01/04 Cibuntu Bandung Kulon</t>
  </si>
  <si>
    <t>083829981629</t>
  </si>
  <si>
    <t>RACHMAT HIDAYAT</t>
  </si>
  <si>
    <t xml:space="preserve">DEDE SETIAWATI </t>
  </si>
  <si>
    <t xml:space="preserve">SMP Pasundan 7 Bandung </t>
  </si>
  <si>
    <t>DN-02/D-SD/K13/0615794</t>
  </si>
  <si>
    <t>Jl. Dieng Raya No 56 1/30 Melong Cimahi Selatan</t>
  </si>
  <si>
    <t>08112038110</t>
  </si>
  <si>
    <t>MUCHAMAD TAUFIK</t>
  </si>
  <si>
    <t>DIAH NURHADIATI</t>
  </si>
  <si>
    <t>SMP Islam Cendekia Cianjur</t>
  </si>
  <si>
    <t>nabil</t>
  </si>
  <si>
    <t>KP LEUWEUNG GEDE</t>
  </si>
  <si>
    <t>081774854286</t>
  </si>
  <si>
    <t>EDI CASYADI</t>
  </si>
  <si>
    <t>LAELA MERYATI</t>
  </si>
  <si>
    <t>bekerja tidak tetap</t>
  </si>
  <si>
    <t>Mts darurrahmah</t>
  </si>
  <si>
    <t xml:space="preserve">Nabila </t>
  </si>
  <si>
    <t xml:space="preserve">WNI </t>
  </si>
  <si>
    <t>Kp. Cimahilir 01/08 Lagadar Margaasih</t>
  </si>
  <si>
    <t xml:space="preserve">KP. CIMAHILIR </t>
  </si>
  <si>
    <t>083894132371</t>
  </si>
  <si>
    <t>HERI</t>
  </si>
  <si>
    <t xml:space="preserve">YUYUN PRIANTI </t>
  </si>
  <si>
    <t xml:space="preserve">SLTP/sederajat </t>
  </si>
  <si>
    <t xml:space="preserve">SMP PGRI 175 MARGAASIH </t>
  </si>
  <si>
    <t>020/Satdik-SMP PGRI/VI/I.2025</t>
  </si>
  <si>
    <t>Nabila</t>
  </si>
  <si>
    <t xml:space="preserve">Kp. Cibogo 06/01 Lagadar Margaasih </t>
  </si>
  <si>
    <t>Cibogo</t>
  </si>
  <si>
    <t>089629970356</t>
  </si>
  <si>
    <t>SINGGIH HARDIONO</t>
  </si>
  <si>
    <t>ROJIATI</t>
  </si>
  <si>
    <t>Sunda-Indonesia</t>
  </si>
  <si>
    <t>Ranca Bentang Timur 07/12 Cibereum Cimahi Selatan</t>
  </si>
  <si>
    <t>082128401424</t>
  </si>
  <si>
    <t>Uwa</t>
  </si>
  <si>
    <t>2.0</t>
  </si>
  <si>
    <t>DEDDE FAISAL</t>
  </si>
  <si>
    <t>421.3/223-SMPN.7/VI/2025</t>
  </si>
  <si>
    <t>KEBUMEN</t>
  </si>
  <si>
    <t>NUSA INDAH III BLOK 12 NO. 128 CIJERAH II 04/17 MELONG</t>
  </si>
  <si>
    <t>Ayah, ibu</t>
  </si>
  <si>
    <t>EDI WIBOWO</t>
  </si>
  <si>
    <t>TRI MURNI</t>
  </si>
  <si>
    <t>Bila/Bibil/Biel</t>
  </si>
  <si>
    <t>Sunda/Indonesia</t>
  </si>
  <si>
    <t>CIBUNTU BARAT 06/09 CIBUNTU BANDUNG KULON</t>
  </si>
  <si>
    <t>083821117403</t>
  </si>
  <si>
    <t>HARDIANTO</t>
  </si>
  <si>
    <t>IRMA FAHRIANI</t>
  </si>
  <si>
    <t>084/102. 11/SMP .Pass/7PP/2025</t>
  </si>
  <si>
    <t>Nadya</t>
  </si>
  <si>
    <t>Rancabentang No 372 05/13 Cibereum Cimahi Selatan</t>
  </si>
  <si>
    <t>085211018118</t>
  </si>
  <si>
    <t>ERWIN WIJAYA</t>
  </si>
  <si>
    <t>HETY HERLIANTY</t>
  </si>
  <si>
    <t>SMP NEGERI 41 BANDUNG</t>
  </si>
  <si>
    <t>Ziva</t>
  </si>
  <si>
    <t>JL. Cibolerang Kp. Pangkalan 01/06 Margahayu Utara</t>
  </si>
  <si>
    <t>PANGKALAN</t>
  </si>
  <si>
    <t>MARGAHAYU UTARA</t>
  </si>
  <si>
    <t>BABAKAN CIPARAY</t>
  </si>
  <si>
    <t>085798136639</t>
  </si>
  <si>
    <t>4.5</t>
  </si>
  <si>
    <t>ANDRI CAHYADI</t>
  </si>
  <si>
    <t>LIA ALIAH</t>
  </si>
  <si>
    <t>SEKOLAH MENENGAH KEJURUAN</t>
  </si>
  <si>
    <t>SEKOLAH MENENGAH ATAS</t>
  </si>
  <si>
    <t>Nafa</t>
  </si>
  <si>
    <t xml:space="preserve">JL. CIGONDEWAH KALER 03/09 CIGONDEWAH KALER </t>
  </si>
  <si>
    <t xml:space="preserve">CIGONDEWAH KALER </t>
  </si>
  <si>
    <t>0895331372210</t>
  </si>
  <si>
    <t>BUHORI</t>
  </si>
  <si>
    <t>LILIS SAPIAH</t>
  </si>
  <si>
    <t xml:space="preserve">SMPN 55 BANDUNG </t>
  </si>
  <si>
    <t>Nafisah</t>
  </si>
  <si>
    <t>PERUM.CIJERAH 1 NO.22 01/05 CIJERAH BANDUNG KULON</t>
  </si>
  <si>
    <t>085722965443</t>
  </si>
  <si>
    <t>DIDIK LUKMAN PRIJATNA</t>
  </si>
  <si>
    <t>RITA SUGIARTI</t>
  </si>
  <si>
    <t>NAILAH</t>
  </si>
  <si>
    <t>INDONESIA, SUNDA</t>
  </si>
  <si>
    <t>Blok 14 Komp. Guru No. 8 02/20 Melong Cimahi Selatan</t>
  </si>
  <si>
    <t>082128736151</t>
  </si>
  <si>
    <t>OSID ROCHSIDI</t>
  </si>
  <si>
    <t>NURIKA HANIFIATI WARDANI</t>
  </si>
  <si>
    <t>nda</t>
  </si>
  <si>
    <t>sunda - Indonesia</t>
  </si>
  <si>
    <t>BLOK NYONTROL 04/03 MELONG CIMAHI SELATAN</t>
  </si>
  <si>
    <t>083140763053</t>
  </si>
  <si>
    <t>ibu ayah</t>
  </si>
  <si>
    <t>DUDI HARYONO</t>
  </si>
  <si>
    <t>EMA SARTIKA</t>
  </si>
  <si>
    <t xml:space="preserve">. </t>
  </si>
  <si>
    <t>smp dharma kartini</t>
  </si>
  <si>
    <t>nopal</t>
  </si>
  <si>
    <t>BLOK SAKOLA NO 248 05/07 MELONG CIMAHI SELATAN</t>
  </si>
  <si>
    <t>0881027865528</t>
  </si>
  <si>
    <t>RATIM</t>
  </si>
  <si>
    <t>SUTARI</t>
  </si>
  <si>
    <t>DN-02/D-SD/K13/0710309</t>
  </si>
  <si>
    <t>Nara</t>
  </si>
  <si>
    <t>Kristen Katolik</t>
  </si>
  <si>
    <t>Gempol Asri 5 No. 34 05/10 Gempol Sari Bandung Kulon</t>
  </si>
  <si>
    <t>Bandung pulon</t>
  </si>
  <si>
    <t>089516333200</t>
  </si>
  <si>
    <t>JONNY L BANNE</t>
  </si>
  <si>
    <t>MAELANI</t>
  </si>
  <si>
    <t>SMP waringin</t>
  </si>
  <si>
    <t>241/SMP/W/S.6/V/K'2025</t>
  </si>
  <si>
    <t>SASA</t>
  </si>
  <si>
    <t>CINAHI</t>
  </si>
  <si>
    <t>ISLAM25</t>
  </si>
  <si>
    <t>JL SINDANG SARI BARAT 6  02/27 MELONG CIMAHI SELATAN</t>
  </si>
  <si>
    <t>0895359764364</t>
  </si>
  <si>
    <t>WALI</t>
  </si>
  <si>
    <t xml:space="preserve">SAMSUDIN </t>
  </si>
  <si>
    <t xml:space="preserve">NENG SUSI MULYATI </t>
  </si>
  <si>
    <t>natan</t>
  </si>
  <si>
    <t>kristen protestan</t>
  </si>
  <si>
    <t>Leuweung Gede 08/27 Cibereum Cimahi Selatan</t>
  </si>
  <si>
    <t>Leuweung gede</t>
  </si>
  <si>
    <t>083830107172</t>
  </si>
  <si>
    <t>BOSMAN SINAMBELA</t>
  </si>
  <si>
    <t>SENIKA SITUMORANG</t>
  </si>
  <si>
    <t>121202518500160</t>
  </si>
  <si>
    <t>TASYA</t>
  </si>
  <si>
    <t>JL SINGOSARI 4 K 23 01/21 MELONG CIMAHI SELATAN</t>
  </si>
  <si>
    <t>088905418994</t>
  </si>
  <si>
    <t>ANDI SUSWANTO</t>
  </si>
  <si>
    <t>TARMINAH</t>
  </si>
  <si>
    <t>NAURA</t>
  </si>
  <si>
    <t>KAB.BANDUNG BARAT</t>
  </si>
  <si>
    <t>KP GUNUNG URUG 01/01 SITUWANGI CIHAMPELAS</t>
  </si>
  <si>
    <t>SITUWANGI</t>
  </si>
  <si>
    <t>CIHAMPELAS</t>
  </si>
  <si>
    <t>081214125944</t>
  </si>
  <si>
    <t>FRANS BARATA</t>
  </si>
  <si>
    <t>LIA SITI SONALI</t>
  </si>
  <si>
    <t>SMPN 9 CIMAHI</t>
  </si>
  <si>
    <t>Nayla</t>
  </si>
  <si>
    <t>Bandung, 06 Oktober 2009</t>
  </si>
  <si>
    <t>Indonesia - Sunda</t>
  </si>
  <si>
    <t>JL. MELONG ASIH GG. H. MISBAH 01/08 CIJERAH BANDUNG KULON</t>
  </si>
  <si>
    <t>081388711708</t>
  </si>
  <si>
    <t>OBAR SUBARKAH</t>
  </si>
  <si>
    <t>YEXI SUMIATI</t>
  </si>
  <si>
    <t>SMPN 39 BANDUNG</t>
  </si>
  <si>
    <t xml:space="preserve">Nay </t>
  </si>
  <si>
    <t>Perumnas Cijerah 2 Blok 14 No 116 GG Nusa Indah 8 03/20</t>
  </si>
  <si>
    <t>085624399026</t>
  </si>
  <si>
    <t xml:space="preserve">DADI HARYADI </t>
  </si>
  <si>
    <t xml:space="preserve">PUSPITASARI </t>
  </si>
  <si>
    <t>D2</t>
  </si>
  <si>
    <t xml:space="preserve">Kurir Shopee </t>
  </si>
  <si>
    <t>Nayra</t>
  </si>
  <si>
    <t>JL. CIJERAH GG. PELITA NO. 82 06/02 CIJERAH BANDUNG KULON</t>
  </si>
  <si>
    <t>087861827201</t>
  </si>
  <si>
    <t xml:space="preserve">TENDI ERDIANA </t>
  </si>
  <si>
    <t>RISMA MEGA ARYANTI</t>
  </si>
  <si>
    <t>SMP NEGERI 9 BANDUNG</t>
  </si>
  <si>
    <t>naysila</t>
  </si>
  <si>
    <t>Jl. Jatinangor Blok C11 No 20 03/09 Margaasih Margaasih</t>
  </si>
  <si>
    <t>083866832725</t>
  </si>
  <si>
    <t xml:space="preserve">NIRMALA WATI </t>
  </si>
  <si>
    <t>butuh harian lepas,kalau ada</t>
  </si>
  <si>
    <t>SMPN 1 Margaasih</t>
  </si>
  <si>
    <t>Nazwa</t>
  </si>
  <si>
    <t>Bandung 12 Agustus 2009</t>
  </si>
  <si>
    <t xml:space="preserve">JL.MELONG ASIH GG.MANUNGGAL IIC 07/09 CIJERAH </t>
  </si>
  <si>
    <t>sayuran</t>
  </si>
  <si>
    <t>0882000450157</t>
  </si>
  <si>
    <t xml:space="preserve">LILI SUPENDI </t>
  </si>
  <si>
    <t xml:space="preserve">NUNUNG NURHAYATI </t>
  </si>
  <si>
    <t>tidak</t>
  </si>
  <si>
    <t>DN-02/D-SD/K13/06303664</t>
  </si>
  <si>
    <t xml:space="preserve">Eca </t>
  </si>
  <si>
    <t>Blok Sukamaju No 207 04/06 Melong Cimahi Selatan</t>
  </si>
  <si>
    <t>08999021272</t>
  </si>
  <si>
    <t>TEMI HERNADI</t>
  </si>
  <si>
    <t>TITIN KARTINI</t>
  </si>
  <si>
    <t>SMPN 4 Cimahi</t>
  </si>
  <si>
    <t>Nevan</t>
  </si>
  <si>
    <t>Sunda - Indonesia</t>
  </si>
  <si>
    <t>Jl. Ciroyom No.79 02/10 Ciroyom Andir</t>
  </si>
  <si>
    <t xml:space="preserve">Ciroyom </t>
  </si>
  <si>
    <t xml:space="preserve">Andir </t>
  </si>
  <si>
    <t>085722568565</t>
  </si>
  <si>
    <t>2.71</t>
  </si>
  <si>
    <t>DEDEN TAUFIK NUGRAHA</t>
  </si>
  <si>
    <t>LENA SUSILOWATI</t>
  </si>
  <si>
    <t xml:space="preserve">Guru NON ASN </t>
  </si>
  <si>
    <t>PK.03.01.05/415/SMPN.41/VI/2025</t>
  </si>
  <si>
    <t>Nicky/Nici</t>
  </si>
  <si>
    <t>BANDUNG, 12 Juni 2009</t>
  </si>
  <si>
    <t xml:space="preserve">Bahasa sunda, Indonesia, Inggris (saya suku campuran) </t>
  </si>
  <si>
    <t>Jl. Sedap Malam No 29 03/19 Margaasih Margaasih</t>
  </si>
  <si>
    <t>0895806029955</t>
  </si>
  <si>
    <t>MECHIR FERDINAND KAUSE</t>
  </si>
  <si>
    <t>WARLINAH TRESNASARI</t>
  </si>
  <si>
    <t>Akmil</t>
  </si>
  <si>
    <t>nissa</t>
  </si>
  <si>
    <t>CIMAHI, 04 NOVEMBER 2010</t>
  </si>
  <si>
    <t>Kampung Sayuran 07/07 Cijerah Bandung Kulon</t>
  </si>
  <si>
    <t>0895364378037</t>
  </si>
  <si>
    <t>SALIYO</t>
  </si>
  <si>
    <t>NORA JULYANA</t>
  </si>
  <si>
    <t xml:space="preserve">SMEA </t>
  </si>
  <si>
    <t>MTs Al mukhsin</t>
  </si>
  <si>
    <t xml:space="preserve">Nisa </t>
  </si>
  <si>
    <t>JL. CIJERAH GG. SALUYU III 03/04 CIJERAH BANDUNG KULON</t>
  </si>
  <si>
    <t>087835096983</t>
  </si>
  <si>
    <t xml:space="preserve">1.5 </t>
  </si>
  <si>
    <t xml:space="preserve">PANUT </t>
  </si>
  <si>
    <t xml:space="preserve">YANTI </t>
  </si>
  <si>
    <t xml:space="preserve">syifa </t>
  </si>
  <si>
    <t>Indonesian / Sunda</t>
  </si>
  <si>
    <t>GG. MANUNGGAL IIC 01/10 CIJERAH BANDUNG KULON</t>
  </si>
  <si>
    <t>BATAS KOTA</t>
  </si>
  <si>
    <t>087796546962</t>
  </si>
  <si>
    <t>ANGGIAN DENI HAIKAL SIAGIAN</t>
  </si>
  <si>
    <t>GITA KUSMAWATI</t>
  </si>
  <si>
    <t xml:space="preserve">SMP NEGERI 23 </t>
  </si>
  <si>
    <t>56.2</t>
  </si>
  <si>
    <t>Nur</t>
  </si>
  <si>
    <t>Majalengka</t>
  </si>
  <si>
    <t>CIMINDI TENGAH 04/15 CIBEUREUM CIMAHI SELATAN</t>
  </si>
  <si>
    <t>Lembur Bebek</t>
  </si>
  <si>
    <t>085869126605</t>
  </si>
  <si>
    <t xml:space="preserve">AJAT SUDRAJAT </t>
  </si>
  <si>
    <t>RENA RANESIH</t>
  </si>
  <si>
    <t>71.6</t>
  </si>
  <si>
    <t>RANI</t>
  </si>
  <si>
    <t xml:space="preserve">BAHASA SUNDA BAHASA INDONESIA </t>
  </si>
  <si>
    <t>JL MELONG NYONTROL 01/03 MELONG CIMAHI SELATAN</t>
  </si>
  <si>
    <t>JL.MELONG NYONTROL</t>
  </si>
  <si>
    <t>088971353515</t>
  </si>
  <si>
    <t xml:space="preserve">AKHMAD ZAKARIA </t>
  </si>
  <si>
    <t xml:space="preserve">SMP PLUS YPP DARUSSURUR </t>
  </si>
  <si>
    <t xml:space="preserve">422.1/1505/SMP PLUS YPP DARUSSURUR </t>
  </si>
  <si>
    <t>NISPI</t>
  </si>
  <si>
    <t>CIGONDEWAH KALER 01/05 BANDUNG KULON</t>
  </si>
  <si>
    <t>08999562767</t>
  </si>
  <si>
    <t>IWAN AWALUDIN</t>
  </si>
  <si>
    <t>YAYAH SAPITRI</t>
  </si>
  <si>
    <t>Pedagang Besar</t>
  </si>
  <si>
    <t>Zahra</t>
  </si>
  <si>
    <t>BLOK SUKAMAJU 07/06 MELONG CIMAHI SELATAN</t>
  </si>
  <si>
    <t>SUKAMAJU</t>
  </si>
  <si>
    <t>083152458107</t>
  </si>
  <si>
    <t>DEDI KUSNADI</t>
  </si>
  <si>
    <t>INNA MARLIANA</t>
  </si>
  <si>
    <t>MA</t>
  </si>
  <si>
    <t>kurir</t>
  </si>
  <si>
    <t>SMP PASUNDA 2 CIMAHI</t>
  </si>
  <si>
    <t>44.25</t>
  </si>
  <si>
    <t>Nurul</t>
  </si>
  <si>
    <t xml:space="preserve">indonesian </t>
  </si>
  <si>
    <t>BBK. HEGARMANAH 03/04 CIGONDEWAH KALER BANDUNG KULON</t>
  </si>
  <si>
    <t>0895635013506</t>
  </si>
  <si>
    <t>ayah tiri</t>
  </si>
  <si>
    <t xml:space="preserve">ADI SAHID AKBAR </t>
  </si>
  <si>
    <t xml:space="preserve">INTAN EKAWATI </t>
  </si>
  <si>
    <t xml:space="preserve">smp Pasundan 7 bandung </t>
  </si>
  <si>
    <t>Okta</t>
  </si>
  <si>
    <t>PERUM CIJERAH II BLOK 9 GG. ANGGREK NO.41 01/14  MELONG</t>
  </si>
  <si>
    <t>GG ANGGREK</t>
  </si>
  <si>
    <t>Melong Asih</t>
  </si>
  <si>
    <t>08978104969</t>
  </si>
  <si>
    <t>ENDI SISWANTO GUTOMO</t>
  </si>
  <si>
    <t>YANTI MARYANTI</t>
  </si>
  <si>
    <t>Putri</t>
  </si>
  <si>
    <t>Cigondewah Hilir Blok H Gofur  01/02 Margaasih</t>
  </si>
  <si>
    <t>Blok H Gopur</t>
  </si>
  <si>
    <t>Desa Cigondewah Hilir</t>
  </si>
  <si>
    <t>083865150685</t>
  </si>
  <si>
    <t>AGUS SUTIYANA</t>
  </si>
  <si>
    <t xml:space="preserve">IMAT MARYATI </t>
  </si>
  <si>
    <t>SMP NEGERI 55 BANDUNG</t>
  </si>
  <si>
    <t>putri/mput</t>
  </si>
  <si>
    <t>Babakan Sukamaju No 71 b 06/06 Melong Cimahi Selatan</t>
  </si>
  <si>
    <t>082120623301</t>
  </si>
  <si>
    <t>ibu kandung</t>
  </si>
  <si>
    <t>0.47</t>
  </si>
  <si>
    <t>YUSUF SUPRIADI</t>
  </si>
  <si>
    <t>MIRA SUMIRAH</t>
  </si>
  <si>
    <t>DN-02/D-SD/K13/0710648</t>
  </si>
  <si>
    <t>bandung barat</t>
  </si>
  <si>
    <t>Jl. Moch Toha Gg Murdasan 05/03 Wates Bandung Kulon</t>
  </si>
  <si>
    <t>wates</t>
  </si>
  <si>
    <t>bandung kidul</t>
  </si>
  <si>
    <t>083817182825</t>
  </si>
  <si>
    <t xml:space="preserve">NYANYANG SANJAYA </t>
  </si>
  <si>
    <t xml:space="preserve">EVI YULIANTI </t>
  </si>
  <si>
    <t>DN- 02 /D/ SD/K 13/ 0617258</t>
  </si>
  <si>
    <t>KENO</t>
  </si>
  <si>
    <t>CIMAHI, 20 OKTOBER 2009</t>
  </si>
  <si>
    <t>Sunda &amp; Indonesia</t>
  </si>
  <si>
    <t>JL. MELONG RAYA GG SUKA ASIH NO. 5 01/31 MELONG</t>
  </si>
  <si>
    <t>081222176920</t>
  </si>
  <si>
    <t>0.98</t>
  </si>
  <si>
    <t>ZENI YUSWARANANDA</t>
  </si>
  <si>
    <t>IIS BENTANG SUKARANAWATI</t>
  </si>
  <si>
    <t>Queen</t>
  </si>
  <si>
    <t>Jl.Asbes No 25 02/02 Caringin Bandung Kulon</t>
  </si>
  <si>
    <t>caringin</t>
  </si>
  <si>
    <t>083147582663</t>
  </si>
  <si>
    <t>NURDIAN</t>
  </si>
  <si>
    <t>YURIKE AGUSTINA HERAWATI</t>
  </si>
  <si>
    <t xml:space="preserve">Smpn 2 cihampelas </t>
  </si>
  <si>
    <t>121202510018468</t>
  </si>
  <si>
    <t>ASHA</t>
  </si>
  <si>
    <t>JL. FOKER TENGAH 4 NO 3 BLOK SUKAMAJU 03/06 MELONG</t>
  </si>
  <si>
    <t>085624854085</t>
  </si>
  <si>
    <t>DANI HAMDANI</t>
  </si>
  <si>
    <t>NENG YENI HERYANI</t>
  </si>
  <si>
    <t>170.01/SMP-BPPI BOJONG.189/SKL/V/2025</t>
  </si>
  <si>
    <t>Uwin</t>
  </si>
  <si>
    <t>Bandung, 20 Oktober 2009</t>
  </si>
  <si>
    <t>Indonesia-sunda</t>
  </si>
  <si>
    <t>MALEBER GG RAHAYU VI NO.9 01/04 MALEBER ANDIR</t>
  </si>
  <si>
    <t xml:space="preserve">Maleber </t>
  </si>
  <si>
    <t>085951665812</t>
  </si>
  <si>
    <t xml:space="preserve">DEVIT WELLY </t>
  </si>
  <si>
    <t xml:space="preserve">FITRI DESTIANI </t>
  </si>
  <si>
    <t xml:space="preserve">Honorer </t>
  </si>
  <si>
    <t>aca</t>
  </si>
  <si>
    <t xml:space="preserve">CIJERAH 2 BLOK.9 GG MELATI NO 61 02/14 MELONG </t>
  </si>
  <si>
    <t>014</t>
  </si>
  <si>
    <t>085795741998</t>
  </si>
  <si>
    <t>0.13</t>
  </si>
  <si>
    <t>ENDED TARMANA</t>
  </si>
  <si>
    <t>ENTIN MARTINI</t>
  </si>
  <si>
    <t>penjahit</t>
  </si>
  <si>
    <t>Radit</t>
  </si>
  <si>
    <t>CIjERAH 1 BLOK 2 02/05 CIJERAH BANDUNG KULON</t>
  </si>
  <si>
    <t>RT 02</t>
  </si>
  <si>
    <t>RW 05</t>
  </si>
  <si>
    <t>081322838933</t>
  </si>
  <si>
    <t>RISMANTO</t>
  </si>
  <si>
    <t>HERYANI IKA SUSANTI</t>
  </si>
  <si>
    <t>SPM 6 BANDUNG</t>
  </si>
  <si>
    <t>Rafi</t>
  </si>
  <si>
    <t>PERUM MARGAASIH PERMAI JL. ARWANA V BLOK Q7 NO. 18</t>
  </si>
  <si>
    <t>081324117866</t>
  </si>
  <si>
    <t xml:space="preserve">RUDI MAULUDI </t>
  </si>
  <si>
    <t>TETI ROCHAETI RATNA SARI</t>
  </si>
  <si>
    <t>Diploma 1</t>
  </si>
  <si>
    <t>rafli</t>
  </si>
  <si>
    <t>JL CIGONDEWAH</t>
  </si>
  <si>
    <t>Cigondewah Rahayu</t>
  </si>
  <si>
    <t>088971599277</t>
  </si>
  <si>
    <t>HERMAN SUTIAWAN</t>
  </si>
  <si>
    <t>SITI JAMILAH</t>
  </si>
  <si>
    <t>ayu</t>
  </si>
  <si>
    <t>JL MUKODAR DALAM NO 54</t>
  </si>
  <si>
    <t>081321778334</t>
  </si>
  <si>
    <t xml:space="preserve">AHMAD JAELANI </t>
  </si>
  <si>
    <t xml:space="preserve">EKA YANUARAHMA </t>
  </si>
  <si>
    <t xml:space="preserve">smp </t>
  </si>
  <si>
    <t>REY</t>
  </si>
  <si>
    <t>CIJERAH 2 BLOK 17 GG BUNGUR 9</t>
  </si>
  <si>
    <t>082120906546</t>
  </si>
  <si>
    <t>GILANG STEPANI</t>
  </si>
  <si>
    <t>IDA WIDANINGSIH</t>
  </si>
  <si>
    <t>121202530668586</t>
  </si>
  <si>
    <t>raisya</t>
  </si>
  <si>
    <t>GG.BUNGUR 6 NO.10</t>
  </si>
  <si>
    <t>085794645538</t>
  </si>
  <si>
    <t xml:space="preserve">0.36 </t>
  </si>
  <si>
    <t>FAJAR SAORI</t>
  </si>
  <si>
    <t>RODIAH</t>
  </si>
  <si>
    <t>Rashes</t>
  </si>
  <si>
    <t>Bandung, 18 Mei 2009</t>
  </si>
  <si>
    <t>KOMP. PHARMINDO JL. ROROJONGGRANG UTARA II BLOK C10 NO. 18</t>
  </si>
  <si>
    <t xml:space="preserve">KOMP. PHARMINDO </t>
  </si>
  <si>
    <t>082258920060</t>
  </si>
  <si>
    <t xml:space="preserve">IGUS RAHMAT GINANJAR </t>
  </si>
  <si>
    <t>Guru</t>
  </si>
  <si>
    <t xml:space="preserve">MTS YANURI ANNAMIRA </t>
  </si>
  <si>
    <t xml:space="preserve">RAYKA </t>
  </si>
  <si>
    <t xml:space="preserve">bahasa Indonesia </t>
  </si>
  <si>
    <t>BUMI ASRI BLOK D NO 29</t>
  </si>
  <si>
    <t>GEMPOL SARI</t>
  </si>
  <si>
    <t xml:space="preserve">GEMPOL SARI </t>
  </si>
  <si>
    <t>083136508413</t>
  </si>
  <si>
    <t xml:space="preserve">YANA SOPYAN </t>
  </si>
  <si>
    <t>INTAN SYAWALIA AGUSTIN</t>
  </si>
  <si>
    <t xml:space="preserve">SMP NEGERI 57 BANDUNG </t>
  </si>
  <si>
    <t>RAYNA</t>
  </si>
  <si>
    <t xml:space="preserve">BUMI ASRI BLOK D NO.29 </t>
  </si>
  <si>
    <t>083832748314</t>
  </si>
  <si>
    <t>YANA SOPYAN</t>
  </si>
  <si>
    <t xml:space="preserve">Regina </t>
  </si>
  <si>
    <t>Rancabentang GG Hbakti II</t>
  </si>
  <si>
    <t>085797240196</t>
  </si>
  <si>
    <t xml:space="preserve">SUNANDAR </t>
  </si>
  <si>
    <t>SURYATINI</t>
  </si>
  <si>
    <t xml:space="preserve">SMP NEGERI 7 CIMAHI </t>
  </si>
  <si>
    <t>Reiya</t>
  </si>
  <si>
    <t>bahasa indonesia dan bahasa sunda</t>
  </si>
  <si>
    <t>JL.CIBOLERANG</t>
  </si>
  <si>
    <t>Kampung Baru</t>
  </si>
  <si>
    <t>Margasuka</t>
  </si>
  <si>
    <t>089507902499</t>
  </si>
  <si>
    <t>4.0</t>
  </si>
  <si>
    <t>ASEP OPIK</t>
  </si>
  <si>
    <t>IIS SULASTRI</t>
  </si>
  <si>
    <t>MTs-25 100001270</t>
  </si>
  <si>
    <t>REKSA</t>
  </si>
  <si>
    <t>Cijerah ll blok 6 gg delima 3 no 2</t>
  </si>
  <si>
    <t>08977880439</t>
  </si>
  <si>
    <t>MUHAMAD ILHAM PRATAMA</t>
  </si>
  <si>
    <t>RUM HARYATI SUNGGORO</t>
  </si>
  <si>
    <t>Tidak dapat diterapkan</t>
  </si>
  <si>
    <t>Smp pasundan 2 cimahi</t>
  </si>
  <si>
    <t>Resha</t>
  </si>
  <si>
    <t>Kp.Sayuran</t>
  </si>
  <si>
    <t>088219851931</t>
  </si>
  <si>
    <t xml:space="preserve">AMIN NURHIDAYAH </t>
  </si>
  <si>
    <t>LESTARI</t>
  </si>
  <si>
    <t xml:space="preserve">SMP Angkasa Husein Sastranegara Bandung </t>
  </si>
  <si>
    <t>RESTI</t>
  </si>
  <si>
    <t xml:space="preserve">SUNDA/INDONESIA </t>
  </si>
  <si>
    <t xml:space="preserve">CIBUNTU TENGAH RT 07 RW 10 KELURAHAN WARUNG MUNCANG KECAMATAN BANDUNG KULON </t>
  </si>
  <si>
    <t xml:space="preserve">WARUNG MUNCANG </t>
  </si>
  <si>
    <t>083111513368</t>
  </si>
  <si>
    <t xml:space="preserve">papah/mamah </t>
  </si>
  <si>
    <t xml:space="preserve">UWO SUTISNA </t>
  </si>
  <si>
    <t xml:space="preserve">TUTI GANTIA </t>
  </si>
  <si>
    <t xml:space="preserve">SMP PASUNDAN 2 BANDUNG </t>
  </si>
  <si>
    <t>Restu</t>
  </si>
  <si>
    <t>B. Sunda</t>
  </si>
  <si>
    <t>BLOK MELONG TENGAH RT. 05/RW.04 KODE POS 40534 , DESA MELONG KECAMATAN CIMAHI SELATAN KABUPATEN KOTA CIMAHI PROVINSI JAWA BARAT</t>
  </si>
  <si>
    <t>081111149610</t>
  </si>
  <si>
    <t>DEDEN HAEDAR</t>
  </si>
  <si>
    <t>NENG TUTI</t>
  </si>
  <si>
    <t>SMPN NEGERI 4 CIMAHI</t>
  </si>
  <si>
    <t>Evaa</t>
  </si>
  <si>
    <t xml:space="preserve">SUNDA-INDONESIA </t>
  </si>
  <si>
    <t xml:space="preserve">Blok Sukamaju </t>
  </si>
  <si>
    <t>081221290073</t>
  </si>
  <si>
    <t>MAMAN</t>
  </si>
  <si>
    <t xml:space="preserve">WATI SRI MULYATI </t>
  </si>
  <si>
    <t xml:space="preserve">SMP Y 17 CIBALONG </t>
  </si>
  <si>
    <t>DN 03 D 0166029</t>
  </si>
  <si>
    <t>Revina</t>
  </si>
  <si>
    <t>sunda,bahasa indonesia</t>
  </si>
  <si>
    <t>blok cikendal</t>
  </si>
  <si>
    <t>08889422744</t>
  </si>
  <si>
    <t>DONI JALAL ARIPIN</t>
  </si>
  <si>
    <t>ENENG ASTUTI</t>
  </si>
  <si>
    <t>Wonogiri</t>
  </si>
  <si>
    <t>KP.JATI</t>
  </si>
  <si>
    <t>Kampung Jati</t>
  </si>
  <si>
    <t>082215474141</t>
  </si>
  <si>
    <t>PURWANTO</t>
  </si>
  <si>
    <t>TUTIK SUHARNI</t>
  </si>
  <si>
    <t>REHAN</t>
  </si>
  <si>
    <t>BAHASA INDONESIA/SUNDA</t>
  </si>
  <si>
    <t>JL.CIJERAH BLOK 20 NO 94</t>
  </si>
  <si>
    <t>081999537409</t>
  </si>
  <si>
    <t>AMING BUNYAMIN</t>
  </si>
  <si>
    <t>IIS NURASIAH</t>
  </si>
  <si>
    <t>REZKY</t>
  </si>
  <si>
    <t>Melong green garden jl jumbo jet no 16</t>
  </si>
  <si>
    <t>082215567221</t>
  </si>
  <si>
    <t>YUDI PRIHANTO SANTOSO</t>
  </si>
  <si>
    <t>YUNIANTI</t>
  </si>
  <si>
    <t>Rezky</t>
  </si>
  <si>
    <t xml:space="preserve">BLOK SUKAGALIH </t>
  </si>
  <si>
    <t>082118341747</t>
  </si>
  <si>
    <t xml:space="preserve">RUDI FERDIANSYAH </t>
  </si>
  <si>
    <t>ELLY KOMALA DEWI</t>
  </si>
  <si>
    <t>Syifa</t>
  </si>
  <si>
    <t>JALAN MUKODAR DALAM NO 25 01/08 CIBEREUM CIMAHI SELATAN</t>
  </si>
  <si>
    <t>0895386859886</t>
  </si>
  <si>
    <t>JAJANG SANUSI</t>
  </si>
  <si>
    <t>UMMI SALAMAH</t>
  </si>
  <si>
    <t>SMP ASSIDIQIYAH</t>
  </si>
  <si>
    <t>121202528157118</t>
  </si>
  <si>
    <t>natasya</t>
  </si>
  <si>
    <t>garut,26,april,2010</t>
  </si>
  <si>
    <t xml:space="preserve">Kp Sukawangi 03/05 Jelegong Kutawaringin </t>
  </si>
  <si>
    <t xml:space="preserve">kp sukawangi </t>
  </si>
  <si>
    <t xml:space="preserve">desa jelegong </t>
  </si>
  <si>
    <t xml:space="preserve">Kutawaringin </t>
  </si>
  <si>
    <t>0895379198500</t>
  </si>
  <si>
    <t>7.4</t>
  </si>
  <si>
    <t>RAMLI</t>
  </si>
  <si>
    <t>RATNA SUMINAR</t>
  </si>
  <si>
    <t xml:space="preserve">SMPN 2 MARGAASIH </t>
  </si>
  <si>
    <t>Rifaa</t>
  </si>
  <si>
    <t>Kp. Blok Hawu 02/01 Cigondewah Hilir Margaasih</t>
  </si>
  <si>
    <t>KP.blok hawu</t>
  </si>
  <si>
    <t xml:space="preserve">cigondewah hilir </t>
  </si>
  <si>
    <t>MOCH MUHYIDIN</t>
  </si>
  <si>
    <t xml:space="preserve">AI LISNAWATI </t>
  </si>
  <si>
    <t>supir</t>
  </si>
  <si>
    <t>MTS atta'zhimiyah</t>
  </si>
  <si>
    <t>Iki</t>
  </si>
  <si>
    <t xml:space="preserve">Bahasa Sunda </t>
  </si>
  <si>
    <t>SAYURAN GANG MANUNGGAL 11 07/07 CIJERAH BANDUNG KULON</t>
  </si>
  <si>
    <t>SAYURAN</t>
  </si>
  <si>
    <t>082121778352</t>
  </si>
  <si>
    <t>IJANG SUHENDAR</t>
  </si>
  <si>
    <t xml:space="preserve">NIA KURNIATI </t>
  </si>
  <si>
    <t>421./080/SMPN-57/vI/2025</t>
  </si>
  <si>
    <t>Valey</t>
  </si>
  <si>
    <t xml:space="preserve">JL. MELONG ASIH GG MANUNGGAL 2 06/09 CIJERAH </t>
  </si>
  <si>
    <t>kampung sayuran</t>
  </si>
  <si>
    <t>082228380209</t>
  </si>
  <si>
    <t>KEMAL FERDIAN</t>
  </si>
  <si>
    <t>YENI KUSWARI</t>
  </si>
  <si>
    <t>DIPLOMA IV/STRATA 1</t>
  </si>
  <si>
    <t>rika</t>
  </si>
  <si>
    <t>Wni</t>
  </si>
  <si>
    <t>Bahasa sunda</t>
  </si>
  <si>
    <t>Blok Tengah 04/12 Cigondewah Kaler Bandung Kulon</t>
  </si>
  <si>
    <t>Blok tengah</t>
  </si>
  <si>
    <t>083127855753</t>
  </si>
  <si>
    <t xml:space="preserve">DEDE JAELANI </t>
  </si>
  <si>
    <t>IMAS TATI</t>
  </si>
  <si>
    <t xml:space="preserve">SMP YPKKP BANDUNG </t>
  </si>
  <si>
    <t>Riski</t>
  </si>
  <si>
    <t>KP. CIPATAT 02/10 LAGADAR MARGAASIH</t>
  </si>
  <si>
    <t>KP.CIPATAT</t>
  </si>
  <si>
    <t>089507611375</t>
  </si>
  <si>
    <t>SUTARYAT</t>
  </si>
  <si>
    <t>MIMIN</t>
  </si>
  <si>
    <t>RIZKA</t>
  </si>
  <si>
    <t>INDONESIA SUNDA</t>
  </si>
  <si>
    <t>PERUM.CIJERAH I BLOK 2 NO. 20 02/05 CIJERAH BANDUNG KULON</t>
  </si>
  <si>
    <t>085973646342</t>
  </si>
  <si>
    <t>M B BAYU NUGRAHA</t>
  </si>
  <si>
    <t>NENDEN KOMALASARI</t>
  </si>
  <si>
    <t>SMPN 41 Bandung</t>
  </si>
  <si>
    <t xml:space="preserve">JL. RAYA BATU RENGAT NO .07 04/01 CIGONDEWAH KALER </t>
  </si>
  <si>
    <t>0895359778611</t>
  </si>
  <si>
    <t>9.5</t>
  </si>
  <si>
    <t>WILDAN EKA NUGRAHA</t>
  </si>
  <si>
    <t>RISNAWATI</t>
  </si>
  <si>
    <t xml:space="preserve">SMPN 55 KOTA BANDUNG </t>
  </si>
  <si>
    <t>bani</t>
  </si>
  <si>
    <t>Garut</t>
  </si>
  <si>
    <t>Gg. Mustopa 06/02 Caringin Bandung Kulon</t>
  </si>
  <si>
    <t xml:space="preserve">GG. Mustopa </t>
  </si>
  <si>
    <t xml:space="preserve">Caringin </t>
  </si>
  <si>
    <t xml:space="preserve">ATENG PERMANA BAHARUDIN </t>
  </si>
  <si>
    <t xml:space="preserve">SITI PATONAH </t>
  </si>
  <si>
    <t xml:space="preserve">SMP YPKKP </t>
  </si>
  <si>
    <t>121202507881420</t>
  </si>
  <si>
    <t>Bina</t>
  </si>
  <si>
    <t>JL SINDANG SARI BARAT 6 NO 32 02/27 MELONG CIMAHI SELATAN</t>
  </si>
  <si>
    <t>085871326993</t>
  </si>
  <si>
    <t>ALM.TOTO RUSITA</t>
  </si>
  <si>
    <t>ERRY MARIANI</t>
  </si>
  <si>
    <t>AKADEMI/DIMPLOMA |||/SARJANA MUDA</t>
  </si>
  <si>
    <t>421.3/27-SMP.4/VI/2025</t>
  </si>
  <si>
    <t>Ghany</t>
  </si>
  <si>
    <t>JL. KEBON KOPI GG. TIRTA INDAH 2 NO. 466 04/27 CIBEREUM</t>
  </si>
  <si>
    <t>085794350860</t>
  </si>
  <si>
    <t>YAN DARYANTO</t>
  </si>
  <si>
    <t>NURHAYATI</t>
  </si>
  <si>
    <t>SMPN 7 Cimahi</t>
  </si>
  <si>
    <t>sahla</t>
  </si>
  <si>
    <t xml:space="preserve">CIMAHI SELATAN
</t>
  </si>
  <si>
    <t>083152932132</t>
  </si>
  <si>
    <t>TITO ARYANTO</t>
  </si>
  <si>
    <t>NENI YULIANI</t>
  </si>
  <si>
    <t>121202530668946</t>
  </si>
  <si>
    <t xml:space="preserve">GARUT </t>
  </si>
  <si>
    <t>Blok Suka Galih 02/34 Melong Cimahi Selatan</t>
  </si>
  <si>
    <t>Suka galih</t>
  </si>
  <si>
    <t xml:space="preserve">CIMAHI selatan </t>
  </si>
  <si>
    <t>0895384417626</t>
  </si>
  <si>
    <t xml:space="preserve">ENGKUS </t>
  </si>
  <si>
    <t xml:space="preserve">SANTI </t>
  </si>
  <si>
    <t>Pengawas pasar</t>
  </si>
  <si>
    <t>SMP negeri 57 Bandung</t>
  </si>
  <si>
    <t>421.3/080/SMPN-57/VI/2025</t>
  </si>
  <si>
    <t>Salsa</t>
  </si>
  <si>
    <t>Bahasa Indonesia, bahasa sunda</t>
  </si>
  <si>
    <t>Jl. Cigondewah Kidul 02/04 Cigondewah Kidul Bandung Kulon</t>
  </si>
  <si>
    <t>Blodes</t>
  </si>
  <si>
    <t>Cigondewah Kidul</t>
  </si>
  <si>
    <t>089663837400</t>
  </si>
  <si>
    <t>Wali/Kakak</t>
  </si>
  <si>
    <t>SAMSUDIN</t>
  </si>
  <si>
    <t>SITI ROHMAH</t>
  </si>
  <si>
    <t>SMP NEGERI 39 BANDUNG</t>
  </si>
  <si>
    <t>Belum ada ijazah</t>
  </si>
  <si>
    <t>Caca</t>
  </si>
  <si>
    <t>Jl. Graha Mahoni 1 No. 5 Komp. Graha Margaasih 01/20</t>
  </si>
  <si>
    <t>088526896767</t>
  </si>
  <si>
    <t>FIRDAUS</t>
  </si>
  <si>
    <t>ZAKIAH</t>
  </si>
  <si>
    <t xml:space="preserve">SLTA </t>
  </si>
  <si>
    <t>SMPN 9 Cimahi</t>
  </si>
  <si>
    <t>421.3/418-SMPN.9/VI/2025</t>
  </si>
  <si>
    <t xml:space="preserve">sabil </t>
  </si>
  <si>
    <t>bandung , 05 desember 2009</t>
  </si>
  <si>
    <t>bahasa ibu</t>
  </si>
  <si>
    <t>Jl. Kalpataru Komplek Bumi Asri Blok D 28 01/09 Gempol Sari</t>
  </si>
  <si>
    <t xml:space="preserve">Gempol sari </t>
  </si>
  <si>
    <t xml:space="preserve">gempol sari </t>
  </si>
  <si>
    <t xml:space="preserve">bandung kulon </t>
  </si>
  <si>
    <t>083146497750</t>
  </si>
  <si>
    <t xml:space="preserve">APEP SETIAWAN </t>
  </si>
  <si>
    <t xml:space="preserve">NUR HALIMAH </t>
  </si>
  <si>
    <t xml:space="preserve">belum tamat sd/sederajat </t>
  </si>
  <si>
    <t xml:space="preserve">tamat sd /sederajat </t>
  </si>
  <si>
    <t>smp 57 bandung</t>
  </si>
  <si>
    <t>DN-02/D-SD/K13/ 0633798</t>
  </si>
  <si>
    <t>Bila</t>
  </si>
  <si>
    <t>B.SUNDA</t>
  </si>
  <si>
    <t>Melong Asih Blok 10 Gang Tanjung 5 No. 157 04/19 Melong</t>
  </si>
  <si>
    <t>083869424949</t>
  </si>
  <si>
    <t>ROBI SUGARA</t>
  </si>
  <si>
    <t>RATIH WULAN SARI</t>
  </si>
  <si>
    <t>MTsS ASSUADA</t>
  </si>
  <si>
    <t xml:space="preserve">Majalengka </t>
  </si>
  <si>
    <t xml:space="preserve">JL. KEBON KOPI GG. IBU UCU NO. 27 06/09 CIBEREUM </t>
  </si>
  <si>
    <t>085361560249</t>
  </si>
  <si>
    <t xml:space="preserve">IYUS RUSNADI </t>
  </si>
  <si>
    <t xml:space="preserve">SUMIATI </t>
  </si>
  <si>
    <t>Salvia</t>
  </si>
  <si>
    <t>KP LEMBUR SAWAH 01/12 UTAMA CIMAHI SELATAN</t>
  </si>
  <si>
    <t>LEMBUR SAWAH</t>
  </si>
  <si>
    <t>UTAMA</t>
  </si>
  <si>
    <t>089673212704</t>
  </si>
  <si>
    <t>ZAENUDIN</t>
  </si>
  <si>
    <t>JAMIATI</t>
  </si>
  <si>
    <t>salwa</t>
  </si>
  <si>
    <t xml:space="preserve">KP CIMAHILIR 06/08 LAGADAR MARGAASIH </t>
  </si>
  <si>
    <t>CIMAHILIR</t>
  </si>
  <si>
    <t>085759841966</t>
  </si>
  <si>
    <t xml:space="preserve">4.8 </t>
  </si>
  <si>
    <t>DODI GUNAWAN</t>
  </si>
  <si>
    <t>NENENG YENI</t>
  </si>
  <si>
    <t>DN-02/D-SD/K13/0710151</t>
  </si>
  <si>
    <t>45.55</t>
  </si>
  <si>
    <t>RANCABENTANG 01/26 CIBEREUM CIMAHI SELATAN</t>
  </si>
  <si>
    <t>rancabentang</t>
  </si>
  <si>
    <t>085703012597</t>
  </si>
  <si>
    <t>MUHEDI</t>
  </si>
  <si>
    <t>YANI HARYANI</t>
  </si>
  <si>
    <t>Salwa</t>
  </si>
  <si>
    <t>Sukamaju 02/06 Melong Cimahi Selatan</t>
  </si>
  <si>
    <t xml:space="preserve">Sukamaju </t>
  </si>
  <si>
    <t>081229164021</t>
  </si>
  <si>
    <t xml:space="preserve">IFAN HARDIANSYAH </t>
  </si>
  <si>
    <t xml:space="preserve">RIKA KARTIKA </t>
  </si>
  <si>
    <t>PASUNDAN 2 CIMAHI</t>
  </si>
  <si>
    <t>sarah</t>
  </si>
  <si>
    <t>Madinah</t>
  </si>
  <si>
    <t>BUMI ASRI V BLOK H.128 JL. CENDANA 05/09 GEMPOL SARI</t>
  </si>
  <si>
    <t>BUMI ASRI</t>
  </si>
  <si>
    <t xml:space="preserve">KEL. GEMPOL SARI </t>
  </si>
  <si>
    <t>KEC. BANDUNG KULON</t>
  </si>
  <si>
    <t>085861535898</t>
  </si>
  <si>
    <t xml:space="preserve">1.7 </t>
  </si>
  <si>
    <t xml:space="preserve">MOCHAMAD ALI </t>
  </si>
  <si>
    <t>ELLISA DEWI</t>
  </si>
  <si>
    <t>SMP ASSALAAM BANDUNG</t>
  </si>
  <si>
    <t>258/I.02-E.12/SMP-ASS/VI/2025</t>
  </si>
  <si>
    <t>47.5</t>
  </si>
  <si>
    <t>Kia</t>
  </si>
  <si>
    <t>KOMP. GRAHA MARGAASIH JL. ANGSANA III NO.33 03/20 LAGADAR</t>
  </si>
  <si>
    <t>085156647982</t>
  </si>
  <si>
    <t>3.25</t>
  </si>
  <si>
    <t>SUHERMAN</t>
  </si>
  <si>
    <t>EVI SUSANTI TRISNA SARI, A.MD</t>
  </si>
  <si>
    <t>Selpi</t>
  </si>
  <si>
    <t xml:space="preserve">Lampung </t>
  </si>
  <si>
    <t>KP. CIPATAT BINONG 05/12 LAGADAR MARGAASIH</t>
  </si>
  <si>
    <t>KP.CIPATAT BINONG</t>
  </si>
  <si>
    <t>088971537378</t>
  </si>
  <si>
    <t>6.9</t>
  </si>
  <si>
    <t xml:space="preserve">SUHERMAN </t>
  </si>
  <si>
    <t>ARNITA</t>
  </si>
  <si>
    <t>400.3.11/062/SMP.01/V/2025</t>
  </si>
  <si>
    <t xml:space="preserve">SENDY </t>
  </si>
  <si>
    <t>0099406088</t>
  </si>
  <si>
    <t>BAHASA INDONESIA DAN SUNDA</t>
  </si>
  <si>
    <t>PERUM CIJERAH 1 NO. 57 01/05 CIJERAH BANDUNG KULON</t>
  </si>
  <si>
    <t>089527836720</t>
  </si>
  <si>
    <t xml:space="preserve">DIDIN MUHIDIN </t>
  </si>
  <si>
    <t>SARI</t>
  </si>
  <si>
    <t>smea</t>
  </si>
  <si>
    <t>121202520850426</t>
  </si>
  <si>
    <t>ail</t>
  </si>
  <si>
    <t>Jl.SINDANG SARI GG H MUSTOPA 01/26 MELONG CIMAHI SELATAN</t>
  </si>
  <si>
    <t xml:space="preserve">gg mustopa </t>
  </si>
  <si>
    <t>089512716696</t>
  </si>
  <si>
    <t>GANJAR NUGRAHA</t>
  </si>
  <si>
    <t xml:space="preserve">DEVI DWI KASIH </t>
  </si>
  <si>
    <t>SMP NEGRI 4 CIMAHI</t>
  </si>
  <si>
    <t>AYA</t>
  </si>
  <si>
    <t>Gang Cemara Blok 3 No 178 04/11 Melong Cimahi Selatan</t>
  </si>
  <si>
    <t>087780482851</t>
  </si>
  <si>
    <t>SUHARYONO</t>
  </si>
  <si>
    <t xml:space="preserve">DINI FATIMAH KURNIAWATI </t>
  </si>
  <si>
    <t xml:space="preserve">Konsultan </t>
  </si>
  <si>
    <t>421.3/271.084-SMP.4/VI/2025</t>
  </si>
  <si>
    <t>Shandy</t>
  </si>
  <si>
    <t>Jl Cijerah Gg. H.Holil 03/06 Cibuntu Bandung Kulon</t>
  </si>
  <si>
    <t>081222404680</t>
  </si>
  <si>
    <t>SUPIANDI</t>
  </si>
  <si>
    <t>TETI SETIAWATI</t>
  </si>
  <si>
    <t>SMP MUTIARA 1 BANDUNG</t>
  </si>
  <si>
    <t>Shaqi</t>
  </si>
  <si>
    <t>Jl. Bata Merah No. 10, Komp. Bojong Raya 04/02 Caringin</t>
  </si>
  <si>
    <t>085959873591</t>
  </si>
  <si>
    <t xml:space="preserve">TAUFAN TANTO SETYAWAN </t>
  </si>
  <si>
    <t>YULIANTI</t>
  </si>
  <si>
    <t>Assalaam</t>
  </si>
  <si>
    <t>Sifa</t>
  </si>
  <si>
    <t>CIJERAH II GG MANGGIS NO 72 05/13 MELONG CIMAHI SELATAN</t>
  </si>
  <si>
    <t>Gg manggis</t>
  </si>
  <si>
    <t>088971568069</t>
  </si>
  <si>
    <t>AHMAD SADIKIN</t>
  </si>
  <si>
    <t xml:space="preserve">AI MASITOH </t>
  </si>
  <si>
    <t>121202530669142</t>
  </si>
  <si>
    <t>shopia ,pia</t>
  </si>
  <si>
    <t>Blok Sukamaju 07/06 Melong Cimahi Selatan</t>
  </si>
  <si>
    <t>sukamaju</t>
  </si>
  <si>
    <t>0881022643448</t>
  </si>
  <si>
    <t>ASEP HUDAYA</t>
  </si>
  <si>
    <t>ATI SUMIATI</t>
  </si>
  <si>
    <t>DRIVER SHOPEE</t>
  </si>
  <si>
    <t>SILFA</t>
  </si>
  <si>
    <t>0093273859</t>
  </si>
  <si>
    <t>BLOK SAKOLA  02/07 MELONG CIMAHI SELATAN</t>
  </si>
  <si>
    <t xml:space="preserve">MELONG BLOK SAKOLA </t>
  </si>
  <si>
    <t>083817174106</t>
  </si>
  <si>
    <t>WAWAN SETIAWAN</t>
  </si>
  <si>
    <t xml:space="preserve">SONI SONDARI </t>
  </si>
  <si>
    <t>SMLTP</t>
  </si>
  <si>
    <t>121202521100888</t>
  </si>
  <si>
    <t>SILVI</t>
  </si>
  <si>
    <t>KP BATURENGAT HILIR 04/08 CIGONDEWAH HILIR MARGAASIH</t>
  </si>
  <si>
    <t>KP BATURENGAT HIKIR</t>
  </si>
  <si>
    <t>CIGONDEWAH HILIR</t>
  </si>
  <si>
    <t>0895383817766</t>
  </si>
  <si>
    <t>5.2</t>
  </si>
  <si>
    <t>DANIL KUMALA</t>
  </si>
  <si>
    <t>ROSMAH</t>
  </si>
  <si>
    <t>MTs-25 100001364</t>
  </si>
  <si>
    <t>SINDY</t>
  </si>
  <si>
    <t>PERUM MEKAR WANGI 01/07 JEJEGONG KUTAWARINGIN</t>
  </si>
  <si>
    <t>JELEGONG</t>
  </si>
  <si>
    <t>KUTAWARINGIN</t>
  </si>
  <si>
    <t>0882002548558</t>
  </si>
  <si>
    <t>ROSITA</t>
  </si>
  <si>
    <t>SMP NEGERI 2 MARGAASIH</t>
  </si>
  <si>
    <t>SINTA</t>
  </si>
  <si>
    <t>Kp. Rancamalang 06/10 Margaasih Margaasih</t>
  </si>
  <si>
    <t>Kp .rancamalang</t>
  </si>
  <si>
    <t>085871284152</t>
  </si>
  <si>
    <t>3.8</t>
  </si>
  <si>
    <t xml:space="preserve">YAYAN HERYANTO </t>
  </si>
  <si>
    <t xml:space="preserve">membuka konveksi </t>
  </si>
  <si>
    <t>Sirhan</t>
  </si>
  <si>
    <t>Sunda Indonesia</t>
  </si>
  <si>
    <t>Melong Raya, Blok 4, Gang Nuri No. 24 01/10 Cimahi Selatan</t>
  </si>
  <si>
    <t>087815684530</t>
  </si>
  <si>
    <t>0.16</t>
  </si>
  <si>
    <t>MUSA SANJAYA</t>
  </si>
  <si>
    <t>DESSY ASTITA SUNDARI</t>
  </si>
  <si>
    <t>MTs-25 120161657</t>
  </si>
  <si>
    <t>AYRA</t>
  </si>
  <si>
    <t>KP.SINDANG PALAY 04/04 RAHAYU MARGAASIH</t>
  </si>
  <si>
    <t>DESA RAHAYU</t>
  </si>
  <si>
    <t>083130386542</t>
  </si>
  <si>
    <t>AYAH-IBU</t>
  </si>
  <si>
    <t xml:space="preserve">4.4 </t>
  </si>
  <si>
    <t xml:space="preserve">SARTONO </t>
  </si>
  <si>
    <t xml:space="preserve">DESI SUMIATI </t>
  </si>
  <si>
    <t xml:space="preserve">MTsN 1 KOTA BANDUNG </t>
  </si>
  <si>
    <t>MTs-25  100001295</t>
  </si>
  <si>
    <t>Awa/marwah</t>
  </si>
  <si>
    <t>Bandung,31 juli 2010</t>
  </si>
  <si>
    <t>Blok Mesjid, 01/03 Cigondewah Kaler Bandung Kulon</t>
  </si>
  <si>
    <t>Blok mesjid</t>
  </si>
  <si>
    <t>081445303404</t>
  </si>
  <si>
    <t>DENIS MUHAMAD MA'SUM</t>
  </si>
  <si>
    <t>ANI NURAENI</t>
  </si>
  <si>
    <t>SMP NEGERI 4 PASIRKUDA</t>
  </si>
  <si>
    <t>Aida/Raida</t>
  </si>
  <si>
    <t>b. Indonesia dan b. sunda</t>
  </si>
  <si>
    <t>Batu Rengat 03/13 Cigondewah Kaler Bandung Kulon</t>
  </si>
  <si>
    <t>089523748060</t>
  </si>
  <si>
    <t>BADEN SETIAWAN</t>
  </si>
  <si>
    <t>YIYI</t>
  </si>
  <si>
    <t>DN-02/D-SD/K13/ 0607168</t>
  </si>
  <si>
    <t>halimah</t>
  </si>
  <si>
    <t>KOMP. BUMI ASRI D. 27 01/09 Gempol Sari Bandung Kulon</t>
  </si>
  <si>
    <t>083138644354</t>
  </si>
  <si>
    <t>BANDI RUKMANA WIJAYA</t>
  </si>
  <si>
    <t>ADE NURHASANAH</t>
  </si>
  <si>
    <t>DN-02/D-SD/K13/0633800</t>
  </si>
  <si>
    <t>Sopian</t>
  </si>
  <si>
    <t>Blok Cibiuk 06/14 Melong Cimahi Selatan</t>
  </si>
  <si>
    <t>083109711925</t>
  </si>
  <si>
    <t xml:space="preserve">AGUS MULYANA </t>
  </si>
  <si>
    <t xml:space="preserve">NGADIASIH </t>
  </si>
  <si>
    <t>Stephen</t>
  </si>
  <si>
    <t>Keristen</t>
  </si>
  <si>
    <t>BLOK SUKAMAJU 03/06 MELONG CIMAHI SELATAN</t>
  </si>
  <si>
    <t>MEDAN</t>
  </si>
  <si>
    <t>085703202071</t>
  </si>
  <si>
    <t xml:space="preserve">0.3 </t>
  </si>
  <si>
    <t>LUSIUS LISTEN SINAGA</t>
  </si>
  <si>
    <t>SOPIA BUTARBUTAR</t>
  </si>
  <si>
    <t>Smea</t>
  </si>
  <si>
    <t>DN-02/D-SD/K13/0710779</t>
  </si>
  <si>
    <t>Susi</t>
  </si>
  <si>
    <t>Jl. Cibuntu Timur 03/04 Warung Muncang Bandung Kulon</t>
  </si>
  <si>
    <t>083164040400</t>
  </si>
  <si>
    <t>Bapak</t>
  </si>
  <si>
    <t>SUGENG PRAYITNO</t>
  </si>
  <si>
    <t>TINI DINAETI</t>
  </si>
  <si>
    <t>Sebagai pedagang keliling</t>
  </si>
  <si>
    <t>Mts attaufiq</t>
  </si>
  <si>
    <t>MTs-25 100001119</t>
  </si>
  <si>
    <t xml:space="preserve">syafa </t>
  </si>
  <si>
    <t>Cibolerang Barat 02/01 Cigondewah Rahayu Bandung Kulon</t>
  </si>
  <si>
    <t>cigondewah rahayu</t>
  </si>
  <si>
    <t>089526755753</t>
  </si>
  <si>
    <t>MUMU MULYANA</t>
  </si>
  <si>
    <t>ROHAYATI</t>
  </si>
  <si>
    <t>buruh harian lepas(membuat tas)</t>
  </si>
  <si>
    <t>MTs ATTA ZHIMIYAH</t>
  </si>
  <si>
    <t>Syahriny</t>
  </si>
  <si>
    <t>Pharmindo Jl Agastya 3 P5 No 7  02/24 Melong Cimahi Selatan</t>
  </si>
  <si>
    <t>082126890597</t>
  </si>
  <si>
    <t>ENDANG RAHAYU</t>
  </si>
  <si>
    <t>AAT WIATI</t>
  </si>
  <si>
    <t xml:space="preserve">Syera </t>
  </si>
  <si>
    <t>ciamis</t>
  </si>
  <si>
    <t xml:space="preserve">Jl Kebon Kopi Gg H Safei No 30 02/28 Cibereum Cimahi Selatan </t>
  </si>
  <si>
    <t>081770909934</t>
  </si>
  <si>
    <t xml:space="preserve">RANDI KURNIAWAN RACHMAT </t>
  </si>
  <si>
    <t>ELI ELIYANTI</t>
  </si>
  <si>
    <t>smu</t>
  </si>
  <si>
    <t>serin</t>
  </si>
  <si>
    <t>GARUT</t>
  </si>
  <si>
    <t>JL. REUNGAS 04/06 GEMPOL SARI BANDUNG KULON</t>
  </si>
  <si>
    <t>Reungas</t>
  </si>
  <si>
    <t>085861239391</t>
  </si>
  <si>
    <t>AGUS RUSTANDI</t>
  </si>
  <si>
    <t>LUSI LIANA</t>
  </si>
  <si>
    <t>TIARA</t>
  </si>
  <si>
    <t>MELONG NYONTROL 05/03 MELONG CIMAHI SELATAN</t>
  </si>
  <si>
    <t>0895326394193</t>
  </si>
  <si>
    <t>PURNOMO SIDI</t>
  </si>
  <si>
    <t>SULASIH</t>
  </si>
  <si>
    <t>SLTP-SEDERAJAT</t>
  </si>
  <si>
    <t>RAFA</t>
  </si>
  <si>
    <t>Ya</t>
  </si>
  <si>
    <t>JL. JEND. SUDIRMAN NO.727 CIBUNTU BANDUNG KULON</t>
  </si>
  <si>
    <t>BAPA ASEP</t>
  </si>
  <si>
    <t>BAPA DADANG SUPRIATNA</t>
  </si>
  <si>
    <t>GANG ADIL</t>
  </si>
  <si>
    <t xml:space="preserve">KELURAHAN CIBUNTU </t>
  </si>
  <si>
    <t>088901330689</t>
  </si>
  <si>
    <t>TUBAGUS PEPEP KUSWONO</t>
  </si>
  <si>
    <t>YANI PERMATA DEWI</t>
  </si>
  <si>
    <t>PP BAITUL IZZAH NUSANTARA</t>
  </si>
  <si>
    <t>SMP PP BAITUL IZZAH NUSANTARA</t>
  </si>
  <si>
    <t>TYARA</t>
  </si>
  <si>
    <t xml:space="preserve">KP.CIBIUK HILIR 04/15 MARGAASIH MARGAASIH </t>
  </si>
  <si>
    <t>KP.CIBIUK HILIR</t>
  </si>
  <si>
    <t>088220421869</t>
  </si>
  <si>
    <t>AJAT SUDRAJAT</t>
  </si>
  <si>
    <t>YANTI</t>
  </si>
  <si>
    <t>azky</t>
  </si>
  <si>
    <t>Cigondewah Kaler 01/01 Cigondewah Kaler Bandung Kulon</t>
  </si>
  <si>
    <t>cigondewah</t>
  </si>
  <si>
    <t>0881022425530</t>
  </si>
  <si>
    <t>SAEPULLOH</t>
  </si>
  <si>
    <t>LINDAENI</t>
  </si>
  <si>
    <t>smpn 55 bandung</t>
  </si>
  <si>
    <t>Sani</t>
  </si>
  <si>
    <t>JL. GRAHA MAHONI III NO. 6 KOMP. MARGAASIH 01/20 LAGADAR</t>
  </si>
  <si>
    <t>08989849948</t>
  </si>
  <si>
    <t>IDIN KOMARUDIN</t>
  </si>
  <si>
    <t>SRI KURAESIN</t>
  </si>
  <si>
    <t>MAN</t>
  </si>
  <si>
    <t>Vanessa</t>
  </si>
  <si>
    <t>JL.CIBALIGO KP.PINTU AIR 08/08 CIGUGUR TENGAH CIMAHI TENGAH</t>
  </si>
  <si>
    <t>Kp. Pintu Air</t>
  </si>
  <si>
    <t>Cigugur Tengah</t>
  </si>
  <si>
    <t>Cimahi Tengah</t>
  </si>
  <si>
    <t>087827854992</t>
  </si>
  <si>
    <t>SUSILO PURNOMO</t>
  </si>
  <si>
    <t>SARI TRI WAHYUNI</t>
  </si>
  <si>
    <t>VANYA</t>
  </si>
  <si>
    <t xml:space="preserve">Melong Blok Sakola 07/07 Melong Cimahi Selatan </t>
  </si>
  <si>
    <t>Melong blok sakola</t>
  </si>
  <si>
    <t>081323066094</t>
  </si>
  <si>
    <t>SUHARNO</t>
  </si>
  <si>
    <t>NUR SRIHARYATI</t>
  </si>
  <si>
    <t>Tukang jahit</t>
  </si>
  <si>
    <t>vern</t>
  </si>
  <si>
    <t>GG.TARUNA VIII 08/04 CIROYOM ANDIR</t>
  </si>
  <si>
    <t>083178421625</t>
  </si>
  <si>
    <t>AAN SITI HASANAH</t>
  </si>
  <si>
    <t>-SMA</t>
  </si>
  <si>
    <t>SMP PGRI 175 MARGAASIH</t>
  </si>
  <si>
    <t>021/satdik-SMP/III.1.2025</t>
  </si>
  <si>
    <t>Wira/Denta</t>
  </si>
  <si>
    <t>Indonesia,Sunda,Melayu</t>
  </si>
  <si>
    <t>Gg Swadaya 3 Jl Andir No 32/78 03/09 Ciroyom Andir</t>
  </si>
  <si>
    <t>088975021163</t>
  </si>
  <si>
    <t>Ayah,Ibu,Kakak</t>
  </si>
  <si>
    <t>IVAN JUARSA</t>
  </si>
  <si>
    <t>SRI AJENG BUDIARTI</t>
  </si>
  <si>
    <t xml:space="preserve">SMPN 23 Bandung </t>
  </si>
  <si>
    <t>42.3</t>
  </si>
  <si>
    <t>wulan</t>
  </si>
  <si>
    <t>garut</t>
  </si>
  <si>
    <t>Jl.NUSA INDAH I NO 43 02/17 MELONG CIMAHI SELATAN</t>
  </si>
  <si>
    <t>Jl. NUSA INDAH I</t>
  </si>
  <si>
    <t>085938602764</t>
  </si>
  <si>
    <t xml:space="preserve">AHMAD KAMIL </t>
  </si>
  <si>
    <t xml:space="preserve">MALIAH </t>
  </si>
  <si>
    <t>Yuli</t>
  </si>
  <si>
    <t>Ciamis</t>
  </si>
  <si>
    <t>Sukamanah 26/11 Sindangsari Kawali</t>
  </si>
  <si>
    <t>Sukamanah</t>
  </si>
  <si>
    <t>Sindangsari</t>
  </si>
  <si>
    <t>Kawali</t>
  </si>
  <si>
    <t>082321961840</t>
  </si>
  <si>
    <t>AHMAD HIDAYAT</t>
  </si>
  <si>
    <t>SITI MAESAROH</t>
  </si>
  <si>
    <t>ZACKY</t>
  </si>
  <si>
    <t>INDONESIA,SUNDA</t>
  </si>
  <si>
    <t>JL MELONG BLOK SAKOLA 02/07 MELONG CIMAHI SELATAN</t>
  </si>
  <si>
    <t>083133070004</t>
  </si>
  <si>
    <t>DODI ANGGARA</t>
  </si>
  <si>
    <t>WIDA ROSIDA</t>
  </si>
  <si>
    <t>Zahro</t>
  </si>
  <si>
    <t>JL MUKODAR DALAM NO 25 01/08 CIBEREUM CIMAHI SELATAN</t>
  </si>
  <si>
    <t>MUKODAR DALAM</t>
  </si>
  <si>
    <t>08991780277</t>
  </si>
  <si>
    <t>MUHAMMAD SYAHIFIM</t>
  </si>
  <si>
    <t>AI ROSMAWATI</t>
  </si>
  <si>
    <t>SMP ASSHIDDIQIYAH KARANGPAWITAN</t>
  </si>
  <si>
    <t>121202528157320</t>
  </si>
  <si>
    <t>Zaki</t>
  </si>
  <si>
    <t>016</t>
  </si>
  <si>
    <t>Babakan Cibaligo</t>
  </si>
  <si>
    <t>082126044276</t>
  </si>
  <si>
    <t>ASEP MUSLIM</t>
  </si>
  <si>
    <t xml:space="preserve">MIMIN MINTARSIH </t>
  </si>
  <si>
    <t>SMP Dharma Kartini</t>
  </si>
  <si>
    <t>ZASKIA</t>
  </si>
  <si>
    <t>Jl. Sindang Sari06/26 Melong Cimahi Selatan</t>
  </si>
  <si>
    <t>081319053104</t>
  </si>
  <si>
    <t xml:space="preserve">ADE MUHAMMAD </t>
  </si>
  <si>
    <t>Zhidan</t>
  </si>
  <si>
    <t>INDONESIA/SUNDA</t>
  </si>
  <si>
    <t>Jl Leuweung Gede 06/11 Cibereum Cimahi Selatan</t>
  </si>
  <si>
    <t>0895359785025</t>
  </si>
  <si>
    <t>DIKI ROHIMAT</t>
  </si>
  <si>
    <t>NOPI TRIYANTI</t>
  </si>
  <si>
    <t>jira/aya</t>
  </si>
  <si>
    <t>Cianjur</t>
  </si>
  <si>
    <t>KOMP. BUMI ASRI NO. 56 06/05 GEMPOL SARI BANDUNG KULON</t>
  </si>
  <si>
    <t>bumi asri</t>
  </si>
  <si>
    <t>087742295275</t>
  </si>
  <si>
    <t>INDRA FARDIANSYAH</t>
  </si>
  <si>
    <t>YAYUK PUJI MULYANINGSIH</t>
  </si>
  <si>
    <t>mts yanuri annamira</t>
  </si>
  <si>
    <t>ZIDAN</t>
  </si>
  <si>
    <t>Blok Cikendal 03/05 Melong Cimahi Selatan</t>
  </si>
  <si>
    <t>cikendal</t>
  </si>
  <si>
    <t>085314982391</t>
  </si>
  <si>
    <t>HERMAWAN HEDY</t>
  </si>
  <si>
    <t>sltp/sederajat</t>
  </si>
  <si>
    <t>smp almasudiyah</t>
  </si>
  <si>
    <t>IYANG</t>
  </si>
  <si>
    <t>KP Jati 01/02 Nanjung Margaasih</t>
  </si>
  <si>
    <t xml:space="preserve">NANJUNG </t>
  </si>
  <si>
    <t>083120482465</t>
  </si>
  <si>
    <t>ASEP RAHMAT HIDAYAT</t>
  </si>
  <si>
    <t xml:space="preserve">ERNA OKTAVIANI SUSYANTI </t>
  </si>
  <si>
    <t>Jl. Melong Raya No. 172 Tlp. 022 6010934 Cijerah - Cimahi selatan 40534</t>
  </si>
  <si>
    <t>web : www.sman6cimahi.sch.id ; email : sma6cimahi@yahoo.com</t>
  </si>
  <si>
    <t>NSS : 301020903016 - NPSN : 20224108</t>
  </si>
  <si>
    <t>DAFTAR SISWA</t>
  </si>
  <si>
    <t>TAHUN PELAJARAN 2019/2020</t>
  </si>
  <si>
    <t xml:space="preserve">KELAS XII IPS 1 </t>
  </si>
  <si>
    <t xml:space="preserve">WALI KELAS : </t>
  </si>
  <si>
    <t>NO</t>
  </si>
  <si>
    <t>ASAL KELAS</t>
  </si>
  <si>
    <t>KET</t>
  </si>
  <si>
    <t xml:space="preserve">0023519774 </t>
  </si>
  <si>
    <t>X'IIS.5</t>
  </si>
  <si>
    <t>AKMAL ABDUL ARIK</t>
  </si>
  <si>
    <t>SMP NEGERI 23 BANDUNG</t>
  </si>
  <si>
    <t>XI.IPS.1</t>
  </si>
  <si>
    <t xml:space="preserve">0021254757 </t>
  </si>
  <si>
    <t>X'S.1</t>
  </si>
  <si>
    <t>ALIYAH ZAHRA FITRIA</t>
  </si>
  <si>
    <t>XI.IPS.2</t>
  </si>
  <si>
    <t xml:space="preserve">0022375564 </t>
  </si>
  <si>
    <t>X'S.4</t>
  </si>
  <si>
    <t>ANITA DIAN VANESA</t>
  </si>
  <si>
    <t>XI.IPS.3</t>
  </si>
  <si>
    <t xml:space="preserve">0021899558 </t>
  </si>
  <si>
    <t>X'S.2</t>
  </si>
  <si>
    <t>ANNISA SHOLEHATI</t>
  </si>
  <si>
    <t>XI.IPS.4</t>
  </si>
  <si>
    <t xml:space="preserve">0010546159 </t>
  </si>
  <si>
    <t>X'S.3</t>
  </si>
  <si>
    <t>ARGI SEPTI ALAMSYAH</t>
  </si>
  <si>
    <t>XI.IPS.5</t>
  </si>
  <si>
    <t xml:space="preserve">0020830227 </t>
  </si>
  <si>
    <t>ARTHA NATAHAMIDJAJA S</t>
  </si>
  <si>
    <t>SMP NEGERI 10 CIMAHI</t>
  </si>
  <si>
    <t xml:space="preserve">0022384199 </t>
  </si>
  <si>
    <t>DESI FITRIANTI LESTARI</t>
  </si>
  <si>
    <t xml:space="preserve">0026198483 </t>
  </si>
  <si>
    <t>DIANDRA MAHARANI REZAPUTRI F</t>
  </si>
  <si>
    <t>SMP NEGERI 3 MARGAHAYU</t>
  </si>
  <si>
    <t xml:space="preserve">Daftar Tunggu </t>
  </si>
  <si>
    <t xml:space="preserve">0017053964 </t>
  </si>
  <si>
    <t>ESTER KOMALA</t>
  </si>
  <si>
    <t>SMP NEGERI 4 CMAHI</t>
  </si>
  <si>
    <t>Dinda Ayu Zharfa</t>
  </si>
  <si>
    <t xml:space="preserve">0015697332 </t>
  </si>
  <si>
    <t>FAHMI ASEP RAHMAN</t>
  </si>
  <si>
    <t>Muhammad Rafi Shiddiq</t>
  </si>
  <si>
    <t xml:space="preserve">0028533793 </t>
  </si>
  <si>
    <t>FANDAN NIKE CITRA AURIL</t>
  </si>
  <si>
    <t>Adie Dinatha</t>
  </si>
  <si>
    <t>Lunas</t>
  </si>
  <si>
    <t xml:space="preserve">0015856011 </t>
  </si>
  <si>
    <t>FARAH CANTIKA WIDIANTY</t>
  </si>
  <si>
    <t>Mochammad Ridwan</t>
  </si>
  <si>
    <t xml:space="preserve">0005340265 </t>
  </si>
  <si>
    <t>FEBRIO VALENTINO</t>
  </si>
  <si>
    <t>SMP NEGERI 25 BANDUNG</t>
  </si>
  <si>
    <t>Mochamad Ra'fi Rinaldi</t>
  </si>
  <si>
    <t xml:space="preserve">0020756993 </t>
  </si>
  <si>
    <t>INDI WARISNA YULIANA</t>
  </si>
  <si>
    <t>SMP PGRI 1 CIMAHI</t>
  </si>
  <si>
    <t>RIZKI TAUFIK NUGRAHA</t>
  </si>
  <si>
    <t xml:space="preserve">0028511650 </t>
  </si>
  <si>
    <t>INEKE SHINTIA DEWI</t>
  </si>
  <si>
    <t>SMP NEGERI 15 BANDUNG</t>
  </si>
  <si>
    <t xml:space="preserve">0021832405 </t>
  </si>
  <si>
    <t>INGGIT SRI CHAYUNI</t>
  </si>
  <si>
    <t xml:space="preserve">0001391245 </t>
  </si>
  <si>
    <t>IRMAN HERDIANSYAH</t>
  </si>
  <si>
    <t xml:space="preserve">0021832476 </t>
  </si>
  <si>
    <t>JOSHUA MUHAMAD FURQON</t>
  </si>
  <si>
    <t xml:space="preserve">0028628148 </t>
  </si>
  <si>
    <t>JUANTI YATMIKA</t>
  </si>
  <si>
    <t xml:space="preserve">0025794376 </t>
  </si>
  <si>
    <t>LOGAN AL RAHMAN</t>
  </si>
  <si>
    <t xml:space="preserve">0014819943 </t>
  </si>
  <si>
    <t>MUAMAR MUHAMMAD AJALI</t>
  </si>
  <si>
    <t xml:space="preserve">0019175805 </t>
  </si>
  <si>
    <t>MUHAMMAD ALFADILLAH MAHPUD</t>
  </si>
  <si>
    <t xml:space="preserve">0022192519 </t>
  </si>
  <si>
    <t>MUHAMMAD LUTHFAN RAMADHAN</t>
  </si>
  <si>
    <t xml:space="preserve">0024409918 </t>
  </si>
  <si>
    <t>MUR DAFFA KRESNA</t>
  </si>
  <si>
    <t xml:space="preserve">0021498805 </t>
  </si>
  <si>
    <t>NIDA ALAWIYAH</t>
  </si>
  <si>
    <t xml:space="preserve">0024888397 </t>
  </si>
  <si>
    <t>PIPIT INDRIYANI SAVITRI</t>
  </si>
  <si>
    <t xml:space="preserve">0021832469 </t>
  </si>
  <si>
    <t>PUTRI LIYANI</t>
  </si>
  <si>
    <t xml:space="preserve">0021419020 </t>
  </si>
  <si>
    <t>RAMZI SHOBARUDDIN</t>
  </si>
  <si>
    <t xml:space="preserve">0027737267 </t>
  </si>
  <si>
    <t>RENDRI ZIDNY BAITUZAHRA</t>
  </si>
  <si>
    <t>SMP NEGERI 6 BANDUNG</t>
  </si>
  <si>
    <t xml:space="preserve">0023519650 </t>
  </si>
  <si>
    <t>REVI FRESTYA YOSIANA</t>
  </si>
  <si>
    <t>SMP NEGERI 2 PADALARANG</t>
  </si>
  <si>
    <t xml:space="preserve">0021899566 </t>
  </si>
  <si>
    <t>RISMI SETIANI RUBY</t>
  </si>
  <si>
    <t xml:space="preserve">0021498979 </t>
  </si>
  <si>
    <t>SELYA ALTISA NUR ASY-SYIFA</t>
  </si>
  <si>
    <t>SMP NEGERI 6 CIMAHI</t>
  </si>
  <si>
    <t xml:space="preserve">0015697434 </t>
  </si>
  <si>
    <t>SHANDY SAEPUL IHSAN</t>
  </si>
  <si>
    <t xml:space="preserve">0022375998 </t>
  </si>
  <si>
    <t>SOPHIE ANDRIANI HABIBAH</t>
  </si>
  <si>
    <t>SMP NEGERI 36 BANDUNG</t>
  </si>
  <si>
    <t xml:space="preserve">0022639352 </t>
  </si>
  <si>
    <t>SYAILA RAHMA</t>
  </si>
  <si>
    <t xml:space="preserve">0014830324 </t>
  </si>
  <si>
    <t>TWEEDE RHAMADANIAR SUBAGIO</t>
  </si>
  <si>
    <t>LAKI-LAKI</t>
  </si>
  <si>
    <t>PEREMPUAN</t>
  </si>
  <si>
    <t>KEPALA SEKOLAH</t>
  </si>
  <si>
    <t>CIMAHI,.....................................</t>
  </si>
  <si>
    <t>Drs. MAMAN JAJAT, M.Pd.</t>
  </si>
  <si>
    <t>NIP. 196203051991031005</t>
  </si>
  <si>
    <t xml:space="preserve">KELAS XII IPS 2 </t>
  </si>
  <si>
    <t xml:space="preserve">0021498815 </t>
  </si>
  <si>
    <t>AJI WIGUNA</t>
  </si>
  <si>
    <t xml:space="preserve">0011267243 </t>
  </si>
  <si>
    <t>ANISA TIARA FITRI</t>
  </si>
  <si>
    <t xml:space="preserve">0020757330 </t>
  </si>
  <si>
    <t>APRILLIANTY AZZAHRA</t>
  </si>
  <si>
    <t xml:space="preserve">0015697374 </t>
  </si>
  <si>
    <t>AZIJAH NUR HASANAH ROSTIANI</t>
  </si>
  <si>
    <t xml:space="preserve">0022310198 </t>
  </si>
  <si>
    <t>DARRELL SYABIAN ROMERO</t>
  </si>
  <si>
    <t xml:space="preserve">0020633418 </t>
  </si>
  <si>
    <t>DESSYLVA FITRIA PUDJAWATIE</t>
  </si>
  <si>
    <t xml:space="preserve">0010529878 </t>
  </si>
  <si>
    <t>DICKY TRIANA</t>
  </si>
  <si>
    <t xml:space="preserve">0023519624 </t>
  </si>
  <si>
    <t>EGI FIRMANSYAH</t>
  </si>
  <si>
    <t xml:space="preserve">0022639344 </t>
  </si>
  <si>
    <t>EGLAN PRADIPTA</t>
  </si>
  <si>
    <t xml:space="preserve">0016395361 </t>
  </si>
  <si>
    <t>ERINA SURYANI</t>
  </si>
  <si>
    <t xml:space="preserve">0021498801 </t>
  </si>
  <si>
    <t>ESTI APRILIANI</t>
  </si>
  <si>
    <t xml:space="preserve">0027177054 </t>
  </si>
  <si>
    <t>FAJAR DWI PANGESTU</t>
  </si>
  <si>
    <t xml:space="preserve">0038229115 </t>
  </si>
  <si>
    <t xml:space="preserve">FRETY FAUZIAH </t>
  </si>
  <si>
    <t>MTs NEGERI 1 BANDUNG</t>
  </si>
  <si>
    <t xml:space="preserve">0025011314 </t>
  </si>
  <si>
    <t>GHANI BAGUS SAJIWO</t>
  </si>
  <si>
    <t>SMP NEGERI 26 BANDUNG</t>
  </si>
  <si>
    <t xml:space="preserve">0022096125 </t>
  </si>
  <si>
    <t>HILMI HAMZAH</t>
  </si>
  <si>
    <t>SMP NEGERI 47 BANDUNG</t>
  </si>
  <si>
    <t xml:space="preserve">0025744813 </t>
  </si>
  <si>
    <t>IKBAL MAULANA</t>
  </si>
  <si>
    <t xml:space="preserve">0023163407 </t>
  </si>
  <si>
    <t>IKLIMA MEILATUFI AMANATUL FIRDAUSHA</t>
  </si>
  <si>
    <t xml:space="preserve">0026051561 </t>
  </si>
  <si>
    <t>INEZ DEWANTI</t>
  </si>
  <si>
    <t xml:space="preserve">0022875496 </t>
  </si>
  <si>
    <t>INTAN FAYSA FARADILLA</t>
  </si>
  <si>
    <t xml:space="preserve">0024465273 </t>
  </si>
  <si>
    <t>MEISYA LISNAWATI ANGGRAENI</t>
  </si>
  <si>
    <t xml:space="preserve">0015787803 </t>
  </si>
  <si>
    <t>MOHAMAD MIFTAHUL HASAN</t>
  </si>
  <si>
    <t xml:space="preserve">0017808836 </t>
  </si>
  <si>
    <t>MUHAMMAD MAULANA YUSUF</t>
  </si>
  <si>
    <t xml:space="preserve">0011789839 </t>
  </si>
  <si>
    <t>MUHAMMAD RAAFI FAJRI</t>
  </si>
  <si>
    <t>SMP NEGERI 29 BANDUNG</t>
  </si>
  <si>
    <t xml:space="preserve">0027187119 </t>
  </si>
  <si>
    <t>NENG NURI AMALIA</t>
  </si>
  <si>
    <t xml:space="preserve">0015773644 </t>
  </si>
  <si>
    <t>NOVI INTAN TIANA</t>
  </si>
  <si>
    <t xml:space="preserve">0014819652 </t>
  </si>
  <si>
    <t>OSMA OKTAVIANI</t>
  </si>
  <si>
    <t xml:space="preserve">0015251100 </t>
  </si>
  <si>
    <t>RAFA AISHA PUTRI SURYANA</t>
  </si>
  <si>
    <t>MTs AL ISTIQOMAH</t>
  </si>
  <si>
    <t xml:space="preserve">0015210082 </t>
  </si>
  <si>
    <t xml:space="preserve">ROFI UMMIYYAH </t>
  </si>
  <si>
    <t xml:space="preserve">0015623664 </t>
  </si>
  <si>
    <t>RYAN ISKANDAR PRATAMA</t>
  </si>
  <si>
    <t xml:space="preserve">0024932629 </t>
  </si>
  <si>
    <t>SABILA MUFIDAH</t>
  </si>
  <si>
    <t xml:space="preserve">0015697368 </t>
  </si>
  <si>
    <t>SHAFA LUTHFIAH NURLAELI</t>
  </si>
  <si>
    <t xml:space="preserve">0020757768 </t>
  </si>
  <si>
    <t>SHAFIRA PRATIWI SULISTYAWATI</t>
  </si>
  <si>
    <t xml:space="preserve">0021832573 </t>
  </si>
  <si>
    <t>SILVA NURIANTY</t>
  </si>
  <si>
    <t xml:space="preserve">0001289255 </t>
  </si>
  <si>
    <t xml:space="preserve">SYIFA NABILLAH </t>
  </si>
  <si>
    <t xml:space="preserve">0014819955 </t>
  </si>
  <si>
    <t>WIDYA NUR HIDAYAH</t>
  </si>
  <si>
    <t xml:space="preserve">0023197688 </t>
  </si>
  <si>
    <t>YUGA WIJAKSANA</t>
  </si>
  <si>
    <t xml:space="preserve">KELAS XII IPS 3 </t>
  </si>
  <si>
    <t xml:space="preserve">WALI KELAS </t>
  </si>
  <si>
    <t xml:space="preserve">0014830088 </t>
  </si>
  <si>
    <t>AHMAD NUR IQSAN</t>
  </si>
  <si>
    <t>SMP MUSLIMIN CIBEUREUM</t>
  </si>
  <si>
    <t xml:space="preserve">0017822128 </t>
  </si>
  <si>
    <t>ANITA DEWI</t>
  </si>
  <si>
    <t xml:space="preserve">0023455542 </t>
  </si>
  <si>
    <t>ANNISA LUTHFIANTI SOLIHAT S</t>
  </si>
  <si>
    <t xml:space="preserve">0010512806 </t>
  </si>
  <si>
    <t>ARI HARIADI PERMANA</t>
  </si>
  <si>
    <t xml:space="preserve">0020149142 </t>
  </si>
  <si>
    <t>ASYFA NUR JANAH</t>
  </si>
  <si>
    <t xml:space="preserve">0020300153 </t>
  </si>
  <si>
    <t>DELLA MARVINA</t>
  </si>
  <si>
    <t>0020633057</t>
  </si>
  <si>
    <t xml:space="preserve">DETIA AMANDA </t>
  </si>
  <si>
    <t xml:space="preserve">0015754961 </t>
  </si>
  <si>
    <t>EVI FITRIANI</t>
  </si>
  <si>
    <t xml:space="preserve">0014819659 </t>
  </si>
  <si>
    <t>FAISAL RAMDAN</t>
  </si>
  <si>
    <t xml:space="preserve">0022639709 </t>
  </si>
  <si>
    <t>FAJAR KURNIA NUGRAHA</t>
  </si>
  <si>
    <t xml:space="preserve">0027591049 </t>
  </si>
  <si>
    <t>FATHIA FARHATUNNISSA</t>
  </si>
  <si>
    <t xml:space="preserve">0015754922 </t>
  </si>
  <si>
    <t>HENDRI PRASETYA WANDI</t>
  </si>
  <si>
    <t xml:space="preserve">0029804917 </t>
  </si>
  <si>
    <t>IKBAL NUDIN</t>
  </si>
  <si>
    <t xml:space="preserve">0020757399 </t>
  </si>
  <si>
    <t>INEZ OKTAVIANI</t>
  </si>
  <si>
    <t xml:space="preserve">0020757288 </t>
  </si>
  <si>
    <t>INTAN NUR ANNISA</t>
  </si>
  <si>
    <t xml:space="preserve">0022639363 </t>
  </si>
  <si>
    <t>IRHAS DANIAL ARSY</t>
  </si>
  <si>
    <t xml:space="preserve">0023257319 </t>
  </si>
  <si>
    <t>KARISMA PARDES</t>
  </si>
  <si>
    <t xml:space="preserve">0014819964 </t>
  </si>
  <si>
    <t>LAILA NUR FITRIA</t>
  </si>
  <si>
    <t xml:space="preserve">0017118240 </t>
  </si>
  <si>
    <t>MUHAMMAD DANDI JUANDA</t>
  </si>
  <si>
    <t xml:space="preserve">0027909055 </t>
  </si>
  <si>
    <t>MUHAMMAD NAUFAL AWIYOKO</t>
  </si>
  <si>
    <t xml:space="preserve">0024982141 </t>
  </si>
  <si>
    <t>NABIEL DUTA RIZQI SOLEHUDIN</t>
  </si>
  <si>
    <t xml:space="preserve">0021498277 </t>
  </si>
  <si>
    <t xml:space="preserve">0015957446 </t>
  </si>
  <si>
    <t>OKSHA PERMETI</t>
  </si>
  <si>
    <t xml:space="preserve">0026051501 </t>
  </si>
  <si>
    <t>PUTRI DAMAYANTI PERMATASARI</t>
  </si>
  <si>
    <t xml:space="preserve">0026619414 </t>
  </si>
  <si>
    <t>RAIHAN AKMAL</t>
  </si>
  <si>
    <t xml:space="preserve">0015697339 </t>
  </si>
  <si>
    <t>RAMADHAN ADITYA NUGRAHA</t>
  </si>
  <si>
    <t xml:space="preserve">0023664918 </t>
  </si>
  <si>
    <t>RIANTI KARYA GUMILANG</t>
  </si>
  <si>
    <t xml:space="preserve">0022350550 </t>
  </si>
  <si>
    <t>SALSABILA RIRIN AGUSTINI</t>
  </si>
  <si>
    <t>MTs DARUL MAARIF</t>
  </si>
  <si>
    <t xml:space="preserve">0027578917 </t>
  </si>
  <si>
    <t>SITI WINDI SAFITRI</t>
  </si>
  <si>
    <t xml:space="preserve">0005899757 </t>
  </si>
  <si>
    <t>SIVA INDRIYANI</t>
  </si>
  <si>
    <t>SMP MULIMIN CIBEUREUM</t>
  </si>
  <si>
    <t xml:space="preserve">0029237746 </t>
  </si>
  <si>
    <t>SYAFIRA YULIANI</t>
  </si>
  <si>
    <t xml:space="preserve">0020757287 </t>
  </si>
  <si>
    <t>SYAHLA HUWAIDA ACHYAR</t>
  </si>
  <si>
    <t xml:space="preserve">0027079566 </t>
  </si>
  <si>
    <t>TRIA SITI NURJANAH</t>
  </si>
  <si>
    <t xml:space="preserve">0020757353 </t>
  </si>
  <si>
    <t>ZEIN MALIKI</t>
  </si>
  <si>
    <t>0022310179</t>
  </si>
  <si>
    <t>MUHAMMAD RAFI SHIDIQ</t>
  </si>
  <si>
    <t>SMPN 11 BANDUNG</t>
  </si>
  <si>
    <t>0022281222</t>
  </si>
  <si>
    <t>ADIE DINATHA</t>
  </si>
  <si>
    <t>SMP  YWKA BANDUNG</t>
  </si>
  <si>
    <t xml:space="preserve">KELAS XII IPS 4 </t>
  </si>
  <si>
    <t>WALI KELAS :</t>
  </si>
  <si>
    <t xml:space="preserve">0024323872 </t>
  </si>
  <si>
    <t>ADE SIFA</t>
  </si>
  <si>
    <t>SMP YPKKP BANDUNG</t>
  </si>
  <si>
    <t xml:space="preserve">0020757396 </t>
  </si>
  <si>
    <t>ANANDA TRIA KUSUMA</t>
  </si>
  <si>
    <t xml:space="preserve">0023455574 </t>
  </si>
  <si>
    <t>ANNISA NOVIYANTI</t>
  </si>
  <si>
    <t xml:space="preserve">0020168609 </t>
  </si>
  <si>
    <t>AULIA FATMA</t>
  </si>
  <si>
    <t>SMP N 41 BANDUNG</t>
  </si>
  <si>
    <t xml:space="preserve">0021832462 </t>
  </si>
  <si>
    <t>BAGAS WIDIANTO</t>
  </si>
  <si>
    <t xml:space="preserve">0021832498 </t>
  </si>
  <si>
    <t>DAELI ANNA PUTRIFOSA</t>
  </si>
  <si>
    <t xml:space="preserve">0010302604 </t>
  </si>
  <si>
    <t>DINI AGUSTINI</t>
  </si>
  <si>
    <t xml:space="preserve">0146186154 </t>
  </si>
  <si>
    <t>DWIKY MUHAMMAD TEGAR</t>
  </si>
  <si>
    <t xml:space="preserve">0022639693 </t>
  </si>
  <si>
    <t>FADLI ARDIANSYAH KUSUMAH</t>
  </si>
  <si>
    <t xml:space="preserve">0023455332 </t>
  </si>
  <si>
    <t>FATHAN ALVIVA FAMARA</t>
  </si>
  <si>
    <t xml:space="preserve">0029075713 </t>
  </si>
  <si>
    <t>FRISCA ANANDHITA</t>
  </si>
  <si>
    <t xml:space="preserve">0015697401 </t>
  </si>
  <si>
    <t>HANA NURISMAN</t>
  </si>
  <si>
    <t xml:space="preserve">0021832585 </t>
  </si>
  <si>
    <t>IFFA TAZKIA JULIANTI</t>
  </si>
  <si>
    <t xml:space="preserve">0016640267 </t>
  </si>
  <si>
    <t>ILHAM RAMANDHA PUTRA</t>
  </si>
  <si>
    <t xml:space="preserve">0022375596 </t>
  </si>
  <si>
    <t>KESY HAROMIYANI</t>
  </si>
  <si>
    <t>SMP NEGERI 2 PANGKALAN</t>
  </si>
  <si>
    <t>MIA YULIANTI</t>
  </si>
  <si>
    <t>MTs AL AMANAH</t>
  </si>
  <si>
    <t xml:space="preserve">0021832480 </t>
  </si>
  <si>
    <t>MUHAMAD IRGI</t>
  </si>
  <si>
    <t xml:space="preserve">0013023188 </t>
  </si>
  <si>
    <t>MUHAMMAD HASBI ALFARISI</t>
  </si>
  <si>
    <t xml:space="preserve">0022310187 </t>
  </si>
  <si>
    <t>MUHAMMAD ROHMANI ADDIE</t>
  </si>
  <si>
    <t xml:space="preserve">0000060991 </t>
  </si>
  <si>
    <t>PAJAR PADLILAAH</t>
  </si>
  <si>
    <t xml:space="preserve">0019448530 </t>
  </si>
  <si>
    <t>RIJKI RAMDANI</t>
  </si>
  <si>
    <t>0022619846</t>
  </si>
  <si>
    <t>SAFFIRA APRIANI</t>
  </si>
  <si>
    <t>SMP NEGERI 1 CILEUNYI</t>
  </si>
  <si>
    <t xml:space="preserve">0027335869 </t>
  </si>
  <si>
    <t>SEFTIANA ANGGARA</t>
  </si>
  <si>
    <t xml:space="preserve">0028471963 </t>
  </si>
  <si>
    <t>SIGALINGGING ARNOLD SUPRIYADI</t>
  </si>
  <si>
    <t xml:space="preserve">0028321695 </t>
  </si>
  <si>
    <t>SISKA WIDIANINGSIH</t>
  </si>
  <si>
    <t xml:space="preserve">0020757354 </t>
  </si>
  <si>
    <t>SUSILAWATI</t>
  </si>
  <si>
    <t>MTs A-ISTIKOMAH</t>
  </si>
  <si>
    <t xml:space="preserve">0021254747 </t>
  </si>
  <si>
    <t>TRINITA HERLIANA PUTRI</t>
  </si>
  <si>
    <t xml:space="preserve">0027173029 </t>
  </si>
  <si>
    <t>YOSEPH AFRYANDI SAPUTRA</t>
  </si>
  <si>
    <t xml:space="preserve">0015754926 </t>
  </si>
  <si>
    <t>YULIANINGRUM</t>
  </si>
  <si>
    <t xml:space="preserve">0018478500 </t>
  </si>
  <si>
    <t>ZHAIMA SARAH GINA</t>
  </si>
  <si>
    <t>0021832519</t>
  </si>
  <si>
    <t>MOCHAMMAD RIDWAN</t>
  </si>
  <si>
    <t>0022699654</t>
  </si>
  <si>
    <t>MOCHAMMAD RA'FI RINALDI</t>
  </si>
  <si>
    <t>SMP NEGERI 1 MANDAU</t>
  </si>
  <si>
    <t xml:space="preserve">KELAS XII IPS 5 </t>
  </si>
  <si>
    <t xml:space="preserve">0025782412 </t>
  </si>
  <si>
    <t xml:space="preserve">ALISA APRILIANI </t>
  </si>
  <si>
    <t xml:space="preserve">0017113306 </t>
  </si>
  <si>
    <t>AMELIA SEPTIANI</t>
  </si>
  <si>
    <t xml:space="preserve">0026940064 </t>
  </si>
  <si>
    <t xml:space="preserve">ANDHIKA ARDIANSYAH </t>
  </si>
  <si>
    <t xml:space="preserve">0023530965 </t>
  </si>
  <si>
    <t>ANGGI NICO JUNIARKO SILALAHI</t>
  </si>
  <si>
    <t xml:space="preserve">0021899501 </t>
  </si>
  <si>
    <t xml:space="preserve">ANNISA RIYANI DEWI </t>
  </si>
  <si>
    <t xml:space="preserve">0023535270 </t>
  </si>
  <si>
    <t>ARGEN MUHAMAD ADLI</t>
  </si>
  <si>
    <t xml:space="preserve">0015754957 </t>
  </si>
  <si>
    <t>ARUM AMALIA</t>
  </si>
  <si>
    <t xml:space="preserve">0023535292 </t>
  </si>
  <si>
    <t>AUDREY RACHELLI SENJAYA</t>
  </si>
  <si>
    <t xml:space="preserve">0014699830 </t>
  </si>
  <si>
    <t>BULAN TRISNA HAPSARI</t>
  </si>
  <si>
    <t xml:space="preserve">0020633068 </t>
  </si>
  <si>
    <t>DINA AULIA HIDAYATILLAH</t>
  </si>
  <si>
    <t xml:space="preserve">0017448559 </t>
  </si>
  <si>
    <t>EVA AFRIANI</t>
  </si>
  <si>
    <t xml:space="preserve">0023307921 </t>
  </si>
  <si>
    <t>GINA RAHMAWATI</t>
  </si>
  <si>
    <t xml:space="preserve">0021498807 </t>
  </si>
  <si>
    <t>GITA APRILIA</t>
  </si>
  <si>
    <t xml:space="preserve">9998612084 </t>
  </si>
  <si>
    <t>HARIS KURNIA</t>
  </si>
  <si>
    <t xml:space="preserve">0020756806 </t>
  </si>
  <si>
    <t>JOY FERNANDO SAGALA</t>
  </si>
  <si>
    <t xml:space="preserve">0027180823 </t>
  </si>
  <si>
    <t>JUAN HARLI P. LUMBAN TORUAN</t>
  </si>
  <si>
    <t>SMP ADVENT CIMINDI</t>
  </si>
  <si>
    <t xml:space="preserve">0010427436 </t>
  </si>
  <si>
    <t>MOCHAMAD FAHRIEL MAULANA</t>
  </si>
  <si>
    <t xml:space="preserve">0025575301 </t>
  </si>
  <si>
    <t>MUHAMMAD RAIHAN HAFIZIN</t>
  </si>
  <si>
    <t xml:space="preserve">0023778040 </t>
  </si>
  <si>
    <t>MUHAMMAD RIZKY RAMADHAN</t>
  </si>
  <si>
    <t xml:space="preserve">0024271581 </t>
  </si>
  <si>
    <t>MUTIARA HANUM CENDANA</t>
  </si>
  <si>
    <t xml:space="preserve">0022681288 </t>
  </si>
  <si>
    <t>NISA KARIMATUL WAHIDAH</t>
  </si>
  <si>
    <t>SMP NEGERI 43 BANDUNG</t>
  </si>
  <si>
    <t xml:space="preserve">0029322893 </t>
  </si>
  <si>
    <t xml:space="preserve">NOVITA ASTRIAWAN </t>
  </si>
  <si>
    <t xml:space="preserve">0022639790 </t>
  </si>
  <si>
    <t xml:space="preserve">PUTRIE AULYA MAULYA SARIE </t>
  </si>
  <si>
    <t xml:space="preserve">0018458006 </t>
  </si>
  <si>
    <t>RAVIKAL AVILA RIFALDI</t>
  </si>
  <si>
    <t xml:space="preserve">0002629009 </t>
  </si>
  <si>
    <t>RIKI FIRMANSYAH</t>
  </si>
  <si>
    <t xml:space="preserve">0015439558 </t>
  </si>
  <si>
    <t>RIVALDI FAHMI HANANTA</t>
  </si>
  <si>
    <t xml:space="preserve">0010580227 </t>
  </si>
  <si>
    <t>RIZKY ANWAR MAULANA PUTRA</t>
  </si>
  <si>
    <t xml:space="preserve">0021554424 </t>
  </si>
  <si>
    <t>RUSYDI ABDURROHMAN</t>
  </si>
  <si>
    <t xml:space="preserve">0021832508 </t>
  </si>
  <si>
    <t>SALMA KHALIDA PUTRI</t>
  </si>
  <si>
    <t xml:space="preserve">0017671679 </t>
  </si>
  <si>
    <t>SARAH HANDOYU</t>
  </si>
  <si>
    <t>SMP ANGKASA BANDUNG</t>
  </si>
  <si>
    <t xml:space="preserve">0029225471 </t>
  </si>
  <si>
    <t>TIARA PUSPITA</t>
  </si>
  <si>
    <t xml:space="preserve">0025027406 </t>
  </si>
  <si>
    <t>YULI YULIANI</t>
  </si>
  <si>
    <t xml:space="preserve">0022032319 </t>
  </si>
  <si>
    <t>ZAHWA ANIDAPUTRI</t>
  </si>
  <si>
    <t>0023197681</t>
  </si>
  <si>
    <t>DINDA AYU ZHARFA</t>
  </si>
  <si>
    <t>0022310195</t>
  </si>
  <si>
    <t>MUHAMMAD IRFAN DZAKWAN CARSTENTIO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</si>
</sst>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[$Rp-421]* #,##0_);_([$Rp-421]* \(#,##0\);_([$Rp-421]* \-_);_(@_)"/>
    <numFmt numFmtId="177" formatCode="dd/mm/yyyy"/>
    <numFmt numFmtId="178" formatCode="d\-m\-yyyy"/>
    <numFmt numFmtId="179" formatCode="d\ mmmm\ yyyy"/>
    <numFmt numFmtId="180" formatCode="0_);[Red]\(0\)"/>
    <numFmt numFmtId="181" formatCode="0."/>
  </numFmts>
  <fonts count="92">
    <font>
      <sz val="11"/>
      <color theme="1"/>
      <name val="Calibri"/>
      <charset val="134"/>
    </font>
    <font>
      <sz val="11"/>
      <name val="Calibri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b/>
      <i/>
      <sz val="8"/>
      <name val="Times New Roman"/>
      <charset val="134"/>
    </font>
    <font>
      <sz val="10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color theme="1"/>
      <name val="Calibri"/>
      <charset val="134"/>
    </font>
    <font>
      <u/>
      <sz val="10"/>
      <name val="Calibri"/>
      <charset val="134"/>
    </font>
    <font>
      <sz val="8"/>
      <name val="Calibri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</font>
    <font>
      <sz val="10"/>
      <color rgb="FF000000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Arial"/>
      <charset val="1"/>
    </font>
    <font>
      <b/>
      <sz val="11"/>
      <color theme="1"/>
      <name val="Arial"/>
      <charset val="134"/>
    </font>
    <font>
      <sz val="10"/>
      <color theme="1"/>
      <name val="Arial"/>
      <charset val="1"/>
    </font>
    <font>
      <sz val="10"/>
      <color theme="1"/>
      <name val="Bookman Old Style"/>
      <charset val="134"/>
    </font>
    <font>
      <sz val="10"/>
      <name val="Bookman Old Style"/>
      <charset val="134"/>
    </font>
    <font>
      <sz val="10"/>
      <name val="Arial"/>
      <charset val="1"/>
    </font>
    <font>
      <sz val="10"/>
      <color rgb="FF434343"/>
      <name val="Roboto"/>
      <charset val="134"/>
    </font>
    <font>
      <sz val="10"/>
      <color theme="1"/>
      <name val="Bookman Old Style"/>
      <charset val="1"/>
    </font>
    <font>
      <sz val="10"/>
      <name val="Bookman Old Style"/>
      <charset val="1"/>
    </font>
    <font>
      <sz val="8"/>
      <color theme="1"/>
      <name val="Arial"/>
      <charset val="1"/>
    </font>
    <font>
      <sz val="9"/>
      <name val="Arial"/>
      <charset val="1"/>
    </font>
    <font>
      <sz val="10"/>
      <name val="Berlin Sans FB"/>
      <charset val="1"/>
    </font>
    <font>
      <sz val="10"/>
      <color theme="1"/>
      <name val="Berlin Sans FB"/>
      <charset val="1"/>
    </font>
    <font>
      <sz val="8"/>
      <color theme="1"/>
      <name val="Berlin Sans FB"/>
      <charset val="1"/>
    </font>
    <font>
      <sz val="9"/>
      <name val="Berlin Sans FB"/>
      <charset val="1"/>
    </font>
    <font>
      <b/>
      <sz val="10"/>
      <name val="Arial"/>
      <charset val="1"/>
    </font>
    <font>
      <sz val="10"/>
      <color theme="1"/>
      <name val="Berlin Sans FB"/>
      <charset val="134"/>
    </font>
    <font>
      <sz val="11"/>
      <color theme="1"/>
      <name val="Berlin Sans FB"/>
      <charset val="134"/>
    </font>
    <font>
      <sz val="10"/>
      <color theme="1"/>
      <name val="Cambria"/>
      <charset val="134"/>
    </font>
    <font>
      <sz val="10.5"/>
      <color theme="1"/>
      <name val="Cambria"/>
      <charset val="134"/>
    </font>
    <font>
      <sz val="8"/>
      <color rgb="FF434343"/>
      <name val="Arial"/>
      <charset val="134"/>
    </font>
    <font>
      <sz val="10"/>
      <color theme="1"/>
      <name val="Cambria"/>
      <charset val="1"/>
    </font>
    <font>
      <sz val="10.5"/>
      <color theme="1"/>
      <name val="Cambria"/>
      <charset val="1"/>
    </font>
    <font>
      <sz val="12"/>
      <color theme="1"/>
      <name val="Cambria"/>
      <charset val="1"/>
    </font>
    <font>
      <b/>
      <sz val="16"/>
      <color theme="1"/>
      <name val="Cambria"/>
      <charset val="1"/>
    </font>
    <font>
      <sz val="9"/>
      <color theme="1"/>
      <name val="Cambria"/>
      <charset val="1"/>
    </font>
    <font>
      <b/>
      <sz val="10"/>
      <color theme="1"/>
      <name val="Cambria"/>
      <charset val="1"/>
    </font>
    <font>
      <sz val="10"/>
      <name val="Cambria"/>
      <charset val="1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10.5"/>
      <name val="Cambria"/>
      <charset val="134"/>
    </font>
    <font>
      <sz val="10.5"/>
      <name val="Cambria"/>
      <charset val="1"/>
    </font>
    <font>
      <sz val="11"/>
      <color theme="1"/>
      <name val="Cambria"/>
      <charset val="134"/>
    </font>
    <font>
      <u/>
      <sz val="10"/>
      <color theme="1"/>
      <name val="Cambria"/>
      <charset val="134"/>
    </font>
    <font>
      <sz val="10"/>
      <name val="Cambria"/>
      <charset val="134"/>
    </font>
    <font>
      <sz val="10"/>
      <color theme="1"/>
      <name val="Arial"/>
      <charset val="134"/>
    </font>
    <font>
      <sz val="12"/>
      <color theme="1"/>
      <name val="Arial"/>
      <charset val="1"/>
    </font>
    <font>
      <sz val="12"/>
      <name val="Arial"/>
      <charset val="1"/>
    </font>
    <font>
      <sz val="9"/>
      <name val="Cambria"/>
      <charset val="134"/>
    </font>
    <font>
      <sz val="11"/>
      <color theme="1"/>
      <name val="Cambria"/>
      <charset val="1"/>
    </font>
    <font>
      <sz val="11"/>
      <color theme="1"/>
      <name val="Arial"/>
      <charset val="1"/>
    </font>
    <font>
      <sz val="11"/>
      <name val="Arial"/>
      <charset val="1"/>
    </font>
    <font>
      <u/>
      <sz val="10.5"/>
      <color theme="1"/>
      <name val="Cambria"/>
      <charset val="134"/>
    </font>
    <font>
      <sz val="9"/>
      <color theme="1"/>
      <name val="Cambria"/>
      <charset val="134"/>
    </font>
    <font>
      <sz val="9"/>
      <name val="Cambria"/>
      <charset val="1"/>
    </font>
    <font>
      <sz val="8"/>
      <color theme="1"/>
      <name val="Cambria"/>
      <charset val="1"/>
    </font>
    <font>
      <sz val="8.5"/>
      <color theme="1"/>
      <name val="Cambria"/>
      <charset val="134"/>
    </font>
    <font>
      <sz val="10"/>
      <name val="Arial"/>
      <charset val="134"/>
    </font>
    <font>
      <sz val="9.5"/>
      <name val="Cambria"/>
      <charset val="1"/>
    </font>
    <font>
      <b/>
      <sz val="11"/>
      <color theme="1"/>
      <name val="Cambria"/>
      <charset val="1"/>
    </font>
    <font>
      <sz val="11"/>
      <name val="Cambria"/>
      <charset val="1"/>
    </font>
    <font>
      <b/>
      <sz val="10.5"/>
      <color theme="1"/>
      <name val="Cambria"/>
      <charset val="1"/>
    </font>
    <font>
      <b/>
      <sz val="10"/>
      <color theme="1"/>
      <name val="Cambria"/>
      <charset val="134"/>
    </font>
    <font>
      <b/>
      <sz val="1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</font>
    <font>
      <sz val="11"/>
      <color theme="1"/>
      <name val="Calibri"/>
      <charset val="1"/>
    </font>
  </fonts>
  <fills count="44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FFF66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D0CECE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8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theme="7"/>
        <bgColor rgb="FFFF9900"/>
      </patternFill>
    </fill>
    <fill>
      <patternFill patternType="solid">
        <fgColor theme="5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theme="9" tint="0.4"/>
        <bgColor rgb="FFD0CE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5B3F86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/>
      <bottom style="medium">
        <color rgb="FFF8F9FA"/>
      </bottom>
      <diagonal/>
    </border>
    <border>
      <left/>
      <right style="medium">
        <color rgb="FFF8F9FA"/>
      </right>
      <top/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8F9FA"/>
      </bottom>
      <diagonal/>
    </border>
    <border>
      <left/>
      <right style="medium">
        <color rgb="FFFFFFFF"/>
      </right>
      <top/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/>
      <bottom style="medium">
        <color rgb="FF442F65"/>
      </bottom>
      <diagonal/>
    </border>
    <border>
      <left/>
      <right style="medium">
        <color rgb="FFF8F9FA"/>
      </right>
      <top/>
      <bottom style="medium">
        <color rgb="FF442F6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70C0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63" fillId="0" borderId="0" applyBorder="0" applyAlignment="0" applyProtection="0"/>
    <xf numFmtId="44" fontId="63" fillId="0" borderId="0" applyBorder="0" applyAlignment="0" applyProtection="0"/>
    <xf numFmtId="9" fontId="63" fillId="0" borderId="0" applyBorder="0" applyAlignment="0" applyProtection="0"/>
    <xf numFmtId="41" fontId="63" fillId="0" borderId="0" applyBorder="0" applyAlignment="0" applyProtection="0"/>
    <xf numFmtId="42" fontId="63" fillId="0" borderId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3" borderId="28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7" fillId="0" borderId="29" applyNumberFormat="0" applyFill="0" applyAlignment="0" applyProtection="0">
      <alignment vertical="center"/>
    </xf>
    <xf numFmtId="0" fontId="78" fillId="0" borderId="3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14" borderId="31" applyNumberFormat="0" applyAlignment="0" applyProtection="0">
      <alignment vertical="center"/>
    </xf>
    <xf numFmtId="0" fontId="80" fillId="15" borderId="32" applyNumberFormat="0" applyAlignment="0" applyProtection="0">
      <alignment vertical="center"/>
    </xf>
    <xf numFmtId="0" fontId="81" fillId="15" borderId="31" applyNumberFormat="0" applyAlignment="0" applyProtection="0">
      <alignment vertical="center"/>
    </xf>
    <xf numFmtId="0" fontId="82" fillId="16" borderId="33" applyNumberFormat="0" applyAlignment="0" applyProtection="0">
      <alignment vertical="center"/>
    </xf>
    <xf numFmtId="0" fontId="83" fillId="0" borderId="34" applyNumberFormat="0" applyFill="0" applyAlignment="0" applyProtection="0">
      <alignment vertical="center"/>
    </xf>
    <xf numFmtId="0" fontId="84" fillId="0" borderId="35" applyNumberFormat="0" applyFill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89" fillId="34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0" fillId="0" borderId="0"/>
    <xf numFmtId="0" fontId="91" fillId="0" borderId="0"/>
    <xf numFmtId="0" fontId="91" fillId="0" borderId="0"/>
    <xf numFmtId="0" fontId="21" fillId="0" borderId="0"/>
  </cellStyleXfs>
  <cellXfs count="5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3" xfId="0" applyNumberFormat="1" applyFont="1" applyBorder="1" applyAlignment="1" applyProtection="1">
      <alignment horizontal="left" vertical="center"/>
      <protection locked="0"/>
    </xf>
    <xf numFmtId="1" fontId="5" fillId="0" borderId="2" xfId="0" applyNumberFormat="1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>
      <alignment horizontal="left" vertical="center"/>
    </xf>
    <xf numFmtId="0" fontId="5" fillId="0" borderId="2" xfId="5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9" fillId="0" borderId="2" xfId="0" applyFont="1" applyBorder="1"/>
    <xf numFmtId="0" fontId="1" fillId="0" borderId="2" xfId="0" applyFont="1" applyBorder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0" fillId="0" borderId="0" xfId="0" applyFont="1"/>
    <xf numFmtId="0" fontId="5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176" fontId="7" fillId="2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 applyProtection="1">
      <alignment horizontal="left"/>
      <protection locked="0"/>
    </xf>
    <xf numFmtId="0" fontId="5" fillId="0" borderId="2" xfId="50" applyFont="1" applyBorder="1" applyAlignment="1">
      <alignment vertical="center"/>
    </xf>
    <xf numFmtId="0" fontId="9" fillId="0" borderId="2" xfId="51" applyFont="1" applyBorder="1" applyAlignment="1">
      <alignment vertic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1" fontId="5" fillId="0" borderId="3" xfId="0" applyNumberFormat="1" applyFont="1" applyBorder="1" applyAlignment="1" applyProtection="1">
      <alignment horizontal="left"/>
      <protection locked="0"/>
    </xf>
    <xf numFmtId="0" fontId="5" fillId="4" borderId="4" xfId="0" applyFont="1" applyFill="1" applyBorder="1" applyAlignment="1">
      <alignment horizontal="center"/>
    </xf>
    <xf numFmtId="1" fontId="5" fillId="4" borderId="3" xfId="0" applyNumberFormat="1" applyFont="1" applyFill="1" applyBorder="1" applyAlignment="1" applyProtection="1">
      <alignment horizontal="left"/>
      <protection locked="0"/>
    </xf>
    <xf numFmtId="1" fontId="5" fillId="4" borderId="2" xfId="0" applyNumberFormat="1" applyFont="1" applyFill="1" applyBorder="1" applyAlignment="1" applyProtection="1">
      <alignment horizontal="left" vertical="center"/>
      <protection locked="0"/>
    </xf>
    <xf numFmtId="0" fontId="5" fillId="4" borderId="2" xfId="0" applyFont="1" applyFill="1" applyBorder="1" applyAlignment="1">
      <alignment horizontal="left" vertical="center"/>
    </xf>
    <xf numFmtId="0" fontId="5" fillId="4" borderId="2" xfId="5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5" fillId="0" borderId="7" xfId="0" applyNumberFormat="1" applyFont="1" applyBorder="1" applyAlignment="1" applyProtection="1">
      <alignment horizontal="left"/>
      <protection locked="0"/>
    </xf>
    <xf numFmtId="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left" vertical="center"/>
    </xf>
    <xf numFmtId="0" fontId="5" fillId="0" borderId="8" xfId="5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2" fillId="0" borderId="0" xfId="0" applyFont="1"/>
    <xf numFmtId="0" fontId="0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2" xfId="0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center" vertical="center"/>
    </xf>
    <xf numFmtId="0" fontId="17" fillId="0" borderId="2" xfId="0" applyFont="1" applyBorder="1" applyAlignment="1" applyProtection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58" fontId="0" fillId="2" borderId="9" xfId="0" applyNumberFormat="1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18" fillId="0" borderId="2" xfId="0" applyFont="1" applyBorder="1" applyAlignment="1" applyProtection="1">
      <alignment horizont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/>
    <xf numFmtId="0" fontId="9" fillId="8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58" fontId="9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vertical="center" wrapText="1"/>
    </xf>
    <xf numFmtId="0" fontId="14" fillId="8" borderId="0" xfId="0" applyFont="1" applyFill="1" applyAlignment="1"/>
    <xf numFmtId="0" fontId="0" fillId="5" borderId="0" xfId="0" applyFont="1" applyFill="1" applyAlignment="1">
      <alignment horizontal="center"/>
    </xf>
    <xf numFmtId="0" fontId="18" fillId="5" borderId="2" xfId="0" applyFont="1" applyFill="1" applyBorder="1" applyAlignment="1" applyProtection="1">
      <alignment horizontal="center"/>
    </xf>
    <xf numFmtId="0" fontId="19" fillId="5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1" fillId="5" borderId="2" xfId="0" applyFont="1" applyFill="1" applyBorder="1"/>
    <xf numFmtId="0" fontId="22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58" fontId="9" fillId="5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23" fillId="0" borderId="2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/>
    <xf numFmtId="0" fontId="9" fillId="2" borderId="0" xfId="0" applyFont="1" applyFill="1" applyAlignment="1">
      <alignment vertical="center"/>
    </xf>
    <xf numFmtId="58" fontId="9" fillId="2" borderId="0" xfId="0" applyNumberFormat="1" applyFont="1" applyFill="1" applyAlignment="1">
      <alignment vertical="center"/>
    </xf>
    <xf numFmtId="0" fontId="14" fillId="2" borderId="0" xfId="0" applyFont="1" applyFill="1" applyAlignment="1"/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1" fillId="0" borderId="8" xfId="0" applyFont="1" applyBorder="1"/>
    <xf numFmtId="0" fontId="14" fillId="8" borderId="0" xfId="0" applyFont="1" applyFill="1" applyAlignment="1">
      <alignment horizontal="left"/>
    </xf>
    <xf numFmtId="3" fontId="9" fillId="8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24" fillId="5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0" fontId="23" fillId="5" borderId="2" xfId="0" applyFont="1" applyFill="1" applyBorder="1" applyAlignment="1" applyProtection="1">
      <alignment horizontal="center" vertical="center"/>
    </xf>
    <xf numFmtId="0" fontId="18" fillId="5" borderId="2" xfId="0" applyFont="1" applyFill="1" applyBorder="1" applyAlignment="1" applyProtection="1"/>
    <xf numFmtId="0" fontId="22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58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1" fillId="0" borderId="0" xfId="0" applyFont="1"/>
    <xf numFmtId="0" fontId="22" fillId="5" borderId="0" xfId="0" applyFont="1" applyFill="1" applyAlignment="1">
      <alignment horizontal="right" vertical="center"/>
    </xf>
    <xf numFmtId="0" fontId="22" fillId="8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1" fillId="9" borderId="2" xfId="0" applyFont="1" applyFill="1" applyBorder="1"/>
    <xf numFmtId="0" fontId="9" fillId="9" borderId="0" xfId="0" applyFont="1" applyFill="1" applyAlignment="1">
      <alignment vertical="center"/>
    </xf>
    <xf numFmtId="0" fontId="19" fillId="5" borderId="8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/>
    </xf>
    <xf numFmtId="0" fontId="18" fillId="6" borderId="2" xfId="0" applyFont="1" applyFill="1" applyBorder="1" applyAlignment="1" applyProtection="1">
      <alignment horizontal="center"/>
    </xf>
    <xf numFmtId="0" fontId="19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6" borderId="2" xfId="0" applyFont="1" applyFill="1" applyBorder="1"/>
    <xf numFmtId="0" fontId="22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58" fontId="9" fillId="6" borderId="0" xfId="0" applyNumberFormat="1" applyFont="1" applyFill="1" applyAlignment="1">
      <alignment vertical="center"/>
    </xf>
    <xf numFmtId="0" fontId="22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0" fillId="7" borderId="0" xfId="0" applyFont="1" applyFill="1" applyAlignment="1">
      <alignment horizontal="center"/>
    </xf>
    <xf numFmtId="0" fontId="19" fillId="7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1" fillId="7" borderId="2" xfId="0" applyFont="1" applyFill="1" applyBorder="1"/>
    <xf numFmtId="0" fontId="9" fillId="7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58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4" fillId="7" borderId="0" xfId="0" applyFont="1" applyFill="1" applyAlignment="1"/>
    <xf numFmtId="0" fontId="21" fillId="4" borderId="2" xfId="0" applyFont="1" applyFill="1" applyBorder="1"/>
    <xf numFmtId="0" fontId="9" fillId="4" borderId="11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5" fillId="0" borderId="2" xfId="0" applyFont="1" applyBorder="1" applyAlignment="1" applyProtection="1">
      <alignment vertical="center"/>
    </xf>
    <xf numFmtId="0" fontId="9" fillId="8" borderId="11" xfId="0" applyFont="1" applyFill="1" applyBorder="1" applyAlignment="1">
      <alignment vertical="center"/>
    </xf>
    <xf numFmtId="0" fontId="22" fillId="5" borderId="12" xfId="0" applyFont="1" applyFill="1" applyBorder="1" applyAlignment="1">
      <alignment vertical="center"/>
    </xf>
    <xf numFmtId="0" fontId="22" fillId="5" borderId="1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26" fillId="5" borderId="2" xfId="0" applyFont="1" applyFill="1" applyBorder="1"/>
    <xf numFmtId="0" fontId="9" fillId="2" borderId="12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21" fillId="10" borderId="2" xfId="0" applyFont="1" applyFill="1" applyBorder="1"/>
    <xf numFmtId="0" fontId="9" fillId="8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18" fillId="0" borderId="2" xfId="0" applyFont="1" applyBorder="1" applyAlignment="1" applyProtection="1">
      <alignment horizontal="left"/>
    </xf>
    <xf numFmtId="0" fontId="18" fillId="5" borderId="2" xfId="0" applyFont="1" applyFill="1" applyBorder="1" applyAlignment="1" applyProtection="1">
      <alignment horizontal="left"/>
    </xf>
    <xf numFmtId="0" fontId="22" fillId="5" borderId="11" xfId="0" applyFont="1" applyFill="1" applyBorder="1" applyAlignment="1">
      <alignment horizontal="right" vertical="center"/>
    </xf>
    <xf numFmtId="0" fontId="27" fillId="0" borderId="2" xfId="0" applyFont="1" applyBorder="1"/>
    <xf numFmtId="0" fontId="20" fillId="5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9" fillId="8" borderId="0" xfId="0" applyFont="1" applyFill="1" applyAlignment="1">
      <alignment horizontal="left" vertical="center" wrapText="1"/>
    </xf>
    <xf numFmtId="0" fontId="26" fillId="0" borderId="2" xfId="0" applyFont="1" applyBorder="1"/>
    <xf numFmtId="0" fontId="27" fillId="8" borderId="0" xfId="0" applyFont="1" applyFill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vertical="center"/>
    </xf>
    <xf numFmtId="0" fontId="18" fillId="0" borderId="8" xfId="0" applyFont="1" applyBorder="1" applyAlignment="1" applyProtection="1">
      <alignment horizontal="center"/>
    </xf>
    <xf numFmtId="0" fontId="21" fillId="5" borderId="8" xfId="0" applyFont="1" applyFill="1" applyBorder="1"/>
    <xf numFmtId="0" fontId="22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vertical="center"/>
    </xf>
    <xf numFmtId="0" fontId="0" fillId="0" borderId="2" xfId="0" applyBorder="1"/>
    <xf numFmtId="0" fontId="0" fillId="0" borderId="2" xfId="0" applyFont="1" applyBorder="1"/>
    <xf numFmtId="0" fontId="9" fillId="2" borderId="15" xfId="0" applyFont="1" applyFill="1" applyBorder="1" applyAlignment="1">
      <alignment vertical="center"/>
    </xf>
    <xf numFmtId="0" fontId="9" fillId="0" borderId="15" xfId="0" applyFont="1" applyBorder="1" applyAlignment="1">
      <alignment vertical="center"/>
    </xf>
    <xf numFmtId="177" fontId="14" fillId="8" borderId="0" xfId="0" applyNumberFormat="1" applyFont="1" applyFill="1" applyAlignment="1"/>
    <xf numFmtId="0" fontId="14" fillId="8" borderId="0" xfId="0" applyFont="1" applyFill="1" applyAlignment="1">
      <alignment horizontal="center"/>
    </xf>
    <xf numFmtId="178" fontId="14" fillId="8" borderId="0" xfId="0" applyNumberFormat="1" applyFont="1" applyFill="1" applyAlignment="1"/>
    <xf numFmtId="179" fontId="14" fillId="8" borderId="0" xfId="0" applyNumberFormat="1" applyFont="1" applyFill="1" applyAlignment="1">
      <alignment horizontal="center"/>
    </xf>
    <xf numFmtId="177" fontId="14" fillId="2" borderId="0" xfId="0" applyNumberFormat="1" applyFont="1" applyFill="1" applyAlignment="1"/>
    <xf numFmtId="0" fontId="14" fillId="2" borderId="0" xfId="0" applyFont="1" applyFill="1" applyAlignment="1">
      <alignment horizontal="center"/>
    </xf>
    <xf numFmtId="0" fontId="9" fillId="8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28" fillId="0" borderId="2" xfId="0" applyFont="1" applyBorder="1" applyAlignment="1" applyProtection="1"/>
    <xf numFmtId="0" fontId="9" fillId="2" borderId="11" xfId="0" applyFont="1" applyFill="1" applyBorder="1" applyAlignment="1">
      <alignment horizontal="left" vertical="center"/>
    </xf>
    <xf numFmtId="0" fontId="9" fillId="11" borderId="11" xfId="0" applyFont="1" applyFill="1" applyBorder="1" applyAlignment="1">
      <alignment vertical="center"/>
    </xf>
    <xf numFmtId="0" fontId="27" fillId="12" borderId="2" xfId="0" applyFont="1" applyFill="1" applyBorder="1"/>
    <xf numFmtId="0" fontId="0" fillId="12" borderId="0" xfId="0" applyFill="1"/>
    <xf numFmtId="0" fontId="9" fillId="12" borderId="11" xfId="0" applyFont="1" applyFill="1" applyBorder="1" applyAlignment="1">
      <alignment vertical="center"/>
    </xf>
    <xf numFmtId="0" fontId="9" fillId="12" borderId="12" xfId="0" applyFont="1" applyFill="1" applyBorder="1" applyAlignment="1">
      <alignment vertical="center"/>
    </xf>
    <xf numFmtId="0" fontId="28" fillId="0" borderId="8" xfId="0" applyFont="1" applyBorder="1" applyAlignment="1" applyProtection="1"/>
    <xf numFmtId="0" fontId="9" fillId="8" borderId="12" xfId="0" applyFont="1" applyFill="1" applyBorder="1" applyAlignment="1">
      <alignment horizontal="left" vertical="center"/>
    </xf>
    <xf numFmtId="0" fontId="9" fillId="12" borderId="12" xfId="0" applyFont="1" applyFill="1" applyBorder="1" applyAlignment="1">
      <alignment horizontal="left" vertical="center"/>
    </xf>
    <xf numFmtId="0" fontId="27" fillId="11" borderId="2" xfId="0" applyFont="1" applyFill="1" applyBorder="1"/>
    <xf numFmtId="0" fontId="9" fillId="2" borderId="2" xfId="0" applyFont="1" applyFill="1" applyBorder="1" applyAlignment="1">
      <alignment vertical="center"/>
    </xf>
    <xf numFmtId="0" fontId="9" fillId="11" borderId="12" xfId="0" applyFont="1" applyFill="1" applyBorder="1" applyAlignment="1">
      <alignment vertical="center"/>
    </xf>
    <xf numFmtId="0" fontId="9" fillId="11" borderId="12" xfId="0" applyFont="1" applyFill="1" applyBorder="1" applyAlignment="1">
      <alignment horizontal="left" vertical="center"/>
    </xf>
    <xf numFmtId="0" fontId="28" fillId="12" borderId="2" xfId="0" applyFont="1" applyFill="1" applyBorder="1" applyAlignment="1" applyProtection="1"/>
    <xf numFmtId="0" fontId="9" fillId="12" borderId="11" xfId="0" applyFont="1" applyFill="1" applyBorder="1" applyAlignment="1">
      <alignment horizontal="left" vertical="center"/>
    </xf>
    <xf numFmtId="0" fontId="9" fillId="8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29" fillId="0" borderId="2" xfId="0" applyFont="1" applyBorder="1" applyAlignment="1" applyProtection="1">
      <alignment vertical="center"/>
    </xf>
    <xf numFmtId="0" fontId="30" fillId="0" borderId="2" xfId="0" applyFont="1" applyBorder="1"/>
    <xf numFmtId="0" fontId="28" fillId="0" borderId="2" xfId="0" applyFont="1" applyBorder="1" applyAlignment="1" applyProtection="1">
      <alignment horizontal="left"/>
    </xf>
    <xf numFmtId="0" fontId="9" fillId="8" borderId="2" xfId="0" applyFont="1" applyFill="1" applyBorder="1" applyAlignment="1">
      <alignment horizontal="left" vertical="center"/>
    </xf>
    <xf numFmtId="0" fontId="27" fillId="0" borderId="8" xfId="0" applyFont="1" applyBorder="1"/>
    <xf numFmtId="0" fontId="9" fillId="2" borderId="16" xfId="0" applyFont="1" applyFill="1" applyBorder="1" applyAlignment="1">
      <alignment vertical="center"/>
    </xf>
    <xf numFmtId="0" fontId="9" fillId="11" borderId="16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10" borderId="0" xfId="0" applyFont="1" applyFill="1" applyAlignment="1"/>
    <xf numFmtId="0" fontId="21" fillId="0" borderId="0" xfId="0" applyFont="1" applyAlignment="1" applyProtection="1">
      <alignment horizontal="center"/>
    </xf>
    <xf numFmtId="0" fontId="21" fillId="0" borderId="0" xfId="0" applyFont="1" applyAlignment="1"/>
    <xf numFmtId="0" fontId="31" fillId="0" borderId="2" xfId="0" applyFont="1" applyBorder="1" applyAlignment="1" applyProtection="1">
      <alignment horizontal="center" vertical="center"/>
    </xf>
    <xf numFmtId="0" fontId="21" fillId="0" borderId="2" xfId="0" applyFont="1" applyBorder="1" applyAlignment="1" applyProtection="1">
      <alignment horizontal="center"/>
    </xf>
    <xf numFmtId="0" fontId="24" fillId="0" borderId="2" xfId="0" applyFont="1" applyBorder="1" applyAlignment="1" applyProtection="1">
      <alignment horizontal="center" vertical="center"/>
    </xf>
    <xf numFmtId="0" fontId="21" fillId="0" borderId="2" xfId="0" applyFont="1" applyBorder="1" applyAlignment="1" applyProtection="1"/>
    <xf numFmtId="0" fontId="27" fillId="0" borderId="2" xfId="0" applyFont="1" applyBorder="1" applyAlignment="1" applyProtection="1"/>
    <xf numFmtId="0" fontId="27" fillId="0" borderId="2" xfId="0" applyFont="1" applyBorder="1" applyAlignment="1" applyProtection="1">
      <alignment horizontal="center"/>
    </xf>
    <xf numFmtId="0" fontId="21" fillId="0" borderId="2" xfId="0" applyFont="1" applyBorder="1" applyAlignment="1" applyProtection="1">
      <alignment horizontal="center" vertical="center"/>
    </xf>
    <xf numFmtId="0" fontId="32" fillId="2" borderId="2" xfId="0" applyFont="1" applyFill="1" applyBorder="1"/>
    <xf numFmtId="0" fontId="33" fillId="0" borderId="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24" fillId="0" borderId="2" xfId="0" applyFont="1" applyBorder="1" applyAlignment="1" applyProtection="1"/>
    <xf numFmtId="0" fontId="24" fillId="0" borderId="2" xfId="0" applyFont="1" applyBorder="1" applyAlignment="1" applyProtection="1">
      <alignment horizontal="center"/>
    </xf>
    <xf numFmtId="0" fontId="21" fillId="0" borderId="8" xfId="0" applyFont="1" applyBorder="1" applyAlignment="1" applyProtection="1">
      <alignment horizontal="center" vertical="center"/>
    </xf>
    <xf numFmtId="0" fontId="21" fillId="10" borderId="0" xfId="0" applyFont="1" applyFill="1" applyAlignment="1" applyProtection="1">
      <alignment horizontal="center"/>
    </xf>
    <xf numFmtId="0" fontId="24" fillId="10" borderId="2" xfId="0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/>
    <xf numFmtId="0" fontId="27" fillId="10" borderId="2" xfId="0" applyFont="1" applyFill="1" applyBorder="1" applyAlignment="1" applyProtection="1"/>
    <xf numFmtId="0" fontId="27" fillId="10" borderId="2" xfId="0" applyFont="1" applyFill="1" applyBorder="1" applyAlignment="1" applyProtection="1">
      <alignment horizontal="center"/>
    </xf>
    <xf numFmtId="0" fontId="21" fillId="10" borderId="2" xfId="0" applyFont="1" applyFill="1" applyBorder="1" applyAlignment="1" applyProtection="1">
      <alignment horizontal="center"/>
    </xf>
    <xf numFmtId="0" fontId="21" fillId="10" borderId="2" xfId="0" applyFont="1" applyFill="1" applyBorder="1" applyAlignment="1" applyProtection="1">
      <alignment horizontal="center" vertical="center"/>
    </xf>
    <xf numFmtId="0" fontId="24" fillId="0" borderId="8" xfId="0" applyFont="1" applyBorder="1" applyAlignment="1" applyProtection="1">
      <alignment horizontal="center" vertical="center"/>
    </xf>
    <xf numFmtId="0" fontId="27" fillId="0" borderId="0" xfId="0" applyFont="1" applyBorder="1" applyAlignment="1" applyProtection="1"/>
    <xf numFmtId="0" fontId="32" fillId="10" borderId="2" xfId="0" applyFont="1" applyFill="1" applyBorder="1"/>
    <xf numFmtId="0" fontId="33" fillId="10" borderId="2" xfId="0" applyFont="1" applyFill="1" applyBorder="1" applyAlignment="1" applyProtection="1">
      <alignment horizontal="center"/>
    </xf>
    <xf numFmtId="0" fontId="27" fillId="0" borderId="2" xfId="0" applyFont="1" applyBorder="1" applyAlignment="1"/>
    <xf numFmtId="0" fontId="32" fillId="0" borderId="2" xfId="0" applyFont="1" applyBorder="1"/>
    <xf numFmtId="0" fontId="21" fillId="0" borderId="0" xfId="0" applyFont="1" applyAlignment="1">
      <alignment horizontal="right"/>
    </xf>
    <xf numFmtId="0" fontId="30" fillId="0" borderId="2" xfId="0" applyFont="1" applyBorder="1" applyAlignment="1" applyProtection="1"/>
    <xf numFmtId="0" fontId="0" fillId="0" borderId="0" xfId="0" applyBorder="1"/>
    <xf numFmtId="0" fontId="9" fillId="0" borderId="0" xfId="0" applyFont="1" applyBorder="1" applyAlignment="1">
      <alignment vertical="center"/>
    </xf>
    <xf numFmtId="58" fontId="9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vertical="center"/>
    </xf>
    <xf numFmtId="0" fontId="34" fillId="0" borderId="2" xfId="0" applyFont="1" applyBorder="1" applyAlignment="1">
      <alignment horizontal="left" vertical="top" wrapText="1"/>
    </xf>
    <xf numFmtId="0" fontId="35" fillId="2" borderId="3" xfId="0" applyFont="1" applyFill="1" applyBorder="1" applyAlignment="1">
      <alignment horizontal="center" vertical="center"/>
    </xf>
    <xf numFmtId="0" fontId="36" fillId="2" borderId="17" xfId="0" applyFont="1" applyFill="1" applyBorder="1" applyAlignment="1">
      <alignment horizontal="left" vertical="center" wrapText="1"/>
    </xf>
    <xf numFmtId="0" fontId="36" fillId="2" borderId="18" xfId="0" applyFont="1" applyFill="1" applyBorder="1" applyAlignment="1">
      <alignment horizontal="left" vertical="center" wrapText="1"/>
    </xf>
    <xf numFmtId="0" fontId="35" fillId="8" borderId="3" xfId="0" applyFont="1" applyFill="1" applyBorder="1" applyAlignment="1">
      <alignment horizontal="center" vertical="center"/>
    </xf>
    <xf numFmtId="0" fontId="36" fillId="8" borderId="19" xfId="0" applyFont="1" applyFill="1" applyBorder="1" applyAlignment="1">
      <alignment horizontal="left" vertical="center" wrapText="1"/>
    </xf>
    <xf numFmtId="0" fontId="36" fillId="8" borderId="20" xfId="0" applyFont="1" applyFill="1" applyBorder="1" applyAlignment="1">
      <alignment horizontal="left" vertical="center" wrapText="1"/>
    </xf>
    <xf numFmtId="0" fontId="36" fillId="2" borderId="21" xfId="0" applyFont="1" applyFill="1" applyBorder="1" applyAlignment="1">
      <alignment horizontal="left" vertical="center" wrapText="1"/>
    </xf>
    <xf numFmtId="0" fontId="36" fillId="2" borderId="22" xfId="0" applyFont="1" applyFill="1" applyBorder="1" applyAlignment="1">
      <alignment horizontal="left" vertical="center" wrapText="1"/>
    </xf>
    <xf numFmtId="0" fontId="36" fillId="8" borderId="20" xfId="0" applyFont="1" applyFill="1" applyBorder="1" applyAlignment="1">
      <alignment horizontal="right" vertical="center" wrapText="1"/>
    </xf>
    <xf numFmtId="0" fontId="35" fillId="2" borderId="2" xfId="0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vertical="center"/>
    </xf>
    <xf numFmtId="0" fontId="35" fillId="8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vertical="center" wrapText="1"/>
    </xf>
    <xf numFmtId="0" fontId="36" fillId="2" borderId="22" xfId="0" applyFont="1" applyFill="1" applyBorder="1" applyAlignment="1">
      <alignment horizontal="right" vertical="center" wrapText="1"/>
    </xf>
    <xf numFmtId="0" fontId="35" fillId="8" borderId="2" xfId="0" applyFont="1" applyFill="1" applyBorder="1" applyAlignment="1">
      <alignment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top" wrapText="1"/>
    </xf>
    <xf numFmtId="0" fontId="35" fillId="2" borderId="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35" fillId="8" borderId="2" xfId="0" applyFont="1" applyFill="1" applyBorder="1" applyAlignment="1">
      <alignment horizontal="center" vertical="center" wrapText="1"/>
    </xf>
    <xf numFmtId="0" fontId="36" fillId="8" borderId="23" xfId="0" applyFont="1" applyFill="1" applyBorder="1" applyAlignment="1">
      <alignment horizontal="left" vertical="center" wrapText="1"/>
    </xf>
    <xf numFmtId="0" fontId="36" fillId="8" borderId="24" xfId="0" applyFont="1" applyFill="1" applyBorder="1" applyAlignment="1">
      <alignment horizontal="left" vertical="center" wrapText="1"/>
    </xf>
    <xf numFmtId="0" fontId="37" fillId="0" borderId="0" xfId="0" applyFont="1" applyAlignment="1"/>
    <xf numFmtId="0" fontId="3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8" fillId="0" borderId="0" xfId="0" applyFont="1" applyAlignment="1"/>
    <xf numFmtId="0" fontId="37" fillId="0" borderId="0" xfId="0" applyFont="1" applyAlignment="1" applyProtection="1">
      <alignment horizontal="center"/>
    </xf>
    <xf numFmtId="0" fontId="18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vertical="center"/>
    </xf>
    <xf numFmtId="0" fontId="18" fillId="0" borderId="0" xfId="0" applyFont="1" applyAlignment="1"/>
    <xf numFmtId="0" fontId="39" fillId="0" borderId="0" xfId="55" applyFont="1" applyBorder="1" applyAlignment="1" applyProtection="1">
      <alignment horizontal="center"/>
    </xf>
    <xf numFmtId="0" fontId="40" fillId="0" borderId="0" xfId="55" applyFont="1" applyBorder="1" applyAlignment="1" applyProtection="1">
      <alignment horizontal="center"/>
    </xf>
    <xf numFmtId="0" fontId="41" fillId="0" borderId="0" xfId="55" applyFont="1" applyBorder="1" applyAlignment="1" applyProtection="1">
      <alignment horizontal="center" vertical="top" wrapText="1"/>
    </xf>
    <xf numFmtId="0" fontId="42" fillId="0" borderId="0" xfId="55" applyFont="1" applyBorder="1" applyAlignment="1" applyProtection="1">
      <alignment horizontal="center" vertical="top" wrapText="1"/>
    </xf>
    <xf numFmtId="0" fontId="37" fillId="0" borderId="0" xfId="0" applyFont="1" applyAlignment="1" applyProtection="1"/>
    <xf numFmtId="0" fontId="42" fillId="0" borderId="0" xfId="55" applyFont="1" applyAlignment="1" applyProtection="1">
      <alignment horizontal="center" vertical="center"/>
    </xf>
    <xf numFmtId="0" fontId="37" fillId="0" borderId="0" xfId="55" applyFont="1" applyAlignment="1" applyProtection="1">
      <alignment horizontal="center" vertical="center"/>
    </xf>
    <xf numFmtId="0" fontId="37" fillId="0" borderId="0" xfId="0" applyFont="1" applyAlignment="1" applyProtection="1">
      <alignment vertical="center"/>
    </xf>
    <xf numFmtId="0" fontId="43" fillId="0" borderId="0" xfId="55" applyFont="1" applyAlignment="1" applyProtection="1">
      <alignment horizontal="right"/>
    </xf>
    <xf numFmtId="0" fontId="34" fillId="0" borderId="0" xfId="0" applyFont="1"/>
    <xf numFmtId="0" fontId="42" fillId="0" borderId="2" xfId="0" applyFont="1" applyBorder="1" applyAlignment="1" applyProtection="1">
      <alignment horizontal="center" vertical="center"/>
    </xf>
    <xf numFmtId="0" fontId="44" fillId="0" borderId="2" xfId="0" applyFont="1" applyBorder="1" applyAlignment="1" applyProtection="1">
      <alignment horizontal="center" vertical="center"/>
    </xf>
    <xf numFmtId="0" fontId="45" fillId="0" borderId="2" xfId="0" applyFont="1" applyBorder="1" applyAlignment="1" applyProtection="1">
      <alignment horizontal="center" vertical="center"/>
    </xf>
    <xf numFmtId="0" fontId="37" fillId="0" borderId="2" xfId="0" applyFont="1" applyBorder="1" applyAlignment="1">
      <alignment horizontal="center" vertical="center"/>
    </xf>
    <xf numFmtId="58" fontId="37" fillId="0" borderId="2" xfId="0" applyNumberFormat="1" applyFont="1" applyBorder="1" applyAlignment="1">
      <alignment horizontal="center" vertical="center"/>
    </xf>
    <xf numFmtId="16" fontId="37" fillId="0" borderId="2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" xfId="0" applyFont="1" applyBorder="1" applyAlignment="1" applyProtection="1">
      <alignment horizont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0" fillId="0" borderId="2" xfId="0" applyFont="1" applyBorder="1" applyAlignment="1"/>
    <xf numFmtId="0" fontId="18" fillId="0" borderId="2" xfId="0" applyFont="1" applyBorder="1" applyAlignment="1"/>
    <xf numFmtId="0" fontId="18" fillId="0" borderId="2" xfId="0" applyFont="1" applyBorder="1" applyAlignment="1"/>
    <xf numFmtId="0" fontId="38" fillId="0" borderId="2" xfId="0" applyFont="1" applyBorder="1" applyAlignment="1" applyProtection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34" fillId="0" borderId="2" xfId="0" applyFont="1" applyBorder="1" applyAlignment="1" applyProtection="1">
      <alignment horizontal="center"/>
    </xf>
    <xf numFmtId="0" fontId="48" fillId="0" borderId="2" xfId="0" applyFont="1" applyBorder="1" applyAlignment="1" applyProtection="1">
      <alignment horizontal="center"/>
    </xf>
    <xf numFmtId="0" fontId="37" fillId="0" borderId="8" xfId="0" applyFont="1" applyBorder="1" applyAlignment="1" applyProtection="1">
      <alignment horizontal="center"/>
    </xf>
    <xf numFmtId="0" fontId="0" fillId="0" borderId="8" xfId="0" applyFont="1" applyBorder="1" applyAlignment="1"/>
    <xf numFmtId="0" fontId="18" fillId="0" borderId="8" xfId="0" applyFont="1" applyBorder="1" applyAlignment="1"/>
    <xf numFmtId="0" fontId="46" fillId="0" borderId="8" xfId="0" applyFont="1" applyBorder="1" applyAlignment="1">
      <alignment horizontal="center" vertical="center"/>
    </xf>
    <xf numFmtId="0" fontId="37" fillId="0" borderId="2" xfId="0" applyFont="1" applyBorder="1" applyAlignment="1" applyProtection="1">
      <alignment horizontal="center" vertical="center"/>
    </xf>
    <xf numFmtId="0" fontId="43" fillId="0" borderId="2" xfId="0" applyFont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2" xfId="0" applyFont="1" applyBorder="1" applyAlignment="1"/>
    <xf numFmtId="0" fontId="34" fillId="0" borderId="0" xfId="0" applyFont="1" applyBorder="1" applyAlignment="1">
      <alignment horizontal="center" vertical="center"/>
    </xf>
    <xf numFmtId="0" fontId="37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horizontal="right" vertical="center"/>
    </xf>
    <xf numFmtId="0" fontId="43" fillId="0" borderId="0" xfId="0" applyFont="1" applyAlignment="1" applyProtection="1">
      <alignment horizontal="center"/>
    </xf>
    <xf numFmtId="0" fontId="34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top"/>
    </xf>
    <xf numFmtId="0" fontId="34" fillId="0" borderId="0" xfId="0" applyFont="1" applyAlignment="1">
      <alignment horizontal="left"/>
    </xf>
    <xf numFmtId="16" fontId="37" fillId="0" borderId="0" xfId="0" applyNumberFormat="1" applyFont="1" applyAlignment="1"/>
    <xf numFmtId="0" fontId="43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50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39" fillId="0" borderId="0" xfId="55" applyFont="1" applyAlignment="1" applyProtection="1">
      <alignment horizontal="center"/>
    </xf>
    <xf numFmtId="0" fontId="52" fillId="0" borderId="0" xfId="55" applyFont="1" applyAlignment="1" applyProtection="1">
      <alignment horizontal="center" vertical="center"/>
    </xf>
    <xf numFmtId="0" fontId="53" fillId="0" borderId="0" xfId="55" applyFont="1" applyAlignment="1" applyProtection="1">
      <alignment horizontal="center"/>
    </xf>
    <xf numFmtId="0" fontId="52" fillId="0" borderId="0" xfId="55" applyFont="1" applyAlignment="1" applyProtection="1">
      <alignment horizontal="center"/>
    </xf>
    <xf numFmtId="0" fontId="37" fillId="0" borderId="0" xfId="55" applyFont="1" applyAlignment="1" applyProtection="1">
      <alignment horizontal="right" vertical="center"/>
    </xf>
    <xf numFmtId="0" fontId="54" fillId="0" borderId="0" xfId="0" applyFont="1"/>
    <xf numFmtId="0" fontId="35" fillId="0" borderId="2" xfId="0" applyFont="1" applyBorder="1" applyAlignment="1">
      <alignment horizontal="left" vertical="center" wrapText="1"/>
    </xf>
    <xf numFmtId="0" fontId="43" fillId="0" borderId="2" xfId="0" applyFont="1" applyBorder="1" applyAlignment="1">
      <alignment horizontal="center" vertical="center"/>
    </xf>
    <xf numFmtId="0" fontId="55" fillId="0" borderId="0" xfId="55" applyFont="1" applyAlignment="1" applyProtection="1">
      <alignment horizontal="center"/>
    </xf>
    <xf numFmtId="0" fontId="56" fillId="0" borderId="0" xfId="55" applyFont="1" applyAlignment="1" applyProtection="1">
      <alignment horizontal="center" vertical="center"/>
    </xf>
    <xf numFmtId="0" fontId="57" fillId="0" borderId="0" xfId="55" applyFont="1" applyAlignment="1" applyProtection="1">
      <alignment horizontal="center"/>
    </xf>
    <xf numFmtId="0" fontId="56" fillId="0" borderId="0" xfId="55" applyFont="1" applyAlignment="1" applyProtection="1">
      <alignment horizontal="center"/>
    </xf>
    <xf numFmtId="0" fontId="35" fillId="0" borderId="0" xfId="0" applyFont="1"/>
    <xf numFmtId="0" fontId="44" fillId="0" borderId="8" xfId="0" applyFont="1" applyBorder="1" applyAlignment="1" applyProtection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/>
    </xf>
    <xf numFmtId="0" fontId="38" fillId="0" borderId="3" xfId="0" applyFont="1" applyBorder="1" applyAlignment="1" applyProtection="1">
      <alignment horizontal="center" vertical="center"/>
    </xf>
    <xf numFmtId="0" fontId="38" fillId="0" borderId="25" xfId="0" applyFont="1" applyBorder="1" applyAlignment="1" applyProtection="1">
      <alignment horizontal="center"/>
    </xf>
    <xf numFmtId="0" fontId="47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50" fillId="0" borderId="0" xfId="0" applyFont="1"/>
    <xf numFmtId="0" fontId="50" fillId="0" borderId="2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/>
    </xf>
    <xf numFmtId="0" fontId="37" fillId="0" borderId="3" xfId="0" applyFont="1" applyBorder="1" applyAlignment="1" applyProtection="1">
      <alignment horizontal="center" vertical="center"/>
    </xf>
    <xf numFmtId="0" fontId="34" fillId="0" borderId="25" xfId="0" applyFont="1" applyBorder="1" applyAlignment="1" applyProtection="1">
      <alignment horizontal="center"/>
    </xf>
    <xf numFmtId="0" fontId="43" fillId="0" borderId="3" xfId="0" applyFont="1" applyBorder="1" applyAlignment="1">
      <alignment horizontal="center" vertical="center"/>
    </xf>
    <xf numFmtId="0" fontId="37" fillId="0" borderId="25" xfId="0" applyFont="1" applyBorder="1" applyAlignment="1" applyProtection="1">
      <alignment horizontal="center"/>
    </xf>
    <xf numFmtId="0" fontId="48" fillId="0" borderId="25" xfId="0" applyFont="1" applyBorder="1" applyAlignment="1">
      <alignment horizontal="center"/>
    </xf>
    <xf numFmtId="0" fontId="37" fillId="0" borderId="0" xfId="0" applyFont="1" applyAlignment="1">
      <alignment horizontal="right" vertical="center"/>
    </xf>
    <xf numFmtId="0" fontId="34" fillId="0" borderId="2" xfId="0" applyFont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3" fillId="0" borderId="0" xfId="55" applyFont="1" applyAlignment="1">
      <alignment horizontal="right" vertical="center"/>
    </xf>
    <xf numFmtId="0" fontId="50" fillId="0" borderId="0" xfId="0" applyFont="1" applyAlignment="1">
      <alignment horizontal="center"/>
    </xf>
    <xf numFmtId="0" fontId="47" fillId="0" borderId="2" xfId="0" applyFont="1" applyBorder="1" applyAlignment="1">
      <alignment horizontal="center"/>
    </xf>
    <xf numFmtId="0" fontId="38" fillId="0" borderId="2" xfId="0" applyFont="1" applyBorder="1" applyAlignment="1" applyProtection="1">
      <alignment horizontal="center"/>
    </xf>
    <xf numFmtId="0" fontId="35" fillId="8" borderId="0" xfId="0" applyFont="1" applyFill="1" applyBorder="1" applyAlignment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35" fillId="8" borderId="0" xfId="0" applyFont="1" applyFill="1" applyBorder="1" applyAlignment="1">
      <alignment vertical="center"/>
    </xf>
    <xf numFmtId="0" fontId="38" fillId="0" borderId="0" xfId="0" applyFont="1" applyAlignment="1" applyProtection="1">
      <alignment horizontal="center"/>
    </xf>
    <xf numFmtId="0" fontId="35" fillId="0" borderId="10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8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vertical="center"/>
    </xf>
    <xf numFmtId="0" fontId="47" fillId="0" borderId="0" xfId="0" applyFont="1" applyAlignment="1" applyProtection="1">
      <alignment horizontal="center"/>
    </xf>
    <xf numFmtId="0" fontId="58" fillId="0" borderId="0" xfId="0" applyFont="1" applyAlignment="1">
      <alignment horizontal="left" vertical="top"/>
    </xf>
    <xf numFmtId="0" fontId="35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34" fillId="0" borderId="0" xfId="0" applyFont="1" applyAlignment="1">
      <alignment horizontal="left" vertical="top"/>
    </xf>
    <xf numFmtId="0" fontId="50" fillId="0" borderId="0" xfId="0" applyFont="1" applyAlignment="1"/>
    <xf numFmtId="0" fontId="43" fillId="0" borderId="0" xfId="55" applyFont="1" applyAlignment="1">
      <alignment horizontal="right"/>
    </xf>
    <xf numFmtId="0" fontId="35" fillId="0" borderId="2" xfId="0" applyFont="1" applyBorder="1" applyAlignment="1" applyProtection="1">
      <alignment horizontal="center"/>
    </xf>
    <xf numFmtId="0" fontId="21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/>
    </xf>
    <xf numFmtId="0" fontId="43" fillId="0" borderId="0" xfId="55" applyFont="1" applyAlignment="1" applyProtection="1">
      <alignment horizontal="center" vertical="center"/>
    </xf>
    <xf numFmtId="0" fontId="37" fillId="0" borderId="0" xfId="55" applyFont="1" applyAlignment="1" applyProtection="1">
      <alignment horizontal="right"/>
    </xf>
    <xf numFmtId="0" fontId="37" fillId="0" borderId="3" xfId="0" applyFont="1" applyBorder="1" applyAlignment="1">
      <alignment horizontal="center" vertical="center"/>
    </xf>
    <xf numFmtId="58" fontId="37" fillId="0" borderId="0" xfId="0" applyNumberFormat="1" applyFont="1" applyAlignment="1">
      <alignment horizontal="center" vertical="center"/>
    </xf>
    <xf numFmtId="0" fontId="35" fillId="2" borderId="25" xfId="0" applyFont="1" applyFill="1" applyBorder="1" applyAlignment="1">
      <alignment vertical="center"/>
    </xf>
    <xf numFmtId="0" fontId="18" fillId="0" borderId="3" xfId="0" applyFont="1" applyBorder="1" applyAlignment="1"/>
    <xf numFmtId="0" fontId="35" fillId="8" borderId="25" xfId="0" applyFont="1" applyFill="1" applyBorder="1" applyAlignment="1">
      <alignment vertical="center"/>
    </xf>
    <xf numFmtId="0" fontId="35" fillId="2" borderId="3" xfId="0" applyFont="1" applyFill="1" applyBorder="1" applyAlignment="1">
      <alignment horizontal="center" vertical="center" wrapText="1"/>
    </xf>
    <xf numFmtId="0" fontId="47" fillId="0" borderId="2" xfId="0" applyFont="1" applyBorder="1" applyAlignment="1" applyProtection="1">
      <alignment horizontal="center" vertical="center"/>
    </xf>
    <xf numFmtId="0" fontId="35" fillId="2" borderId="25" xfId="0" applyFont="1" applyFill="1" applyBorder="1" applyAlignment="1">
      <alignment vertical="center" wrapText="1"/>
    </xf>
    <xf numFmtId="0" fontId="34" fillId="2" borderId="25" xfId="0" applyFont="1" applyFill="1" applyBorder="1" applyAlignment="1">
      <alignment vertical="center"/>
    </xf>
    <xf numFmtId="0" fontId="34" fillId="2" borderId="2" xfId="0" applyFont="1" applyFill="1" applyBorder="1" applyAlignment="1">
      <alignment vertical="center" wrapText="1"/>
    </xf>
    <xf numFmtId="0" fontId="35" fillId="8" borderId="25" xfId="0" applyFont="1" applyFill="1" applyBorder="1" applyAlignment="1">
      <alignment vertical="center" wrapText="1"/>
    </xf>
    <xf numFmtId="0" fontId="35" fillId="8" borderId="3" xfId="0" applyFont="1" applyFill="1" applyBorder="1" applyAlignment="1">
      <alignment horizontal="center" vertical="center" wrapText="1"/>
    </xf>
    <xf numFmtId="0" fontId="59" fillId="2" borderId="25" xfId="0" applyFont="1" applyFill="1" applyBorder="1" applyAlignment="1">
      <alignment vertical="center"/>
    </xf>
    <xf numFmtId="0" fontId="35" fillId="2" borderId="25" xfId="0" applyFont="1" applyFill="1" applyBorder="1" applyAlignment="1">
      <alignment horizontal="left" vertical="center" wrapText="1"/>
    </xf>
    <xf numFmtId="0" fontId="18" fillId="0" borderId="7" xfId="0" applyFont="1" applyBorder="1" applyAlignment="1"/>
    <xf numFmtId="0" fontId="43" fillId="0" borderId="0" xfId="0" applyFont="1" applyAlignment="1" applyProtection="1">
      <alignment horizontal="center" vertical="center"/>
    </xf>
    <xf numFmtId="0" fontId="57" fillId="0" borderId="0" xfId="55" applyFont="1" applyAlignment="1" applyProtection="1">
      <alignment horizontal="center" vertical="center"/>
    </xf>
    <xf numFmtId="58" fontId="37" fillId="0" borderId="0" xfId="0" applyNumberFormat="1" applyFont="1" applyAlignment="1"/>
    <xf numFmtId="0" fontId="18" fillId="0" borderId="2" xfId="0" applyFont="1" applyBorder="1" applyAlignment="1">
      <alignment horizontal="center" vertical="center"/>
    </xf>
    <xf numFmtId="180" fontId="0" fillId="0" borderId="2" xfId="0" applyNumberFormat="1" applyFont="1" applyBorder="1" applyAlignment="1"/>
    <xf numFmtId="180" fontId="0" fillId="0" borderId="8" xfId="0" applyNumberFormat="1" applyFont="1" applyBorder="1" applyAlignment="1"/>
    <xf numFmtId="180" fontId="18" fillId="0" borderId="2" xfId="0" applyNumberFormat="1" applyFont="1" applyBorder="1" applyAlignment="1"/>
    <xf numFmtId="0" fontId="34" fillId="2" borderId="2" xfId="0" applyFont="1" applyFill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47" fillId="0" borderId="8" xfId="0" applyFont="1" applyBorder="1" applyAlignment="1" applyProtection="1">
      <alignment horizontal="center" vertical="center"/>
    </xf>
    <xf numFmtId="0" fontId="35" fillId="8" borderId="2" xfId="0" applyFont="1" applyFill="1" applyBorder="1" applyAlignment="1">
      <alignment horizontal="left" vertical="center" wrapText="1"/>
    </xf>
    <xf numFmtId="0" fontId="47" fillId="0" borderId="2" xfId="0" applyFont="1" applyBorder="1" applyAlignment="1">
      <alignment vertical="center"/>
    </xf>
    <xf numFmtId="0" fontId="38" fillId="0" borderId="2" xfId="0" applyFont="1" applyBorder="1" applyAlignment="1" applyProtection="1">
      <alignment vertical="center"/>
    </xf>
    <xf numFmtId="0" fontId="35" fillId="0" borderId="2" xfId="0" applyFont="1" applyBorder="1" applyAlignment="1">
      <alignment horizontal="center"/>
    </xf>
    <xf numFmtId="0" fontId="38" fillId="0" borderId="2" xfId="0" applyFont="1" applyBorder="1" applyAlignment="1" applyProtection="1">
      <alignment horizontal="left" vertical="center"/>
    </xf>
    <xf numFmtId="0" fontId="60" fillId="0" borderId="2" xfId="0" applyFont="1" applyBorder="1" applyAlignment="1">
      <alignment vertical="center"/>
    </xf>
    <xf numFmtId="0" fontId="43" fillId="0" borderId="2" xfId="0" applyFont="1" applyBorder="1" applyAlignment="1" applyProtection="1">
      <alignment horizontal="center" vertical="center"/>
    </xf>
    <xf numFmtId="0" fontId="37" fillId="0" borderId="2" xfId="0" applyFont="1" applyBorder="1" applyAlignment="1" applyProtection="1">
      <alignment vertical="center"/>
    </xf>
    <xf numFmtId="0" fontId="37" fillId="0" borderId="2" xfId="0" applyFont="1" applyBorder="1" applyAlignment="1" applyProtection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vertical="center"/>
    </xf>
    <xf numFmtId="0" fontId="43" fillId="0" borderId="8" xfId="0" applyFont="1" applyBorder="1" applyAlignment="1">
      <alignment horizontal="center"/>
    </xf>
    <xf numFmtId="0" fontId="59" fillId="0" borderId="0" xfId="0" applyFont="1"/>
    <xf numFmtId="0" fontId="47" fillId="0" borderId="0" xfId="0" applyFont="1" applyAlignment="1" applyProtection="1">
      <alignment horizontal="center" vertical="center"/>
    </xf>
    <xf numFmtId="0" fontId="61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horizontal="center" vertical="center"/>
    </xf>
    <xf numFmtId="0" fontId="21" fillId="0" borderId="0" xfId="55" applyFont="1" applyAlignment="1" applyProtection="1">
      <alignment horizontal="center" vertical="center"/>
    </xf>
    <xf numFmtId="0" fontId="62" fillId="0" borderId="0" xfId="0" applyFont="1" applyAlignment="1">
      <alignment vertical="center"/>
    </xf>
    <xf numFmtId="0" fontId="63" fillId="0" borderId="0" xfId="0" applyFont="1" applyAlignment="1"/>
    <xf numFmtId="0" fontId="64" fillId="0" borderId="2" xfId="0" applyFont="1" applyBorder="1" applyAlignment="1">
      <alignment vertical="center"/>
    </xf>
    <xf numFmtId="0" fontId="55" fillId="0" borderId="0" xfId="0" applyFont="1" applyAlignment="1"/>
    <xf numFmtId="0" fontId="18" fillId="0" borderId="0" xfId="0" applyFont="1" applyAlignment="1" applyProtection="1"/>
    <xf numFmtId="0" fontId="38" fillId="0" borderId="0" xfId="0" applyFont="1" applyAlignment="1" applyProtection="1"/>
    <xf numFmtId="0" fontId="65" fillId="0" borderId="0" xfId="55" applyFont="1" applyAlignment="1" applyProtection="1">
      <alignment horizontal="center" vertical="center"/>
    </xf>
    <xf numFmtId="0" fontId="66" fillId="0" borderId="0" xfId="55" applyFont="1" applyAlignment="1" applyProtection="1">
      <alignment horizontal="center" vertical="center"/>
    </xf>
    <xf numFmtId="0" fontId="55" fillId="0" borderId="0" xfId="0" applyFont="1" applyAlignment="1" applyProtection="1"/>
    <xf numFmtId="0" fontId="55" fillId="0" borderId="0" xfId="55" applyFont="1" applyAlignment="1" applyProtection="1">
      <alignment horizontal="right"/>
    </xf>
    <xf numFmtId="0" fontId="67" fillId="0" borderId="2" xfId="0" applyFont="1" applyBorder="1" applyAlignment="1" applyProtection="1">
      <alignment horizontal="center" vertical="center"/>
    </xf>
    <xf numFmtId="0" fontId="68" fillId="0" borderId="2" xfId="0" applyFont="1" applyBorder="1" applyAlignment="1" applyProtection="1">
      <alignment horizontal="center" vertical="center"/>
    </xf>
    <xf numFmtId="0" fontId="69" fillId="0" borderId="2" xfId="0" applyFont="1" applyBorder="1" applyAlignment="1" applyProtection="1">
      <alignment horizontal="center" vertical="center"/>
    </xf>
    <xf numFmtId="16" fontId="37" fillId="0" borderId="0" xfId="0" applyNumberFormat="1" applyFont="1" applyAlignment="1">
      <alignment horizontal="center" vertical="center"/>
    </xf>
    <xf numFmtId="0" fontId="46" fillId="2" borderId="2" xfId="0" applyFont="1" applyFill="1" applyBorder="1" applyAlignment="1">
      <alignment horizontal="center" vertical="center"/>
    </xf>
    <xf numFmtId="0" fontId="47" fillId="0" borderId="2" xfId="0" applyFont="1" applyBorder="1" applyAlignment="1" applyProtection="1">
      <alignment horizontal="center"/>
    </xf>
    <xf numFmtId="0" fontId="46" fillId="8" borderId="2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 wrapText="1"/>
    </xf>
    <xf numFmtId="0" fontId="18" fillId="0" borderId="0" xfId="0" applyFont="1" applyBorder="1" applyAlignment="1" applyProtection="1"/>
    <xf numFmtId="0" fontId="18" fillId="0" borderId="0" xfId="0" applyFont="1" applyBorder="1" applyAlignment="1"/>
    <xf numFmtId="0" fontId="28" fillId="0" borderId="0" xfId="0" applyFont="1" applyBorder="1" applyAlignment="1" applyProtection="1"/>
    <xf numFmtId="0" fontId="28" fillId="0" borderId="0" xfId="0" applyFont="1" applyBorder="1" applyAlignment="1" applyProtection="1">
      <alignment horizontal="center"/>
    </xf>
    <xf numFmtId="0" fontId="38" fillId="0" borderId="0" xfId="0" applyFont="1" applyAlignment="1" applyProtection="1">
      <alignment horizontal="right"/>
    </xf>
    <xf numFmtId="0" fontId="38" fillId="0" borderId="0" xfId="0" applyFont="1" applyAlignment="1">
      <alignment horizontal="center" vertical="center"/>
    </xf>
    <xf numFmtId="0" fontId="58" fillId="0" borderId="0" xfId="0" applyFont="1" applyAlignment="1">
      <alignment horizontal="left"/>
    </xf>
    <xf numFmtId="0" fontId="38" fillId="0" borderId="0" xfId="55" applyFont="1" applyAlignment="1" applyProtection="1">
      <alignment horizontal="center"/>
    </xf>
    <xf numFmtId="0" fontId="46" fillId="8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38" fillId="0" borderId="8" xfId="0" applyFont="1" applyBorder="1" applyAlignment="1" applyProtection="1">
      <alignment horizontal="center"/>
    </xf>
    <xf numFmtId="0" fontId="53" fillId="0" borderId="0" xfId="55" applyFont="1" applyAlignment="1" applyProtection="1">
      <alignment horizontal="center" vertical="center"/>
    </xf>
    <xf numFmtId="0" fontId="34" fillId="8" borderId="2" xfId="0" applyFont="1" applyFill="1" applyBorder="1" applyAlignment="1">
      <alignment vertical="center"/>
    </xf>
    <xf numFmtId="0" fontId="46" fillId="2" borderId="8" xfId="0" applyFont="1" applyFill="1" applyBorder="1" applyAlignment="1">
      <alignment horizontal="center" vertical="center"/>
    </xf>
    <xf numFmtId="0" fontId="35" fillId="2" borderId="8" xfId="0" applyFont="1" applyFill="1" applyBorder="1" applyAlignment="1">
      <alignment vertical="center"/>
    </xf>
    <xf numFmtId="0" fontId="35" fillId="0" borderId="0" xfId="0" applyFont="1" applyAlignment="1"/>
    <xf numFmtId="0" fontId="50" fillId="2" borderId="2" xfId="0" applyFont="1" applyFill="1" applyBorder="1" applyAlignment="1">
      <alignment horizontal="center" vertical="center"/>
    </xf>
    <xf numFmtId="0" fontId="9" fillId="0" borderId="2" xfId="0" applyFont="1" applyBorder="1" applyAlignment="1"/>
    <xf numFmtId="0" fontId="50" fillId="8" borderId="2" xfId="0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18" fillId="0" borderId="26" xfId="0" applyFont="1" applyBorder="1" applyAlignment="1"/>
    <xf numFmtId="0" fontId="18" fillId="0" borderId="25" xfId="0" applyFont="1" applyBorder="1" applyAlignment="1"/>
    <xf numFmtId="0" fontId="18" fillId="0" borderId="27" xfId="0" applyFont="1" applyBorder="1" applyAlignment="1"/>
    <xf numFmtId="0" fontId="46" fillId="8" borderId="8" xfId="0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vertical="center" wrapText="1"/>
    </xf>
    <xf numFmtId="181" fontId="48" fillId="0" borderId="5" xfId="0" applyNumberFormat="1" applyFont="1" applyBorder="1" applyAlignment="1">
      <alignment horizontal="left" vertical="center"/>
    </xf>
    <xf numFmtId="0" fontId="37" fillId="0" borderId="4" xfId="0" applyFont="1" applyBorder="1" applyAlignment="1">
      <alignment horizontal="center" vertical="center"/>
    </xf>
    <xf numFmtId="0" fontId="38" fillId="0" borderId="0" xfId="0" applyFont="1" applyAlignment="1" applyProtection="1">
      <alignment horizontal="left" vertical="center"/>
    </xf>
    <xf numFmtId="0" fontId="48" fillId="0" borderId="5" xfId="0" applyFont="1" applyBorder="1" applyAlignment="1"/>
    <xf numFmtId="0" fontId="37" fillId="0" borderId="5" xfId="0" applyFont="1" applyBorder="1" applyAlignment="1"/>
    <xf numFmtId="0" fontId="35" fillId="8" borderId="8" xfId="0" applyFont="1" applyFill="1" applyBorder="1" applyAlignment="1">
      <alignment vertical="center"/>
    </xf>
    <xf numFmtId="0" fontId="38" fillId="0" borderId="10" xfId="0" applyFont="1" applyBorder="1" applyAlignment="1" applyProtection="1">
      <alignment horizontal="center"/>
    </xf>
    <xf numFmtId="0" fontId="38" fillId="0" borderId="10" xfId="0" applyFont="1" applyBorder="1" applyAlignment="1" applyProtection="1">
      <alignment horizontal="center" vertical="center"/>
    </xf>
    <xf numFmtId="0" fontId="47" fillId="0" borderId="10" xfId="0" applyFont="1" applyBorder="1" applyAlignment="1" applyProtection="1">
      <alignment horizontal="center" vertical="center"/>
    </xf>
    <xf numFmtId="0" fontId="38" fillId="0" borderId="10" xfId="0" applyFont="1" applyBorder="1" applyAlignment="1" applyProtection="1">
      <alignment horizontal="right"/>
    </xf>
    <xf numFmtId="0" fontId="47" fillId="0" borderId="10" xfId="0" applyFont="1" applyBorder="1" applyAlignment="1" applyProtection="1">
      <alignment horizontal="center"/>
    </xf>
    <xf numFmtId="0" fontId="35" fillId="0" borderId="10" xfId="0" applyFont="1" applyBorder="1" applyAlignment="1"/>
    <xf numFmtId="0" fontId="38" fillId="0" borderId="10" xfId="0" applyFont="1" applyBorder="1" applyAlignment="1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3" xfId="50"/>
    <cellStyle name="Normal 2 3 2" xfId="51"/>
    <cellStyle name="Normal 22" xfId="52"/>
    <cellStyle name="Normal 3" xfId="53"/>
    <cellStyle name="Normal 4" xfId="54"/>
    <cellStyle name="Excel Built-in Normal" xfId="55"/>
  </cellStyles>
  <dxfs count="19">
    <dxf>
      <fill>
        <patternFill patternType="solid">
          <bgColor rgb="FFFF0000"/>
        </patternFill>
      </fill>
    </dxf>
    <dxf>
      <font>
        <color rgb="FF7030A0"/>
      </font>
      <fill>
        <patternFill patternType="solid">
          <bgColor rgb="FF7030A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8F9FA"/>
      <rgbColor rgb="00CCFFFF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A9D18E"/>
      <rgbColor rgb="00FF99CC"/>
      <rgbColor rgb="00CC99FF"/>
      <rgbColor rgb="00FBE5D6"/>
      <rgbColor rgb="003366FF"/>
      <rgbColor rgb="0033CCCC"/>
      <rgbColor rgb="0099CC00"/>
      <rgbColor rgb="00FFC000"/>
      <rgbColor rgb="00FF9900"/>
      <rgbColor rgb="00ED7D31"/>
      <rgbColor rgb="005B3F86"/>
      <rgbColor rgb="00969696"/>
      <rgbColor rgb="00003366"/>
      <rgbColor rgb="00339966"/>
      <rgbColor rgb="00003300"/>
      <rgbColor rgb="00333300"/>
      <rgbColor rgb="00993300"/>
      <rgbColor rgb="00993366"/>
      <rgbColor rgb="00442F65"/>
      <rgbColor rgb="00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628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2" name="Picture 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60</xdr:row>
      <xdr:rowOff>57240</xdr:rowOff>
    </xdr:from>
    <xdr:to>
      <xdr:col>1</xdr:col>
      <xdr:colOff>727200</xdr:colOff>
      <xdr:row>65</xdr:row>
      <xdr:rowOff>53280</xdr:rowOff>
    </xdr:to>
    <xdr:pic>
      <xdr:nvPicPr>
        <xdr:cNvPr id="3" name="Picture 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4300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118</xdr:row>
      <xdr:rowOff>57240</xdr:rowOff>
    </xdr:from>
    <xdr:to>
      <xdr:col>1</xdr:col>
      <xdr:colOff>727200</xdr:colOff>
      <xdr:row>123</xdr:row>
      <xdr:rowOff>53640</xdr:rowOff>
    </xdr:to>
    <xdr:pic>
      <xdr:nvPicPr>
        <xdr:cNvPr id="4" name="Picture 1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4218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178</xdr:row>
      <xdr:rowOff>57240</xdr:rowOff>
    </xdr:from>
    <xdr:to>
      <xdr:col>1</xdr:col>
      <xdr:colOff>727200</xdr:colOff>
      <xdr:row>183</xdr:row>
      <xdr:rowOff>53280</xdr:rowOff>
    </xdr:to>
    <xdr:pic>
      <xdr:nvPicPr>
        <xdr:cNvPr id="5" name="Picture 1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7947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237</xdr:row>
      <xdr:rowOff>57240</xdr:rowOff>
    </xdr:from>
    <xdr:to>
      <xdr:col>1</xdr:col>
      <xdr:colOff>727200</xdr:colOff>
      <xdr:row>242</xdr:row>
      <xdr:rowOff>53640</xdr:rowOff>
    </xdr:to>
    <xdr:pic>
      <xdr:nvPicPr>
        <xdr:cNvPr id="6" name="Picture 2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9770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296</xdr:row>
      <xdr:rowOff>57240</xdr:rowOff>
    </xdr:from>
    <xdr:to>
      <xdr:col>1</xdr:col>
      <xdr:colOff>727200</xdr:colOff>
      <xdr:row>301</xdr:row>
      <xdr:rowOff>53640</xdr:rowOff>
    </xdr:to>
    <xdr:pic>
      <xdr:nvPicPr>
        <xdr:cNvPr id="7" name="Picture 2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6130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354</xdr:row>
      <xdr:rowOff>57240</xdr:rowOff>
    </xdr:from>
    <xdr:to>
      <xdr:col>1</xdr:col>
      <xdr:colOff>727200</xdr:colOff>
      <xdr:row>359</xdr:row>
      <xdr:rowOff>53640</xdr:rowOff>
    </xdr:to>
    <xdr:pic>
      <xdr:nvPicPr>
        <xdr:cNvPr id="8" name="Picture 2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70941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422</xdr:row>
      <xdr:rowOff>57240</xdr:rowOff>
    </xdr:from>
    <xdr:to>
      <xdr:col>1</xdr:col>
      <xdr:colOff>727200</xdr:colOff>
      <xdr:row>427</xdr:row>
      <xdr:rowOff>53640</xdr:rowOff>
    </xdr:to>
    <xdr:pic>
      <xdr:nvPicPr>
        <xdr:cNvPr id="9" name="Picture 3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83621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488</xdr:row>
      <xdr:rowOff>57240</xdr:rowOff>
    </xdr:from>
    <xdr:to>
      <xdr:col>1</xdr:col>
      <xdr:colOff>727200</xdr:colOff>
      <xdr:row>493</xdr:row>
      <xdr:rowOff>53280</xdr:rowOff>
    </xdr:to>
    <xdr:pic>
      <xdr:nvPicPr>
        <xdr:cNvPr id="10" name="Picture 3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936355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554</xdr:row>
      <xdr:rowOff>57240</xdr:rowOff>
    </xdr:from>
    <xdr:to>
      <xdr:col>1</xdr:col>
      <xdr:colOff>727200</xdr:colOff>
      <xdr:row>559</xdr:row>
      <xdr:rowOff>53640</xdr:rowOff>
    </xdr:to>
    <xdr:pic>
      <xdr:nvPicPr>
        <xdr:cNvPr id="11" name="Picture 4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003077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620</xdr:row>
      <xdr:rowOff>57240</xdr:rowOff>
    </xdr:from>
    <xdr:to>
      <xdr:col>1</xdr:col>
      <xdr:colOff>727200</xdr:colOff>
      <xdr:row>625</xdr:row>
      <xdr:rowOff>53640</xdr:rowOff>
    </xdr:to>
    <xdr:pic>
      <xdr:nvPicPr>
        <xdr:cNvPr id="12" name="Picture 4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663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554</xdr:row>
      <xdr:rowOff>57240</xdr:rowOff>
    </xdr:from>
    <xdr:to>
      <xdr:col>1</xdr:col>
      <xdr:colOff>727200</xdr:colOff>
      <xdr:row>559</xdr:row>
      <xdr:rowOff>53640</xdr:rowOff>
    </xdr:to>
    <xdr:pic>
      <xdr:nvPicPr>
        <xdr:cNvPr id="13" name="Picture 4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003077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620</xdr:row>
      <xdr:rowOff>57240</xdr:rowOff>
    </xdr:from>
    <xdr:to>
      <xdr:col>1</xdr:col>
      <xdr:colOff>727200</xdr:colOff>
      <xdr:row>625</xdr:row>
      <xdr:rowOff>53640</xdr:rowOff>
    </xdr:to>
    <xdr:pic>
      <xdr:nvPicPr>
        <xdr:cNvPr id="14" name="Picture 4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663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620</xdr:row>
      <xdr:rowOff>57240</xdr:rowOff>
    </xdr:from>
    <xdr:to>
      <xdr:col>1</xdr:col>
      <xdr:colOff>727200</xdr:colOff>
      <xdr:row>625</xdr:row>
      <xdr:rowOff>53640</xdr:rowOff>
    </xdr:to>
    <xdr:pic>
      <xdr:nvPicPr>
        <xdr:cNvPr id="15" name="Picture 53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663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16" name="Picture 37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7</xdr:row>
      <xdr:rowOff>133920</xdr:rowOff>
    </xdr:from>
    <xdr:to>
      <xdr:col>8</xdr:col>
      <xdr:colOff>372240</xdr:colOff>
      <xdr:row>7</xdr:row>
      <xdr:rowOff>151920</xdr:rowOff>
    </xdr:to>
    <xdr:grpSp>
      <xdr:nvGrpSpPr>
        <xdr:cNvPr id="17" name="Group 38"/>
        <xdr:cNvGrpSpPr/>
      </xdr:nvGrpSpPr>
      <xdr:grpSpPr>
        <a:xfrm>
          <a:off x="26035" y="1371600"/>
          <a:ext cx="7165975" cy="18415"/>
          <a:chOff x="26640" y="1372320"/>
          <a:chExt cx="7508520" cy="18000"/>
        </a:xfrm>
      </xdr:grpSpPr>
      <xdr:cxnSp>
        <xdr:nvCxnSpPr>
          <xdr:cNvPr id="18" name="Straight Connector 39"/>
          <xdr:cNvCxnSpPr/>
        </xdr:nvCxnSpPr>
        <xdr:spPr>
          <a:xfrm>
            <a:off x="28800" y="13899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9" name="Straight Connector 41"/>
          <xdr:cNvCxnSpPr/>
        </xdr:nvCxnSpPr>
        <xdr:spPr>
          <a:xfrm>
            <a:off x="26640" y="137232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20" name="Picture 4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21" name="Picture 43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22" name="Picture 5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7</xdr:row>
      <xdr:rowOff>133920</xdr:rowOff>
    </xdr:from>
    <xdr:to>
      <xdr:col>8</xdr:col>
      <xdr:colOff>372240</xdr:colOff>
      <xdr:row>7</xdr:row>
      <xdr:rowOff>151920</xdr:rowOff>
    </xdr:to>
    <xdr:grpSp>
      <xdr:nvGrpSpPr>
        <xdr:cNvPr id="23" name="Group 55"/>
        <xdr:cNvGrpSpPr/>
      </xdr:nvGrpSpPr>
      <xdr:grpSpPr>
        <a:xfrm>
          <a:off x="26035" y="1371600"/>
          <a:ext cx="7165975" cy="18415"/>
          <a:chOff x="26640" y="1372320"/>
          <a:chExt cx="7508520" cy="18000"/>
        </a:xfrm>
      </xdr:grpSpPr>
      <xdr:cxnSp>
        <xdr:nvCxnSpPr>
          <xdr:cNvPr id="24" name="Straight Connector 56"/>
          <xdr:cNvCxnSpPr/>
        </xdr:nvCxnSpPr>
        <xdr:spPr>
          <a:xfrm>
            <a:off x="28800" y="13899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5" name="Straight Connector 57"/>
          <xdr:cNvCxnSpPr/>
        </xdr:nvCxnSpPr>
        <xdr:spPr>
          <a:xfrm>
            <a:off x="26640" y="137232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26" name="Picture 5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60</xdr:row>
      <xdr:rowOff>57240</xdr:rowOff>
    </xdr:from>
    <xdr:to>
      <xdr:col>1</xdr:col>
      <xdr:colOff>727200</xdr:colOff>
      <xdr:row>65</xdr:row>
      <xdr:rowOff>53280</xdr:rowOff>
    </xdr:to>
    <xdr:pic>
      <xdr:nvPicPr>
        <xdr:cNvPr id="27" name="Picture 5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4300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60</xdr:row>
      <xdr:rowOff>57240</xdr:rowOff>
    </xdr:from>
    <xdr:to>
      <xdr:col>1</xdr:col>
      <xdr:colOff>727200</xdr:colOff>
      <xdr:row>65</xdr:row>
      <xdr:rowOff>53280</xdr:rowOff>
    </xdr:to>
    <xdr:pic>
      <xdr:nvPicPr>
        <xdr:cNvPr id="28" name="Picture 6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4300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66</xdr:row>
      <xdr:rowOff>133920</xdr:rowOff>
    </xdr:from>
    <xdr:to>
      <xdr:col>8</xdr:col>
      <xdr:colOff>372240</xdr:colOff>
      <xdr:row>66</xdr:row>
      <xdr:rowOff>151920</xdr:rowOff>
    </xdr:to>
    <xdr:grpSp>
      <xdr:nvGrpSpPr>
        <xdr:cNvPr id="29" name="Group 61"/>
        <xdr:cNvGrpSpPr/>
      </xdr:nvGrpSpPr>
      <xdr:grpSpPr>
        <a:xfrm>
          <a:off x="26035" y="12553950"/>
          <a:ext cx="7165975" cy="18415"/>
          <a:chOff x="26640" y="12554640"/>
          <a:chExt cx="7508520" cy="18000"/>
        </a:xfrm>
      </xdr:grpSpPr>
      <xdr:cxnSp>
        <xdr:nvCxnSpPr>
          <xdr:cNvPr id="30" name="Straight Connector 62"/>
          <xdr:cNvCxnSpPr/>
        </xdr:nvCxnSpPr>
        <xdr:spPr>
          <a:xfrm>
            <a:off x="28800" y="1257228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31" name="Straight Connector 63"/>
          <xdr:cNvCxnSpPr/>
        </xdr:nvCxnSpPr>
        <xdr:spPr>
          <a:xfrm>
            <a:off x="26640" y="1255464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60</xdr:row>
      <xdr:rowOff>57240</xdr:rowOff>
    </xdr:from>
    <xdr:to>
      <xdr:col>1</xdr:col>
      <xdr:colOff>727200</xdr:colOff>
      <xdr:row>65</xdr:row>
      <xdr:rowOff>53280</xdr:rowOff>
    </xdr:to>
    <xdr:pic>
      <xdr:nvPicPr>
        <xdr:cNvPr id="32" name="Picture 6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4300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118</xdr:row>
      <xdr:rowOff>57240</xdr:rowOff>
    </xdr:from>
    <xdr:to>
      <xdr:col>1</xdr:col>
      <xdr:colOff>727200</xdr:colOff>
      <xdr:row>123</xdr:row>
      <xdr:rowOff>53640</xdr:rowOff>
    </xdr:to>
    <xdr:pic>
      <xdr:nvPicPr>
        <xdr:cNvPr id="33" name="Picture 65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4218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118</xdr:row>
      <xdr:rowOff>57240</xdr:rowOff>
    </xdr:from>
    <xdr:to>
      <xdr:col>1</xdr:col>
      <xdr:colOff>727200</xdr:colOff>
      <xdr:row>123</xdr:row>
      <xdr:rowOff>53640</xdr:rowOff>
    </xdr:to>
    <xdr:pic>
      <xdr:nvPicPr>
        <xdr:cNvPr id="34" name="Picture 6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4218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124</xdr:row>
      <xdr:rowOff>133920</xdr:rowOff>
    </xdr:from>
    <xdr:to>
      <xdr:col>8</xdr:col>
      <xdr:colOff>372240</xdr:colOff>
      <xdr:row>124</xdr:row>
      <xdr:rowOff>151920</xdr:rowOff>
    </xdr:to>
    <xdr:grpSp>
      <xdr:nvGrpSpPr>
        <xdr:cNvPr id="35" name="Group 67"/>
        <xdr:cNvGrpSpPr/>
      </xdr:nvGrpSpPr>
      <xdr:grpSpPr>
        <a:xfrm>
          <a:off x="26035" y="23545800"/>
          <a:ext cx="7165975" cy="18415"/>
          <a:chOff x="26640" y="23546520"/>
          <a:chExt cx="7508520" cy="18000"/>
        </a:xfrm>
      </xdr:grpSpPr>
      <xdr:cxnSp>
        <xdr:nvCxnSpPr>
          <xdr:cNvPr id="36" name="Straight Connector 68"/>
          <xdr:cNvCxnSpPr/>
        </xdr:nvCxnSpPr>
        <xdr:spPr>
          <a:xfrm>
            <a:off x="28800" y="235641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37" name="Straight Connector 69"/>
          <xdr:cNvCxnSpPr/>
        </xdr:nvCxnSpPr>
        <xdr:spPr>
          <a:xfrm>
            <a:off x="26640" y="2354652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118</xdr:row>
      <xdr:rowOff>57240</xdr:rowOff>
    </xdr:from>
    <xdr:to>
      <xdr:col>1</xdr:col>
      <xdr:colOff>727200</xdr:colOff>
      <xdr:row>123</xdr:row>
      <xdr:rowOff>53640</xdr:rowOff>
    </xdr:to>
    <xdr:pic>
      <xdr:nvPicPr>
        <xdr:cNvPr id="38" name="Picture 7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4218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178</xdr:row>
      <xdr:rowOff>57240</xdr:rowOff>
    </xdr:from>
    <xdr:to>
      <xdr:col>1</xdr:col>
      <xdr:colOff>727200</xdr:colOff>
      <xdr:row>183</xdr:row>
      <xdr:rowOff>53280</xdr:rowOff>
    </xdr:to>
    <xdr:pic>
      <xdr:nvPicPr>
        <xdr:cNvPr id="39" name="Picture 71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7947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178</xdr:row>
      <xdr:rowOff>57240</xdr:rowOff>
    </xdr:from>
    <xdr:to>
      <xdr:col>1</xdr:col>
      <xdr:colOff>727200</xdr:colOff>
      <xdr:row>183</xdr:row>
      <xdr:rowOff>53280</xdr:rowOff>
    </xdr:to>
    <xdr:pic>
      <xdr:nvPicPr>
        <xdr:cNvPr id="40" name="Picture 7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7947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184</xdr:row>
      <xdr:rowOff>133920</xdr:rowOff>
    </xdr:from>
    <xdr:to>
      <xdr:col>8</xdr:col>
      <xdr:colOff>372240</xdr:colOff>
      <xdr:row>184</xdr:row>
      <xdr:rowOff>151920</xdr:rowOff>
    </xdr:to>
    <xdr:grpSp>
      <xdr:nvGrpSpPr>
        <xdr:cNvPr id="41" name="Group 73"/>
        <xdr:cNvGrpSpPr/>
      </xdr:nvGrpSpPr>
      <xdr:grpSpPr>
        <a:xfrm>
          <a:off x="26035" y="34918650"/>
          <a:ext cx="7165975" cy="18415"/>
          <a:chOff x="26640" y="34919280"/>
          <a:chExt cx="7508520" cy="18000"/>
        </a:xfrm>
      </xdr:grpSpPr>
      <xdr:cxnSp>
        <xdr:nvCxnSpPr>
          <xdr:cNvPr id="42" name="Straight Connector 74"/>
          <xdr:cNvCxnSpPr/>
        </xdr:nvCxnSpPr>
        <xdr:spPr>
          <a:xfrm>
            <a:off x="28800" y="3493692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43" name="Straight Connector 75"/>
          <xdr:cNvCxnSpPr/>
        </xdr:nvCxnSpPr>
        <xdr:spPr>
          <a:xfrm>
            <a:off x="26640" y="3491928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178</xdr:row>
      <xdr:rowOff>57240</xdr:rowOff>
    </xdr:from>
    <xdr:to>
      <xdr:col>1</xdr:col>
      <xdr:colOff>727200</xdr:colOff>
      <xdr:row>183</xdr:row>
      <xdr:rowOff>53280</xdr:rowOff>
    </xdr:to>
    <xdr:pic>
      <xdr:nvPicPr>
        <xdr:cNvPr id="44" name="Picture 7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79470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237</xdr:row>
      <xdr:rowOff>57240</xdr:rowOff>
    </xdr:from>
    <xdr:to>
      <xdr:col>1</xdr:col>
      <xdr:colOff>727200</xdr:colOff>
      <xdr:row>242</xdr:row>
      <xdr:rowOff>53640</xdr:rowOff>
    </xdr:to>
    <xdr:pic>
      <xdr:nvPicPr>
        <xdr:cNvPr id="45" name="Picture 77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9770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237</xdr:row>
      <xdr:rowOff>57240</xdr:rowOff>
    </xdr:from>
    <xdr:to>
      <xdr:col>1</xdr:col>
      <xdr:colOff>727200</xdr:colOff>
      <xdr:row>242</xdr:row>
      <xdr:rowOff>53640</xdr:rowOff>
    </xdr:to>
    <xdr:pic>
      <xdr:nvPicPr>
        <xdr:cNvPr id="46" name="Picture 7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9770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243</xdr:row>
      <xdr:rowOff>133920</xdr:rowOff>
    </xdr:from>
    <xdr:to>
      <xdr:col>8</xdr:col>
      <xdr:colOff>372240</xdr:colOff>
      <xdr:row>243</xdr:row>
      <xdr:rowOff>151920</xdr:rowOff>
    </xdr:to>
    <xdr:grpSp>
      <xdr:nvGrpSpPr>
        <xdr:cNvPr id="47" name="Group 79"/>
        <xdr:cNvGrpSpPr/>
      </xdr:nvGrpSpPr>
      <xdr:grpSpPr>
        <a:xfrm>
          <a:off x="26035" y="46101000"/>
          <a:ext cx="7165975" cy="18415"/>
          <a:chOff x="26640" y="46101600"/>
          <a:chExt cx="7508520" cy="18000"/>
        </a:xfrm>
      </xdr:grpSpPr>
      <xdr:cxnSp>
        <xdr:nvCxnSpPr>
          <xdr:cNvPr id="48" name="Straight Connector 80"/>
          <xdr:cNvCxnSpPr/>
        </xdr:nvCxnSpPr>
        <xdr:spPr>
          <a:xfrm>
            <a:off x="28800" y="4611924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49" name="Straight Connector 81"/>
          <xdr:cNvCxnSpPr/>
        </xdr:nvCxnSpPr>
        <xdr:spPr>
          <a:xfrm>
            <a:off x="26640" y="4610160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237</xdr:row>
      <xdr:rowOff>57240</xdr:rowOff>
    </xdr:from>
    <xdr:to>
      <xdr:col>1</xdr:col>
      <xdr:colOff>727200</xdr:colOff>
      <xdr:row>242</xdr:row>
      <xdr:rowOff>53640</xdr:rowOff>
    </xdr:to>
    <xdr:pic>
      <xdr:nvPicPr>
        <xdr:cNvPr id="50" name="Picture 8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9770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296</xdr:row>
      <xdr:rowOff>57240</xdr:rowOff>
    </xdr:from>
    <xdr:to>
      <xdr:col>1</xdr:col>
      <xdr:colOff>727200</xdr:colOff>
      <xdr:row>301</xdr:row>
      <xdr:rowOff>53640</xdr:rowOff>
    </xdr:to>
    <xdr:pic>
      <xdr:nvPicPr>
        <xdr:cNvPr id="51" name="Picture 83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6130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296</xdr:row>
      <xdr:rowOff>57240</xdr:rowOff>
    </xdr:from>
    <xdr:to>
      <xdr:col>1</xdr:col>
      <xdr:colOff>727200</xdr:colOff>
      <xdr:row>301</xdr:row>
      <xdr:rowOff>53640</xdr:rowOff>
    </xdr:to>
    <xdr:pic>
      <xdr:nvPicPr>
        <xdr:cNvPr id="52" name="Picture 8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6130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302</xdr:row>
      <xdr:rowOff>133920</xdr:rowOff>
    </xdr:from>
    <xdr:to>
      <xdr:col>8</xdr:col>
      <xdr:colOff>372240</xdr:colOff>
      <xdr:row>302</xdr:row>
      <xdr:rowOff>151920</xdr:rowOff>
    </xdr:to>
    <xdr:grpSp>
      <xdr:nvGrpSpPr>
        <xdr:cNvPr id="53" name="Group 85"/>
        <xdr:cNvGrpSpPr/>
      </xdr:nvGrpSpPr>
      <xdr:grpSpPr>
        <a:xfrm>
          <a:off x="26035" y="57254775"/>
          <a:ext cx="7165975" cy="18415"/>
          <a:chOff x="26640" y="57255480"/>
          <a:chExt cx="7508520" cy="18000"/>
        </a:xfrm>
      </xdr:grpSpPr>
      <xdr:cxnSp>
        <xdr:nvCxnSpPr>
          <xdr:cNvPr id="54" name="Straight Connector 86"/>
          <xdr:cNvCxnSpPr/>
        </xdr:nvCxnSpPr>
        <xdr:spPr>
          <a:xfrm>
            <a:off x="28800" y="5727312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55" name="Straight Connector 87"/>
          <xdr:cNvCxnSpPr/>
        </xdr:nvCxnSpPr>
        <xdr:spPr>
          <a:xfrm>
            <a:off x="26640" y="5725548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296</xdr:row>
      <xdr:rowOff>57240</xdr:rowOff>
    </xdr:from>
    <xdr:to>
      <xdr:col>1</xdr:col>
      <xdr:colOff>727200</xdr:colOff>
      <xdr:row>301</xdr:row>
      <xdr:rowOff>53640</xdr:rowOff>
    </xdr:to>
    <xdr:pic>
      <xdr:nvPicPr>
        <xdr:cNvPr id="56" name="Picture 8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6130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354</xdr:row>
      <xdr:rowOff>57240</xdr:rowOff>
    </xdr:from>
    <xdr:to>
      <xdr:col>1</xdr:col>
      <xdr:colOff>727200</xdr:colOff>
      <xdr:row>359</xdr:row>
      <xdr:rowOff>53640</xdr:rowOff>
    </xdr:to>
    <xdr:pic>
      <xdr:nvPicPr>
        <xdr:cNvPr id="57" name="Picture 8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70941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354</xdr:row>
      <xdr:rowOff>57240</xdr:rowOff>
    </xdr:from>
    <xdr:to>
      <xdr:col>1</xdr:col>
      <xdr:colOff>727200</xdr:colOff>
      <xdr:row>359</xdr:row>
      <xdr:rowOff>53640</xdr:rowOff>
    </xdr:to>
    <xdr:pic>
      <xdr:nvPicPr>
        <xdr:cNvPr id="58" name="Picture 9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70941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360</xdr:row>
      <xdr:rowOff>133920</xdr:rowOff>
    </xdr:from>
    <xdr:to>
      <xdr:col>8</xdr:col>
      <xdr:colOff>372240</xdr:colOff>
      <xdr:row>360</xdr:row>
      <xdr:rowOff>151920</xdr:rowOff>
    </xdr:to>
    <xdr:grpSp>
      <xdr:nvGrpSpPr>
        <xdr:cNvPr id="59" name="Group 91"/>
        <xdr:cNvGrpSpPr/>
      </xdr:nvGrpSpPr>
      <xdr:grpSpPr>
        <a:xfrm>
          <a:off x="26035" y="68218050"/>
          <a:ext cx="7165975" cy="18415"/>
          <a:chOff x="26640" y="68218560"/>
          <a:chExt cx="7508520" cy="18000"/>
        </a:xfrm>
      </xdr:grpSpPr>
      <xdr:cxnSp>
        <xdr:nvCxnSpPr>
          <xdr:cNvPr id="60" name="Straight Connector 92"/>
          <xdr:cNvCxnSpPr/>
        </xdr:nvCxnSpPr>
        <xdr:spPr>
          <a:xfrm>
            <a:off x="28800" y="6823620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61" name="Straight Connector 93"/>
          <xdr:cNvCxnSpPr/>
        </xdr:nvCxnSpPr>
        <xdr:spPr>
          <a:xfrm>
            <a:off x="26640" y="682185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354</xdr:row>
      <xdr:rowOff>57240</xdr:rowOff>
    </xdr:from>
    <xdr:to>
      <xdr:col>1</xdr:col>
      <xdr:colOff>727200</xdr:colOff>
      <xdr:row>359</xdr:row>
      <xdr:rowOff>53640</xdr:rowOff>
    </xdr:to>
    <xdr:pic>
      <xdr:nvPicPr>
        <xdr:cNvPr id="62" name="Picture 9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70941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422</xdr:row>
      <xdr:rowOff>57240</xdr:rowOff>
    </xdr:from>
    <xdr:to>
      <xdr:col>1</xdr:col>
      <xdr:colOff>727200</xdr:colOff>
      <xdr:row>427</xdr:row>
      <xdr:rowOff>53640</xdr:rowOff>
    </xdr:to>
    <xdr:pic>
      <xdr:nvPicPr>
        <xdr:cNvPr id="63" name="Picture 95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83621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422</xdr:row>
      <xdr:rowOff>57240</xdr:rowOff>
    </xdr:from>
    <xdr:to>
      <xdr:col>1</xdr:col>
      <xdr:colOff>727200</xdr:colOff>
      <xdr:row>427</xdr:row>
      <xdr:rowOff>53640</xdr:rowOff>
    </xdr:to>
    <xdr:pic>
      <xdr:nvPicPr>
        <xdr:cNvPr id="64" name="Picture 9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83621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428</xdr:row>
      <xdr:rowOff>133920</xdr:rowOff>
    </xdr:from>
    <xdr:to>
      <xdr:col>8</xdr:col>
      <xdr:colOff>372240</xdr:colOff>
      <xdr:row>428</xdr:row>
      <xdr:rowOff>151920</xdr:rowOff>
    </xdr:to>
    <xdr:grpSp>
      <xdr:nvGrpSpPr>
        <xdr:cNvPr id="65" name="Group 97"/>
        <xdr:cNvGrpSpPr/>
      </xdr:nvGrpSpPr>
      <xdr:grpSpPr>
        <a:xfrm>
          <a:off x="26035" y="79486125"/>
          <a:ext cx="7165975" cy="18415"/>
          <a:chOff x="26640" y="79486560"/>
          <a:chExt cx="7508520" cy="18000"/>
        </a:xfrm>
      </xdr:grpSpPr>
      <xdr:cxnSp>
        <xdr:nvCxnSpPr>
          <xdr:cNvPr id="66" name="Straight Connector 98"/>
          <xdr:cNvCxnSpPr/>
        </xdr:nvCxnSpPr>
        <xdr:spPr>
          <a:xfrm>
            <a:off x="28800" y="7950420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67" name="Straight Connector 99"/>
          <xdr:cNvCxnSpPr/>
        </xdr:nvCxnSpPr>
        <xdr:spPr>
          <a:xfrm>
            <a:off x="26640" y="794865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422</xdr:row>
      <xdr:rowOff>57240</xdr:rowOff>
    </xdr:from>
    <xdr:to>
      <xdr:col>1</xdr:col>
      <xdr:colOff>727200</xdr:colOff>
      <xdr:row>427</xdr:row>
      <xdr:rowOff>53640</xdr:rowOff>
    </xdr:to>
    <xdr:pic>
      <xdr:nvPicPr>
        <xdr:cNvPr id="68" name="Picture 10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83621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488</xdr:row>
      <xdr:rowOff>57240</xdr:rowOff>
    </xdr:from>
    <xdr:to>
      <xdr:col>1</xdr:col>
      <xdr:colOff>727200</xdr:colOff>
      <xdr:row>493</xdr:row>
      <xdr:rowOff>53280</xdr:rowOff>
    </xdr:to>
    <xdr:pic>
      <xdr:nvPicPr>
        <xdr:cNvPr id="69" name="Picture 101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936355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488</xdr:row>
      <xdr:rowOff>57240</xdr:rowOff>
    </xdr:from>
    <xdr:to>
      <xdr:col>1</xdr:col>
      <xdr:colOff>727200</xdr:colOff>
      <xdr:row>493</xdr:row>
      <xdr:rowOff>53280</xdr:rowOff>
    </xdr:to>
    <xdr:pic>
      <xdr:nvPicPr>
        <xdr:cNvPr id="70" name="Picture 10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936355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494</xdr:row>
      <xdr:rowOff>133920</xdr:rowOff>
    </xdr:from>
    <xdr:to>
      <xdr:col>8</xdr:col>
      <xdr:colOff>372240</xdr:colOff>
      <xdr:row>494</xdr:row>
      <xdr:rowOff>151920</xdr:rowOff>
    </xdr:to>
    <xdr:grpSp>
      <xdr:nvGrpSpPr>
        <xdr:cNvPr id="71" name="Group 103"/>
        <xdr:cNvGrpSpPr/>
      </xdr:nvGrpSpPr>
      <xdr:grpSpPr>
        <a:xfrm>
          <a:off x="26035" y="90487500"/>
          <a:ext cx="7165975" cy="18415"/>
          <a:chOff x="26640" y="90488160"/>
          <a:chExt cx="7508520" cy="18000"/>
        </a:xfrm>
      </xdr:grpSpPr>
      <xdr:cxnSp>
        <xdr:nvCxnSpPr>
          <xdr:cNvPr id="72" name="Straight Connector 104"/>
          <xdr:cNvCxnSpPr/>
        </xdr:nvCxnSpPr>
        <xdr:spPr>
          <a:xfrm>
            <a:off x="28800" y="9050580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73" name="Straight Connector 105"/>
          <xdr:cNvCxnSpPr/>
        </xdr:nvCxnSpPr>
        <xdr:spPr>
          <a:xfrm>
            <a:off x="26640" y="904881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488</xdr:row>
      <xdr:rowOff>57240</xdr:rowOff>
    </xdr:from>
    <xdr:to>
      <xdr:col>1</xdr:col>
      <xdr:colOff>727200</xdr:colOff>
      <xdr:row>493</xdr:row>
      <xdr:rowOff>53280</xdr:rowOff>
    </xdr:to>
    <xdr:pic>
      <xdr:nvPicPr>
        <xdr:cNvPr id="74" name="Picture 10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9363550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554</xdr:row>
      <xdr:rowOff>57240</xdr:rowOff>
    </xdr:from>
    <xdr:to>
      <xdr:col>1</xdr:col>
      <xdr:colOff>727200</xdr:colOff>
      <xdr:row>559</xdr:row>
      <xdr:rowOff>53640</xdr:rowOff>
    </xdr:to>
    <xdr:pic>
      <xdr:nvPicPr>
        <xdr:cNvPr id="75" name="Picture 107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003077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554</xdr:row>
      <xdr:rowOff>57240</xdr:rowOff>
    </xdr:from>
    <xdr:to>
      <xdr:col>1</xdr:col>
      <xdr:colOff>727200</xdr:colOff>
      <xdr:row>559</xdr:row>
      <xdr:rowOff>53640</xdr:rowOff>
    </xdr:to>
    <xdr:pic>
      <xdr:nvPicPr>
        <xdr:cNvPr id="76" name="Picture 10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003077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560</xdr:row>
      <xdr:rowOff>133920</xdr:rowOff>
    </xdr:from>
    <xdr:to>
      <xdr:col>8</xdr:col>
      <xdr:colOff>372240</xdr:colOff>
      <xdr:row>560</xdr:row>
      <xdr:rowOff>151920</xdr:rowOff>
    </xdr:to>
    <xdr:grpSp>
      <xdr:nvGrpSpPr>
        <xdr:cNvPr id="77" name="Group 109"/>
        <xdr:cNvGrpSpPr/>
      </xdr:nvGrpSpPr>
      <xdr:grpSpPr>
        <a:xfrm>
          <a:off x="26035" y="101431725"/>
          <a:ext cx="7165975" cy="18415"/>
          <a:chOff x="26640" y="101432160"/>
          <a:chExt cx="7508520" cy="18000"/>
        </a:xfrm>
      </xdr:grpSpPr>
      <xdr:cxnSp>
        <xdr:nvCxnSpPr>
          <xdr:cNvPr id="78" name="Straight Connector 110"/>
          <xdr:cNvCxnSpPr/>
        </xdr:nvCxnSpPr>
        <xdr:spPr>
          <a:xfrm>
            <a:off x="28800" y="10144980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79" name="Straight Connector 111"/>
          <xdr:cNvCxnSpPr/>
        </xdr:nvCxnSpPr>
        <xdr:spPr>
          <a:xfrm>
            <a:off x="26640" y="10143216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554</xdr:row>
      <xdr:rowOff>57240</xdr:rowOff>
    </xdr:from>
    <xdr:to>
      <xdr:col>1</xdr:col>
      <xdr:colOff>727200</xdr:colOff>
      <xdr:row>559</xdr:row>
      <xdr:rowOff>53640</xdr:rowOff>
    </xdr:to>
    <xdr:pic>
      <xdr:nvPicPr>
        <xdr:cNvPr id="80" name="Picture 11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0030777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620</xdr:row>
      <xdr:rowOff>57240</xdr:rowOff>
    </xdr:from>
    <xdr:to>
      <xdr:col>1</xdr:col>
      <xdr:colOff>727200</xdr:colOff>
      <xdr:row>625</xdr:row>
      <xdr:rowOff>53640</xdr:rowOff>
    </xdr:to>
    <xdr:pic>
      <xdr:nvPicPr>
        <xdr:cNvPr id="81" name="Picture 113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663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620</xdr:row>
      <xdr:rowOff>57240</xdr:rowOff>
    </xdr:from>
    <xdr:to>
      <xdr:col>1</xdr:col>
      <xdr:colOff>727200</xdr:colOff>
      <xdr:row>625</xdr:row>
      <xdr:rowOff>53640</xdr:rowOff>
    </xdr:to>
    <xdr:pic>
      <xdr:nvPicPr>
        <xdr:cNvPr id="82" name="Picture 11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663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626</xdr:row>
      <xdr:rowOff>133920</xdr:rowOff>
    </xdr:from>
    <xdr:to>
      <xdr:col>8</xdr:col>
      <xdr:colOff>372240</xdr:colOff>
      <xdr:row>626</xdr:row>
      <xdr:rowOff>151920</xdr:rowOff>
    </xdr:to>
    <xdr:grpSp>
      <xdr:nvGrpSpPr>
        <xdr:cNvPr id="83" name="Group 115"/>
        <xdr:cNvGrpSpPr/>
      </xdr:nvGrpSpPr>
      <xdr:grpSpPr>
        <a:xfrm>
          <a:off x="26035" y="112490250"/>
          <a:ext cx="7165975" cy="18415"/>
          <a:chOff x="26640" y="112491000"/>
          <a:chExt cx="7508520" cy="18000"/>
        </a:xfrm>
      </xdr:grpSpPr>
      <xdr:cxnSp>
        <xdr:nvCxnSpPr>
          <xdr:cNvPr id="84" name="Straight Connector 116"/>
          <xdr:cNvCxnSpPr/>
        </xdr:nvCxnSpPr>
        <xdr:spPr>
          <a:xfrm>
            <a:off x="28800" y="11250864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85" name="Straight Connector 117"/>
          <xdr:cNvCxnSpPr/>
        </xdr:nvCxnSpPr>
        <xdr:spPr>
          <a:xfrm>
            <a:off x="26640" y="112491000"/>
            <a:ext cx="75067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620</xdr:row>
      <xdr:rowOff>57240</xdr:rowOff>
    </xdr:from>
    <xdr:to>
      <xdr:col>1</xdr:col>
      <xdr:colOff>727200</xdr:colOff>
      <xdr:row>625</xdr:row>
      <xdr:rowOff>53640</xdr:rowOff>
    </xdr:to>
    <xdr:pic>
      <xdr:nvPicPr>
        <xdr:cNvPr id="86" name="Picture 11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6630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86" name="Picture 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67</xdr:row>
      <xdr:rowOff>57240</xdr:rowOff>
    </xdr:from>
    <xdr:to>
      <xdr:col>1</xdr:col>
      <xdr:colOff>727200</xdr:colOff>
      <xdr:row>72</xdr:row>
      <xdr:rowOff>53640</xdr:rowOff>
    </xdr:to>
    <xdr:pic>
      <xdr:nvPicPr>
        <xdr:cNvPr id="87" name="Picture 4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96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135</xdr:row>
      <xdr:rowOff>57240</xdr:rowOff>
    </xdr:from>
    <xdr:to>
      <xdr:col>1</xdr:col>
      <xdr:colOff>727200</xdr:colOff>
      <xdr:row>140</xdr:row>
      <xdr:rowOff>53640</xdr:rowOff>
    </xdr:to>
    <xdr:pic>
      <xdr:nvPicPr>
        <xdr:cNvPr id="88" name="Picture 5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2694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201</xdr:row>
      <xdr:rowOff>57240</xdr:rowOff>
    </xdr:from>
    <xdr:to>
      <xdr:col>1</xdr:col>
      <xdr:colOff>727200</xdr:colOff>
      <xdr:row>206</xdr:row>
      <xdr:rowOff>53640</xdr:rowOff>
    </xdr:to>
    <xdr:pic>
      <xdr:nvPicPr>
        <xdr:cNvPr id="89" name="Picture 6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1184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268</xdr:row>
      <xdr:rowOff>57240</xdr:rowOff>
    </xdr:from>
    <xdr:to>
      <xdr:col>1</xdr:col>
      <xdr:colOff>727200</xdr:colOff>
      <xdr:row>273</xdr:row>
      <xdr:rowOff>53640</xdr:rowOff>
    </xdr:to>
    <xdr:pic>
      <xdr:nvPicPr>
        <xdr:cNvPr id="90" name="Picture 6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1293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335</xdr:row>
      <xdr:rowOff>57240</xdr:rowOff>
    </xdr:from>
    <xdr:to>
      <xdr:col>1</xdr:col>
      <xdr:colOff>727200</xdr:colOff>
      <xdr:row>340</xdr:row>
      <xdr:rowOff>53640</xdr:rowOff>
    </xdr:to>
    <xdr:pic>
      <xdr:nvPicPr>
        <xdr:cNvPr id="91" name="Picture 6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51402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402</xdr:row>
      <xdr:rowOff>57240</xdr:rowOff>
    </xdr:from>
    <xdr:to>
      <xdr:col>1</xdr:col>
      <xdr:colOff>727200</xdr:colOff>
      <xdr:row>407</xdr:row>
      <xdr:rowOff>53280</xdr:rowOff>
    </xdr:to>
    <xdr:pic>
      <xdr:nvPicPr>
        <xdr:cNvPr id="92" name="Picture 7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6151125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469</xdr:row>
      <xdr:rowOff>57240</xdr:rowOff>
    </xdr:from>
    <xdr:to>
      <xdr:col>1</xdr:col>
      <xdr:colOff>727200</xdr:colOff>
      <xdr:row>474</xdr:row>
      <xdr:rowOff>53640</xdr:rowOff>
    </xdr:to>
    <xdr:pic>
      <xdr:nvPicPr>
        <xdr:cNvPr id="93" name="Picture 7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71620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536</xdr:row>
      <xdr:rowOff>57240</xdr:rowOff>
    </xdr:from>
    <xdr:to>
      <xdr:col>1</xdr:col>
      <xdr:colOff>727200</xdr:colOff>
      <xdr:row>541</xdr:row>
      <xdr:rowOff>53640</xdr:rowOff>
    </xdr:to>
    <xdr:pic>
      <xdr:nvPicPr>
        <xdr:cNvPr id="94" name="Picture 8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81729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603</xdr:row>
      <xdr:rowOff>57240</xdr:rowOff>
    </xdr:from>
    <xdr:to>
      <xdr:col>1</xdr:col>
      <xdr:colOff>727200</xdr:colOff>
      <xdr:row>608</xdr:row>
      <xdr:rowOff>53640</xdr:rowOff>
    </xdr:to>
    <xdr:pic>
      <xdr:nvPicPr>
        <xdr:cNvPr id="95" name="Picture 8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99183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670</xdr:row>
      <xdr:rowOff>57240</xdr:rowOff>
    </xdr:from>
    <xdr:to>
      <xdr:col>1</xdr:col>
      <xdr:colOff>727200</xdr:colOff>
      <xdr:row>675</xdr:row>
      <xdr:rowOff>53640</xdr:rowOff>
    </xdr:to>
    <xdr:pic>
      <xdr:nvPicPr>
        <xdr:cNvPr id="96" name="Picture 8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1947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737</xdr:row>
      <xdr:rowOff>57240</xdr:rowOff>
    </xdr:from>
    <xdr:to>
      <xdr:col>1</xdr:col>
      <xdr:colOff>727200</xdr:colOff>
      <xdr:row>742</xdr:row>
      <xdr:rowOff>53640</xdr:rowOff>
    </xdr:to>
    <xdr:pic>
      <xdr:nvPicPr>
        <xdr:cNvPr id="97" name="Picture 9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21205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98" name="Picture 5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7</xdr:row>
      <xdr:rowOff>133920</xdr:rowOff>
    </xdr:from>
    <xdr:to>
      <xdr:col>8</xdr:col>
      <xdr:colOff>372240</xdr:colOff>
      <xdr:row>7</xdr:row>
      <xdr:rowOff>151920</xdr:rowOff>
    </xdr:to>
    <xdr:grpSp>
      <xdr:nvGrpSpPr>
        <xdr:cNvPr id="99" name="Group 6"/>
        <xdr:cNvGrpSpPr/>
      </xdr:nvGrpSpPr>
      <xdr:grpSpPr>
        <a:xfrm>
          <a:off x="26035" y="1371600"/>
          <a:ext cx="6210935" cy="18415"/>
          <a:chOff x="26640" y="1372320"/>
          <a:chExt cx="7990920" cy="18000"/>
        </a:xfrm>
      </xdr:grpSpPr>
      <xdr:cxnSp>
        <xdr:nvCxnSpPr>
          <xdr:cNvPr id="100" name="Straight Connector 7"/>
          <xdr:cNvCxnSpPr/>
        </xdr:nvCxnSpPr>
        <xdr:spPr>
          <a:xfrm>
            <a:off x="28800" y="138996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01" name="Straight Connector 8"/>
          <xdr:cNvCxnSpPr/>
        </xdr:nvCxnSpPr>
        <xdr:spPr>
          <a:xfrm>
            <a:off x="26640" y="137232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102" name="Picture 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67</xdr:row>
      <xdr:rowOff>57240</xdr:rowOff>
    </xdr:from>
    <xdr:to>
      <xdr:col>1</xdr:col>
      <xdr:colOff>727200</xdr:colOff>
      <xdr:row>72</xdr:row>
      <xdr:rowOff>53640</xdr:rowOff>
    </xdr:to>
    <xdr:pic>
      <xdr:nvPicPr>
        <xdr:cNvPr id="103" name="Picture 1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96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73</xdr:row>
      <xdr:rowOff>133920</xdr:rowOff>
    </xdr:from>
    <xdr:to>
      <xdr:col>8</xdr:col>
      <xdr:colOff>372240</xdr:colOff>
      <xdr:row>73</xdr:row>
      <xdr:rowOff>151920</xdr:rowOff>
    </xdr:to>
    <xdr:grpSp>
      <xdr:nvGrpSpPr>
        <xdr:cNvPr id="104" name="Group 11"/>
        <xdr:cNvGrpSpPr/>
      </xdr:nvGrpSpPr>
      <xdr:grpSpPr>
        <a:xfrm>
          <a:off x="26035" y="12220575"/>
          <a:ext cx="6210935" cy="18415"/>
          <a:chOff x="26640" y="12221280"/>
          <a:chExt cx="7990920" cy="18000"/>
        </a:xfrm>
      </xdr:grpSpPr>
      <xdr:cxnSp>
        <xdr:nvCxnSpPr>
          <xdr:cNvPr id="105" name="Straight Connector 12"/>
          <xdr:cNvCxnSpPr/>
        </xdr:nvCxnSpPr>
        <xdr:spPr>
          <a:xfrm>
            <a:off x="28800" y="1223892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06" name="Straight Connector 13"/>
          <xdr:cNvCxnSpPr/>
        </xdr:nvCxnSpPr>
        <xdr:spPr>
          <a:xfrm>
            <a:off x="26640" y="1222128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67</xdr:row>
      <xdr:rowOff>57240</xdr:rowOff>
    </xdr:from>
    <xdr:to>
      <xdr:col>1</xdr:col>
      <xdr:colOff>727200</xdr:colOff>
      <xdr:row>72</xdr:row>
      <xdr:rowOff>53640</xdr:rowOff>
    </xdr:to>
    <xdr:pic>
      <xdr:nvPicPr>
        <xdr:cNvPr id="107" name="Picture 1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96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135</xdr:row>
      <xdr:rowOff>57240</xdr:rowOff>
    </xdr:from>
    <xdr:to>
      <xdr:col>1</xdr:col>
      <xdr:colOff>727200</xdr:colOff>
      <xdr:row>140</xdr:row>
      <xdr:rowOff>53640</xdr:rowOff>
    </xdr:to>
    <xdr:pic>
      <xdr:nvPicPr>
        <xdr:cNvPr id="108" name="Picture 15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2694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141</xdr:row>
      <xdr:rowOff>133920</xdr:rowOff>
    </xdr:from>
    <xdr:to>
      <xdr:col>8</xdr:col>
      <xdr:colOff>372240</xdr:colOff>
      <xdr:row>141</xdr:row>
      <xdr:rowOff>151920</xdr:rowOff>
    </xdr:to>
    <xdr:grpSp>
      <xdr:nvGrpSpPr>
        <xdr:cNvPr id="109" name="Group 16"/>
        <xdr:cNvGrpSpPr/>
      </xdr:nvGrpSpPr>
      <xdr:grpSpPr>
        <a:xfrm>
          <a:off x="26035" y="23393400"/>
          <a:ext cx="6210935" cy="18415"/>
          <a:chOff x="26640" y="23393880"/>
          <a:chExt cx="7990920" cy="18000"/>
        </a:xfrm>
      </xdr:grpSpPr>
      <xdr:cxnSp>
        <xdr:nvCxnSpPr>
          <xdr:cNvPr id="110" name="Straight Connector 17"/>
          <xdr:cNvCxnSpPr/>
        </xdr:nvCxnSpPr>
        <xdr:spPr>
          <a:xfrm>
            <a:off x="28800" y="2341152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11" name="Straight Connector 18"/>
          <xdr:cNvCxnSpPr/>
        </xdr:nvCxnSpPr>
        <xdr:spPr>
          <a:xfrm>
            <a:off x="26640" y="2339388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135</xdr:row>
      <xdr:rowOff>57240</xdr:rowOff>
    </xdr:from>
    <xdr:to>
      <xdr:col>1</xdr:col>
      <xdr:colOff>727200</xdr:colOff>
      <xdr:row>140</xdr:row>
      <xdr:rowOff>53640</xdr:rowOff>
    </xdr:to>
    <xdr:pic>
      <xdr:nvPicPr>
        <xdr:cNvPr id="112" name="Picture 1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2694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201</xdr:row>
      <xdr:rowOff>57240</xdr:rowOff>
    </xdr:from>
    <xdr:to>
      <xdr:col>1</xdr:col>
      <xdr:colOff>727200</xdr:colOff>
      <xdr:row>206</xdr:row>
      <xdr:rowOff>53640</xdr:rowOff>
    </xdr:to>
    <xdr:pic>
      <xdr:nvPicPr>
        <xdr:cNvPr id="113" name="Picture 2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1184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207</xdr:row>
      <xdr:rowOff>133920</xdr:rowOff>
    </xdr:from>
    <xdr:to>
      <xdr:col>8</xdr:col>
      <xdr:colOff>372240</xdr:colOff>
      <xdr:row>207</xdr:row>
      <xdr:rowOff>151920</xdr:rowOff>
    </xdr:to>
    <xdr:grpSp>
      <xdr:nvGrpSpPr>
        <xdr:cNvPr id="114" name="Group 21"/>
        <xdr:cNvGrpSpPr/>
      </xdr:nvGrpSpPr>
      <xdr:grpSpPr>
        <a:xfrm>
          <a:off x="26035" y="34242375"/>
          <a:ext cx="6210935" cy="18415"/>
          <a:chOff x="26640" y="34242840"/>
          <a:chExt cx="7990920" cy="18000"/>
        </a:xfrm>
      </xdr:grpSpPr>
      <xdr:cxnSp>
        <xdr:nvCxnSpPr>
          <xdr:cNvPr id="115" name="Straight Connector 22"/>
          <xdr:cNvCxnSpPr/>
        </xdr:nvCxnSpPr>
        <xdr:spPr>
          <a:xfrm>
            <a:off x="28800" y="3426048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16" name="Straight Connector 23"/>
          <xdr:cNvCxnSpPr/>
        </xdr:nvCxnSpPr>
        <xdr:spPr>
          <a:xfrm>
            <a:off x="26640" y="3424284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201</xdr:row>
      <xdr:rowOff>57240</xdr:rowOff>
    </xdr:from>
    <xdr:to>
      <xdr:col>1</xdr:col>
      <xdr:colOff>727200</xdr:colOff>
      <xdr:row>206</xdr:row>
      <xdr:rowOff>53640</xdr:rowOff>
    </xdr:to>
    <xdr:pic>
      <xdr:nvPicPr>
        <xdr:cNvPr id="117" name="Picture 2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1184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268</xdr:row>
      <xdr:rowOff>57240</xdr:rowOff>
    </xdr:from>
    <xdr:to>
      <xdr:col>1</xdr:col>
      <xdr:colOff>727200</xdr:colOff>
      <xdr:row>273</xdr:row>
      <xdr:rowOff>53640</xdr:rowOff>
    </xdr:to>
    <xdr:pic>
      <xdr:nvPicPr>
        <xdr:cNvPr id="118" name="Picture 25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1293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274</xdr:row>
      <xdr:rowOff>133920</xdr:rowOff>
    </xdr:from>
    <xdr:to>
      <xdr:col>8</xdr:col>
      <xdr:colOff>372240</xdr:colOff>
      <xdr:row>274</xdr:row>
      <xdr:rowOff>151920</xdr:rowOff>
    </xdr:to>
    <xdr:grpSp>
      <xdr:nvGrpSpPr>
        <xdr:cNvPr id="119" name="Group 26"/>
        <xdr:cNvGrpSpPr/>
      </xdr:nvGrpSpPr>
      <xdr:grpSpPr>
        <a:xfrm>
          <a:off x="26035" y="45253275"/>
          <a:ext cx="6210935" cy="18415"/>
          <a:chOff x="26640" y="45253800"/>
          <a:chExt cx="7990920" cy="18000"/>
        </a:xfrm>
      </xdr:grpSpPr>
      <xdr:cxnSp>
        <xdr:nvCxnSpPr>
          <xdr:cNvPr id="120" name="Straight Connector 27"/>
          <xdr:cNvCxnSpPr/>
        </xdr:nvCxnSpPr>
        <xdr:spPr>
          <a:xfrm>
            <a:off x="28800" y="4527144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21" name="Straight Connector 28"/>
          <xdr:cNvCxnSpPr/>
        </xdr:nvCxnSpPr>
        <xdr:spPr>
          <a:xfrm>
            <a:off x="26640" y="4525380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268</xdr:row>
      <xdr:rowOff>57240</xdr:rowOff>
    </xdr:from>
    <xdr:to>
      <xdr:col>1</xdr:col>
      <xdr:colOff>727200</xdr:colOff>
      <xdr:row>273</xdr:row>
      <xdr:rowOff>53640</xdr:rowOff>
    </xdr:to>
    <xdr:pic>
      <xdr:nvPicPr>
        <xdr:cNvPr id="122" name="Picture 2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1293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335</xdr:row>
      <xdr:rowOff>57240</xdr:rowOff>
    </xdr:from>
    <xdr:to>
      <xdr:col>1</xdr:col>
      <xdr:colOff>727200</xdr:colOff>
      <xdr:row>340</xdr:row>
      <xdr:rowOff>53640</xdr:rowOff>
    </xdr:to>
    <xdr:pic>
      <xdr:nvPicPr>
        <xdr:cNvPr id="123" name="Picture 3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51402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341</xdr:row>
      <xdr:rowOff>133920</xdr:rowOff>
    </xdr:from>
    <xdr:to>
      <xdr:col>8</xdr:col>
      <xdr:colOff>372240</xdr:colOff>
      <xdr:row>341</xdr:row>
      <xdr:rowOff>151920</xdr:rowOff>
    </xdr:to>
    <xdr:grpSp>
      <xdr:nvGrpSpPr>
        <xdr:cNvPr id="124" name="Group 31"/>
        <xdr:cNvGrpSpPr/>
      </xdr:nvGrpSpPr>
      <xdr:grpSpPr>
        <a:xfrm>
          <a:off x="26035" y="56264175"/>
          <a:ext cx="6210935" cy="18415"/>
          <a:chOff x="26640" y="56264760"/>
          <a:chExt cx="7990920" cy="18000"/>
        </a:xfrm>
      </xdr:grpSpPr>
      <xdr:cxnSp>
        <xdr:nvCxnSpPr>
          <xdr:cNvPr id="125" name="Straight Connector 32"/>
          <xdr:cNvCxnSpPr/>
        </xdr:nvCxnSpPr>
        <xdr:spPr>
          <a:xfrm>
            <a:off x="28800" y="5628240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26" name="Straight Connector 33"/>
          <xdr:cNvCxnSpPr/>
        </xdr:nvCxnSpPr>
        <xdr:spPr>
          <a:xfrm>
            <a:off x="26640" y="5626476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335</xdr:row>
      <xdr:rowOff>57240</xdr:rowOff>
    </xdr:from>
    <xdr:to>
      <xdr:col>1</xdr:col>
      <xdr:colOff>727200</xdr:colOff>
      <xdr:row>340</xdr:row>
      <xdr:rowOff>53640</xdr:rowOff>
    </xdr:to>
    <xdr:pic>
      <xdr:nvPicPr>
        <xdr:cNvPr id="127" name="Picture 3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51402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402</xdr:row>
      <xdr:rowOff>57240</xdr:rowOff>
    </xdr:from>
    <xdr:to>
      <xdr:col>1</xdr:col>
      <xdr:colOff>727200</xdr:colOff>
      <xdr:row>407</xdr:row>
      <xdr:rowOff>53280</xdr:rowOff>
    </xdr:to>
    <xdr:pic>
      <xdr:nvPicPr>
        <xdr:cNvPr id="128" name="Picture 35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6151125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408</xdr:row>
      <xdr:rowOff>133920</xdr:rowOff>
    </xdr:from>
    <xdr:to>
      <xdr:col>8</xdr:col>
      <xdr:colOff>372240</xdr:colOff>
      <xdr:row>408</xdr:row>
      <xdr:rowOff>151920</xdr:rowOff>
    </xdr:to>
    <xdr:grpSp>
      <xdr:nvGrpSpPr>
        <xdr:cNvPr id="129" name="Group 36"/>
        <xdr:cNvGrpSpPr/>
      </xdr:nvGrpSpPr>
      <xdr:grpSpPr>
        <a:xfrm>
          <a:off x="26035" y="67275075"/>
          <a:ext cx="6210935" cy="18415"/>
          <a:chOff x="26640" y="67275720"/>
          <a:chExt cx="7990920" cy="18000"/>
        </a:xfrm>
      </xdr:grpSpPr>
      <xdr:cxnSp>
        <xdr:nvCxnSpPr>
          <xdr:cNvPr id="130" name="Straight Connector 37"/>
          <xdr:cNvCxnSpPr/>
        </xdr:nvCxnSpPr>
        <xdr:spPr>
          <a:xfrm>
            <a:off x="28800" y="6729336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31" name="Straight Connector 38"/>
          <xdr:cNvCxnSpPr/>
        </xdr:nvCxnSpPr>
        <xdr:spPr>
          <a:xfrm>
            <a:off x="26640" y="6727572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402</xdr:row>
      <xdr:rowOff>57240</xdr:rowOff>
    </xdr:from>
    <xdr:to>
      <xdr:col>1</xdr:col>
      <xdr:colOff>727200</xdr:colOff>
      <xdr:row>407</xdr:row>
      <xdr:rowOff>53280</xdr:rowOff>
    </xdr:to>
    <xdr:pic>
      <xdr:nvPicPr>
        <xdr:cNvPr id="132" name="Picture 3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6151125"/>
          <a:ext cx="1070610" cy="8528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469</xdr:row>
      <xdr:rowOff>57240</xdr:rowOff>
    </xdr:from>
    <xdr:to>
      <xdr:col>1</xdr:col>
      <xdr:colOff>727200</xdr:colOff>
      <xdr:row>474</xdr:row>
      <xdr:rowOff>53640</xdr:rowOff>
    </xdr:to>
    <xdr:pic>
      <xdr:nvPicPr>
        <xdr:cNvPr id="133" name="Picture 4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71620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475</xdr:row>
      <xdr:rowOff>133920</xdr:rowOff>
    </xdr:from>
    <xdr:to>
      <xdr:col>8</xdr:col>
      <xdr:colOff>372240</xdr:colOff>
      <xdr:row>475</xdr:row>
      <xdr:rowOff>151920</xdr:rowOff>
    </xdr:to>
    <xdr:grpSp>
      <xdr:nvGrpSpPr>
        <xdr:cNvPr id="134" name="Group 41"/>
        <xdr:cNvGrpSpPr/>
      </xdr:nvGrpSpPr>
      <xdr:grpSpPr>
        <a:xfrm>
          <a:off x="26035" y="78285975"/>
          <a:ext cx="6210935" cy="18415"/>
          <a:chOff x="26640" y="78286680"/>
          <a:chExt cx="7990920" cy="18000"/>
        </a:xfrm>
      </xdr:grpSpPr>
      <xdr:cxnSp>
        <xdr:nvCxnSpPr>
          <xdr:cNvPr id="135" name="Straight Connector 42"/>
          <xdr:cNvCxnSpPr/>
        </xdr:nvCxnSpPr>
        <xdr:spPr>
          <a:xfrm>
            <a:off x="28800" y="7830432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36" name="Straight Connector 43"/>
          <xdr:cNvCxnSpPr/>
        </xdr:nvCxnSpPr>
        <xdr:spPr>
          <a:xfrm>
            <a:off x="26640" y="7828668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469</xdr:row>
      <xdr:rowOff>57240</xdr:rowOff>
    </xdr:from>
    <xdr:to>
      <xdr:col>1</xdr:col>
      <xdr:colOff>727200</xdr:colOff>
      <xdr:row>474</xdr:row>
      <xdr:rowOff>53640</xdr:rowOff>
    </xdr:to>
    <xdr:pic>
      <xdr:nvPicPr>
        <xdr:cNvPr id="137" name="Picture 4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71620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536</xdr:row>
      <xdr:rowOff>57240</xdr:rowOff>
    </xdr:from>
    <xdr:to>
      <xdr:col>1</xdr:col>
      <xdr:colOff>727200</xdr:colOff>
      <xdr:row>541</xdr:row>
      <xdr:rowOff>53640</xdr:rowOff>
    </xdr:to>
    <xdr:pic>
      <xdr:nvPicPr>
        <xdr:cNvPr id="138" name="Picture 4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81729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542</xdr:row>
      <xdr:rowOff>133920</xdr:rowOff>
    </xdr:from>
    <xdr:to>
      <xdr:col>8</xdr:col>
      <xdr:colOff>372240</xdr:colOff>
      <xdr:row>542</xdr:row>
      <xdr:rowOff>151920</xdr:rowOff>
    </xdr:to>
    <xdr:grpSp>
      <xdr:nvGrpSpPr>
        <xdr:cNvPr id="139" name="Group 50"/>
        <xdr:cNvGrpSpPr/>
      </xdr:nvGrpSpPr>
      <xdr:grpSpPr>
        <a:xfrm>
          <a:off x="26035" y="89296875"/>
          <a:ext cx="6210935" cy="18415"/>
          <a:chOff x="26640" y="89297280"/>
          <a:chExt cx="7990920" cy="18000"/>
        </a:xfrm>
      </xdr:grpSpPr>
      <xdr:cxnSp>
        <xdr:nvCxnSpPr>
          <xdr:cNvPr id="140" name="Straight Connector 51"/>
          <xdr:cNvCxnSpPr/>
        </xdr:nvCxnSpPr>
        <xdr:spPr>
          <a:xfrm>
            <a:off x="28800" y="8931492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41" name="Straight Connector 52"/>
          <xdr:cNvCxnSpPr/>
        </xdr:nvCxnSpPr>
        <xdr:spPr>
          <a:xfrm>
            <a:off x="26640" y="8929728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536</xdr:row>
      <xdr:rowOff>57240</xdr:rowOff>
    </xdr:from>
    <xdr:to>
      <xdr:col>1</xdr:col>
      <xdr:colOff>727200</xdr:colOff>
      <xdr:row>541</xdr:row>
      <xdr:rowOff>53640</xdr:rowOff>
    </xdr:to>
    <xdr:pic>
      <xdr:nvPicPr>
        <xdr:cNvPr id="142" name="Picture 93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81729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603</xdr:row>
      <xdr:rowOff>57240</xdr:rowOff>
    </xdr:from>
    <xdr:to>
      <xdr:col>1</xdr:col>
      <xdr:colOff>727200</xdr:colOff>
      <xdr:row>608</xdr:row>
      <xdr:rowOff>53640</xdr:rowOff>
    </xdr:to>
    <xdr:pic>
      <xdr:nvPicPr>
        <xdr:cNvPr id="143" name="Picture 9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99183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609</xdr:row>
      <xdr:rowOff>133920</xdr:rowOff>
    </xdr:from>
    <xdr:to>
      <xdr:col>8</xdr:col>
      <xdr:colOff>372240</xdr:colOff>
      <xdr:row>609</xdr:row>
      <xdr:rowOff>151920</xdr:rowOff>
    </xdr:to>
    <xdr:grpSp>
      <xdr:nvGrpSpPr>
        <xdr:cNvPr id="144" name="Group 95"/>
        <xdr:cNvGrpSpPr/>
      </xdr:nvGrpSpPr>
      <xdr:grpSpPr>
        <a:xfrm>
          <a:off x="26035" y="100307775"/>
          <a:ext cx="6210935" cy="18415"/>
          <a:chOff x="26640" y="100308240"/>
          <a:chExt cx="7990920" cy="18000"/>
        </a:xfrm>
      </xdr:grpSpPr>
      <xdr:cxnSp>
        <xdr:nvCxnSpPr>
          <xdr:cNvPr id="145" name="Straight Connector 96"/>
          <xdr:cNvCxnSpPr/>
        </xdr:nvCxnSpPr>
        <xdr:spPr>
          <a:xfrm>
            <a:off x="28800" y="10032588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46" name="Straight Connector 97"/>
          <xdr:cNvCxnSpPr/>
        </xdr:nvCxnSpPr>
        <xdr:spPr>
          <a:xfrm>
            <a:off x="26640" y="10030824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603</xdr:row>
      <xdr:rowOff>57240</xdr:rowOff>
    </xdr:from>
    <xdr:to>
      <xdr:col>1</xdr:col>
      <xdr:colOff>727200</xdr:colOff>
      <xdr:row>608</xdr:row>
      <xdr:rowOff>53640</xdr:rowOff>
    </xdr:to>
    <xdr:pic>
      <xdr:nvPicPr>
        <xdr:cNvPr id="147" name="Picture 9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99183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670</xdr:row>
      <xdr:rowOff>57240</xdr:rowOff>
    </xdr:from>
    <xdr:to>
      <xdr:col>1</xdr:col>
      <xdr:colOff>727200</xdr:colOff>
      <xdr:row>675</xdr:row>
      <xdr:rowOff>53640</xdr:rowOff>
    </xdr:to>
    <xdr:pic>
      <xdr:nvPicPr>
        <xdr:cNvPr id="148" name="Picture 99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1947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676</xdr:row>
      <xdr:rowOff>133920</xdr:rowOff>
    </xdr:from>
    <xdr:to>
      <xdr:col>8</xdr:col>
      <xdr:colOff>372240</xdr:colOff>
      <xdr:row>676</xdr:row>
      <xdr:rowOff>151920</xdr:rowOff>
    </xdr:to>
    <xdr:grpSp>
      <xdr:nvGrpSpPr>
        <xdr:cNvPr id="149" name="Group 100"/>
        <xdr:cNvGrpSpPr/>
      </xdr:nvGrpSpPr>
      <xdr:grpSpPr>
        <a:xfrm>
          <a:off x="26035" y="111318675"/>
          <a:ext cx="6210935" cy="18415"/>
          <a:chOff x="26640" y="111319200"/>
          <a:chExt cx="7990920" cy="18000"/>
        </a:xfrm>
      </xdr:grpSpPr>
      <xdr:cxnSp>
        <xdr:nvCxnSpPr>
          <xdr:cNvPr id="150" name="Straight Connector 101"/>
          <xdr:cNvCxnSpPr/>
        </xdr:nvCxnSpPr>
        <xdr:spPr>
          <a:xfrm>
            <a:off x="28800" y="11133684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51" name="Straight Connector 102"/>
          <xdr:cNvCxnSpPr/>
        </xdr:nvCxnSpPr>
        <xdr:spPr>
          <a:xfrm>
            <a:off x="26640" y="11131920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670</xdr:row>
      <xdr:rowOff>57240</xdr:rowOff>
    </xdr:from>
    <xdr:to>
      <xdr:col>1</xdr:col>
      <xdr:colOff>727200</xdr:colOff>
      <xdr:row>675</xdr:row>
      <xdr:rowOff>53640</xdr:rowOff>
    </xdr:to>
    <xdr:pic>
      <xdr:nvPicPr>
        <xdr:cNvPr id="152" name="Picture 103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1947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737</xdr:row>
      <xdr:rowOff>57240</xdr:rowOff>
    </xdr:from>
    <xdr:to>
      <xdr:col>1</xdr:col>
      <xdr:colOff>727200</xdr:colOff>
      <xdr:row>742</xdr:row>
      <xdr:rowOff>53640</xdr:rowOff>
    </xdr:to>
    <xdr:pic>
      <xdr:nvPicPr>
        <xdr:cNvPr id="153" name="Picture 10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21205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743</xdr:row>
      <xdr:rowOff>133920</xdr:rowOff>
    </xdr:from>
    <xdr:to>
      <xdr:col>8</xdr:col>
      <xdr:colOff>372240</xdr:colOff>
      <xdr:row>743</xdr:row>
      <xdr:rowOff>151920</xdr:rowOff>
    </xdr:to>
    <xdr:grpSp>
      <xdr:nvGrpSpPr>
        <xdr:cNvPr id="154" name="Group 105"/>
        <xdr:cNvGrpSpPr/>
      </xdr:nvGrpSpPr>
      <xdr:grpSpPr>
        <a:xfrm>
          <a:off x="26035" y="122329575"/>
          <a:ext cx="6210935" cy="18415"/>
          <a:chOff x="26640" y="122330160"/>
          <a:chExt cx="7990920" cy="18000"/>
        </a:xfrm>
      </xdr:grpSpPr>
      <xdr:cxnSp>
        <xdr:nvCxnSpPr>
          <xdr:cNvPr id="155" name="Straight Connector 106"/>
          <xdr:cNvCxnSpPr/>
        </xdr:nvCxnSpPr>
        <xdr:spPr>
          <a:xfrm>
            <a:off x="28800" y="122347800"/>
            <a:ext cx="79891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56" name="Straight Connector 107"/>
          <xdr:cNvCxnSpPr/>
        </xdr:nvCxnSpPr>
        <xdr:spPr>
          <a:xfrm>
            <a:off x="26640" y="122330160"/>
            <a:ext cx="798840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737</xdr:row>
      <xdr:rowOff>57240</xdr:rowOff>
    </xdr:from>
    <xdr:to>
      <xdr:col>1</xdr:col>
      <xdr:colOff>727200</xdr:colOff>
      <xdr:row>742</xdr:row>
      <xdr:rowOff>53640</xdr:rowOff>
    </xdr:to>
    <xdr:pic>
      <xdr:nvPicPr>
        <xdr:cNvPr id="157" name="Picture 10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21205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26640</xdr:colOff>
      <xdr:row>7</xdr:row>
      <xdr:rowOff>133920</xdr:rowOff>
    </xdr:from>
    <xdr:to>
      <xdr:col>8</xdr:col>
      <xdr:colOff>372240</xdr:colOff>
      <xdr:row>7</xdr:row>
      <xdr:rowOff>151920</xdr:rowOff>
    </xdr:to>
    <xdr:grpSp>
      <xdr:nvGrpSpPr>
        <xdr:cNvPr id="158" name="Group 1"/>
        <xdr:cNvGrpSpPr/>
      </xdr:nvGrpSpPr>
      <xdr:grpSpPr>
        <a:xfrm>
          <a:off x="26035" y="1371600"/>
          <a:ext cx="5587365" cy="18415"/>
          <a:chOff x="26640" y="1372320"/>
          <a:chExt cx="7611120" cy="18000"/>
        </a:xfrm>
      </xdr:grpSpPr>
      <xdr:cxnSp>
        <xdr:nvCxnSpPr>
          <xdr:cNvPr id="159" name="Straight Connector 2"/>
          <xdr:cNvCxnSpPr/>
        </xdr:nvCxnSpPr>
        <xdr:spPr>
          <a:xfrm>
            <a:off x="28800" y="138996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60" name="Straight Connector 3"/>
          <xdr:cNvCxnSpPr/>
        </xdr:nvCxnSpPr>
        <xdr:spPr>
          <a:xfrm>
            <a:off x="26640" y="137232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</xdr:row>
      <xdr:rowOff>57240</xdr:rowOff>
    </xdr:from>
    <xdr:to>
      <xdr:col>1</xdr:col>
      <xdr:colOff>727200</xdr:colOff>
      <xdr:row>6</xdr:row>
      <xdr:rowOff>53640</xdr:rowOff>
    </xdr:to>
    <xdr:pic>
      <xdr:nvPicPr>
        <xdr:cNvPr id="161" name="Picture 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47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52560</xdr:colOff>
      <xdr:row>73</xdr:row>
      <xdr:rowOff>133920</xdr:rowOff>
    </xdr:from>
    <xdr:to>
      <xdr:col>9</xdr:col>
      <xdr:colOff>17280</xdr:colOff>
      <xdr:row>73</xdr:row>
      <xdr:rowOff>151920</xdr:rowOff>
    </xdr:to>
    <xdr:grpSp>
      <xdr:nvGrpSpPr>
        <xdr:cNvPr id="162" name="Group 5"/>
        <xdr:cNvGrpSpPr/>
      </xdr:nvGrpSpPr>
      <xdr:grpSpPr>
        <a:xfrm>
          <a:off x="52070" y="12220575"/>
          <a:ext cx="5561330" cy="18415"/>
          <a:chOff x="52560" y="12221280"/>
          <a:chExt cx="7687440" cy="18000"/>
        </a:xfrm>
      </xdr:grpSpPr>
      <xdr:cxnSp>
        <xdr:nvCxnSpPr>
          <xdr:cNvPr id="163" name="Straight Connector 6"/>
          <xdr:cNvCxnSpPr/>
        </xdr:nvCxnSpPr>
        <xdr:spPr>
          <a:xfrm>
            <a:off x="55080" y="12238920"/>
            <a:ext cx="768528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64" name="Straight Connector 7"/>
          <xdr:cNvCxnSpPr/>
        </xdr:nvCxnSpPr>
        <xdr:spPr>
          <a:xfrm>
            <a:off x="52560" y="12221280"/>
            <a:ext cx="768528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67</xdr:row>
      <xdr:rowOff>57240</xdr:rowOff>
    </xdr:from>
    <xdr:to>
      <xdr:col>1</xdr:col>
      <xdr:colOff>727200</xdr:colOff>
      <xdr:row>72</xdr:row>
      <xdr:rowOff>53640</xdr:rowOff>
    </xdr:to>
    <xdr:pic>
      <xdr:nvPicPr>
        <xdr:cNvPr id="165" name="Picture 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96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135</xdr:row>
      <xdr:rowOff>57240</xdr:rowOff>
    </xdr:from>
    <xdr:to>
      <xdr:col>1</xdr:col>
      <xdr:colOff>727200</xdr:colOff>
      <xdr:row>140</xdr:row>
      <xdr:rowOff>53640</xdr:rowOff>
    </xdr:to>
    <xdr:pic>
      <xdr:nvPicPr>
        <xdr:cNvPr id="166" name="Picture 1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2694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202</xdr:row>
      <xdr:rowOff>57240</xdr:rowOff>
    </xdr:from>
    <xdr:to>
      <xdr:col>1</xdr:col>
      <xdr:colOff>727200</xdr:colOff>
      <xdr:row>207</xdr:row>
      <xdr:rowOff>53640</xdr:rowOff>
    </xdr:to>
    <xdr:pic>
      <xdr:nvPicPr>
        <xdr:cNvPr id="167" name="Picture 1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2803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269</xdr:row>
      <xdr:rowOff>57240</xdr:rowOff>
    </xdr:from>
    <xdr:to>
      <xdr:col>1</xdr:col>
      <xdr:colOff>727200</xdr:colOff>
      <xdr:row>274</xdr:row>
      <xdr:rowOff>53640</xdr:rowOff>
    </xdr:to>
    <xdr:pic>
      <xdr:nvPicPr>
        <xdr:cNvPr id="168" name="Picture 2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2912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335</xdr:row>
      <xdr:rowOff>57240</xdr:rowOff>
    </xdr:from>
    <xdr:to>
      <xdr:col>1</xdr:col>
      <xdr:colOff>727200</xdr:colOff>
      <xdr:row>340</xdr:row>
      <xdr:rowOff>53640</xdr:rowOff>
    </xdr:to>
    <xdr:pic>
      <xdr:nvPicPr>
        <xdr:cNvPr id="169" name="Picture 2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51402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403</xdr:row>
      <xdr:rowOff>57240</xdr:rowOff>
    </xdr:from>
    <xdr:to>
      <xdr:col>1</xdr:col>
      <xdr:colOff>727200</xdr:colOff>
      <xdr:row>408</xdr:row>
      <xdr:rowOff>53640</xdr:rowOff>
    </xdr:to>
    <xdr:pic>
      <xdr:nvPicPr>
        <xdr:cNvPr id="170" name="Picture 2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63130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470</xdr:row>
      <xdr:rowOff>57240</xdr:rowOff>
    </xdr:from>
    <xdr:to>
      <xdr:col>1</xdr:col>
      <xdr:colOff>727200</xdr:colOff>
      <xdr:row>475</xdr:row>
      <xdr:rowOff>53640</xdr:rowOff>
    </xdr:to>
    <xdr:pic>
      <xdr:nvPicPr>
        <xdr:cNvPr id="171" name="Picture 3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73239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536</xdr:row>
      <xdr:rowOff>57240</xdr:rowOff>
    </xdr:from>
    <xdr:to>
      <xdr:col>1</xdr:col>
      <xdr:colOff>727200</xdr:colOff>
      <xdr:row>541</xdr:row>
      <xdr:rowOff>53640</xdr:rowOff>
    </xdr:to>
    <xdr:pic>
      <xdr:nvPicPr>
        <xdr:cNvPr id="172" name="Picture 3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81729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603</xdr:row>
      <xdr:rowOff>57240</xdr:rowOff>
    </xdr:from>
    <xdr:to>
      <xdr:col>1</xdr:col>
      <xdr:colOff>727200</xdr:colOff>
      <xdr:row>608</xdr:row>
      <xdr:rowOff>53640</xdr:rowOff>
    </xdr:to>
    <xdr:pic>
      <xdr:nvPicPr>
        <xdr:cNvPr id="173" name="Picture 4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99183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671</xdr:row>
      <xdr:rowOff>57240</xdr:rowOff>
    </xdr:from>
    <xdr:to>
      <xdr:col>1</xdr:col>
      <xdr:colOff>727200</xdr:colOff>
      <xdr:row>676</xdr:row>
      <xdr:rowOff>53640</xdr:rowOff>
    </xdr:to>
    <xdr:pic>
      <xdr:nvPicPr>
        <xdr:cNvPr id="174" name="Picture 4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356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73</xdr:row>
      <xdr:rowOff>133920</xdr:rowOff>
    </xdr:from>
    <xdr:to>
      <xdr:col>8</xdr:col>
      <xdr:colOff>372240</xdr:colOff>
      <xdr:row>73</xdr:row>
      <xdr:rowOff>151920</xdr:rowOff>
    </xdr:to>
    <xdr:grpSp>
      <xdr:nvGrpSpPr>
        <xdr:cNvPr id="175" name="Group 49"/>
        <xdr:cNvGrpSpPr/>
      </xdr:nvGrpSpPr>
      <xdr:grpSpPr>
        <a:xfrm>
          <a:off x="26035" y="12220575"/>
          <a:ext cx="5587365" cy="18415"/>
          <a:chOff x="26640" y="12221280"/>
          <a:chExt cx="7611120" cy="18000"/>
        </a:xfrm>
      </xdr:grpSpPr>
      <xdr:cxnSp>
        <xdr:nvCxnSpPr>
          <xdr:cNvPr id="176" name="Straight Connector 50"/>
          <xdr:cNvCxnSpPr/>
        </xdr:nvCxnSpPr>
        <xdr:spPr>
          <a:xfrm>
            <a:off x="28800" y="1223892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77" name="Straight Connector 51"/>
          <xdr:cNvCxnSpPr/>
        </xdr:nvCxnSpPr>
        <xdr:spPr>
          <a:xfrm>
            <a:off x="26640" y="1222128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67</xdr:row>
      <xdr:rowOff>57240</xdr:rowOff>
    </xdr:from>
    <xdr:to>
      <xdr:col>1</xdr:col>
      <xdr:colOff>727200</xdr:colOff>
      <xdr:row>72</xdr:row>
      <xdr:rowOff>53640</xdr:rowOff>
    </xdr:to>
    <xdr:pic>
      <xdr:nvPicPr>
        <xdr:cNvPr id="178" name="Picture 5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966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141</xdr:row>
      <xdr:rowOff>133920</xdr:rowOff>
    </xdr:from>
    <xdr:to>
      <xdr:col>8</xdr:col>
      <xdr:colOff>372240</xdr:colOff>
      <xdr:row>141</xdr:row>
      <xdr:rowOff>151920</xdr:rowOff>
    </xdr:to>
    <xdr:grpSp>
      <xdr:nvGrpSpPr>
        <xdr:cNvPr id="179" name="Group 53"/>
        <xdr:cNvGrpSpPr/>
      </xdr:nvGrpSpPr>
      <xdr:grpSpPr>
        <a:xfrm>
          <a:off x="26035" y="23393400"/>
          <a:ext cx="5587365" cy="18415"/>
          <a:chOff x="26640" y="23393880"/>
          <a:chExt cx="7611120" cy="18000"/>
        </a:xfrm>
      </xdr:grpSpPr>
      <xdr:cxnSp>
        <xdr:nvCxnSpPr>
          <xdr:cNvPr id="180" name="Straight Connector 54"/>
          <xdr:cNvCxnSpPr/>
        </xdr:nvCxnSpPr>
        <xdr:spPr>
          <a:xfrm>
            <a:off x="28800" y="2341152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81" name="Straight Connector 55"/>
          <xdr:cNvCxnSpPr/>
        </xdr:nvCxnSpPr>
        <xdr:spPr>
          <a:xfrm>
            <a:off x="26640" y="2339388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135</xdr:row>
      <xdr:rowOff>57240</xdr:rowOff>
    </xdr:from>
    <xdr:to>
      <xdr:col>1</xdr:col>
      <xdr:colOff>727200</xdr:colOff>
      <xdr:row>140</xdr:row>
      <xdr:rowOff>53640</xdr:rowOff>
    </xdr:to>
    <xdr:pic>
      <xdr:nvPicPr>
        <xdr:cNvPr id="182" name="Picture 5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2694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208</xdr:row>
      <xdr:rowOff>133920</xdr:rowOff>
    </xdr:from>
    <xdr:to>
      <xdr:col>8</xdr:col>
      <xdr:colOff>372240</xdr:colOff>
      <xdr:row>208</xdr:row>
      <xdr:rowOff>151920</xdr:rowOff>
    </xdr:to>
    <xdr:grpSp>
      <xdr:nvGrpSpPr>
        <xdr:cNvPr id="183" name="Group 57"/>
        <xdr:cNvGrpSpPr/>
      </xdr:nvGrpSpPr>
      <xdr:grpSpPr>
        <a:xfrm>
          <a:off x="26035" y="34404300"/>
          <a:ext cx="5587365" cy="18415"/>
          <a:chOff x="26640" y="34404840"/>
          <a:chExt cx="7611120" cy="18000"/>
        </a:xfrm>
      </xdr:grpSpPr>
      <xdr:cxnSp>
        <xdr:nvCxnSpPr>
          <xdr:cNvPr id="184" name="Straight Connector 58"/>
          <xdr:cNvCxnSpPr/>
        </xdr:nvCxnSpPr>
        <xdr:spPr>
          <a:xfrm>
            <a:off x="28800" y="3442248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85" name="Straight Connector 59"/>
          <xdr:cNvCxnSpPr/>
        </xdr:nvCxnSpPr>
        <xdr:spPr>
          <a:xfrm>
            <a:off x="26640" y="3440484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202</xdr:row>
      <xdr:rowOff>57240</xdr:rowOff>
    </xdr:from>
    <xdr:to>
      <xdr:col>1</xdr:col>
      <xdr:colOff>727200</xdr:colOff>
      <xdr:row>207</xdr:row>
      <xdr:rowOff>53640</xdr:rowOff>
    </xdr:to>
    <xdr:pic>
      <xdr:nvPicPr>
        <xdr:cNvPr id="186" name="Picture 6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332803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275</xdr:row>
      <xdr:rowOff>133920</xdr:rowOff>
    </xdr:from>
    <xdr:to>
      <xdr:col>8</xdr:col>
      <xdr:colOff>372240</xdr:colOff>
      <xdr:row>275</xdr:row>
      <xdr:rowOff>151920</xdr:rowOff>
    </xdr:to>
    <xdr:grpSp>
      <xdr:nvGrpSpPr>
        <xdr:cNvPr id="187" name="Group 61"/>
        <xdr:cNvGrpSpPr/>
      </xdr:nvGrpSpPr>
      <xdr:grpSpPr>
        <a:xfrm>
          <a:off x="26035" y="45415200"/>
          <a:ext cx="5587365" cy="18415"/>
          <a:chOff x="26640" y="45415800"/>
          <a:chExt cx="7611120" cy="18000"/>
        </a:xfrm>
      </xdr:grpSpPr>
      <xdr:cxnSp>
        <xdr:nvCxnSpPr>
          <xdr:cNvPr id="188" name="Straight Connector 62"/>
          <xdr:cNvCxnSpPr/>
        </xdr:nvCxnSpPr>
        <xdr:spPr>
          <a:xfrm>
            <a:off x="28800" y="4543344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89" name="Straight Connector 63"/>
          <xdr:cNvCxnSpPr/>
        </xdr:nvCxnSpPr>
        <xdr:spPr>
          <a:xfrm>
            <a:off x="26640" y="4541580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269</xdr:row>
      <xdr:rowOff>57240</xdr:rowOff>
    </xdr:from>
    <xdr:to>
      <xdr:col>1</xdr:col>
      <xdr:colOff>727200</xdr:colOff>
      <xdr:row>274</xdr:row>
      <xdr:rowOff>53640</xdr:rowOff>
    </xdr:to>
    <xdr:pic>
      <xdr:nvPicPr>
        <xdr:cNvPr id="190" name="Picture 6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442912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341</xdr:row>
      <xdr:rowOff>133920</xdr:rowOff>
    </xdr:from>
    <xdr:to>
      <xdr:col>8</xdr:col>
      <xdr:colOff>372240</xdr:colOff>
      <xdr:row>341</xdr:row>
      <xdr:rowOff>151920</xdr:rowOff>
    </xdr:to>
    <xdr:grpSp>
      <xdr:nvGrpSpPr>
        <xdr:cNvPr id="191" name="Group 65"/>
        <xdr:cNvGrpSpPr/>
      </xdr:nvGrpSpPr>
      <xdr:grpSpPr>
        <a:xfrm>
          <a:off x="26035" y="56264175"/>
          <a:ext cx="5587365" cy="18415"/>
          <a:chOff x="26640" y="56264760"/>
          <a:chExt cx="7611120" cy="18000"/>
        </a:xfrm>
      </xdr:grpSpPr>
      <xdr:cxnSp>
        <xdr:nvCxnSpPr>
          <xdr:cNvPr id="192" name="Straight Connector 66"/>
          <xdr:cNvCxnSpPr/>
        </xdr:nvCxnSpPr>
        <xdr:spPr>
          <a:xfrm>
            <a:off x="28800" y="5628240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93" name="Straight Connector 67"/>
          <xdr:cNvCxnSpPr/>
        </xdr:nvCxnSpPr>
        <xdr:spPr>
          <a:xfrm>
            <a:off x="26640" y="5626476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335</xdr:row>
      <xdr:rowOff>57240</xdr:rowOff>
    </xdr:from>
    <xdr:to>
      <xdr:col>1</xdr:col>
      <xdr:colOff>727200</xdr:colOff>
      <xdr:row>340</xdr:row>
      <xdr:rowOff>53640</xdr:rowOff>
    </xdr:to>
    <xdr:pic>
      <xdr:nvPicPr>
        <xdr:cNvPr id="194" name="Picture 6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51402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409</xdr:row>
      <xdr:rowOff>133920</xdr:rowOff>
    </xdr:from>
    <xdr:to>
      <xdr:col>8</xdr:col>
      <xdr:colOff>372240</xdr:colOff>
      <xdr:row>409</xdr:row>
      <xdr:rowOff>151920</xdr:rowOff>
    </xdr:to>
    <xdr:grpSp>
      <xdr:nvGrpSpPr>
        <xdr:cNvPr id="195" name="Group 69"/>
        <xdr:cNvGrpSpPr/>
      </xdr:nvGrpSpPr>
      <xdr:grpSpPr>
        <a:xfrm>
          <a:off x="26035" y="67437000"/>
          <a:ext cx="5587365" cy="18415"/>
          <a:chOff x="26640" y="67437720"/>
          <a:chExt cx="7611120" cy="18000"/>
        </a:xfrm>
      </xdr:grpSpPr>
      <xdr:cxnSp>
        <xdr:nvCxnSpPr>
          <xdr:cNvPr id="196" name="Straight Connector 70"/>
          <xdr:cNvCxnSpPr/>
        </xdr:nvCxnSpPr>
        <xdr:spPr>
          <a:xfrm>
            <a:off x="28800" y="6745536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97" name="Straight Connector 71"/>
          <xdr:cNvCxnSpPr/>
        </xdr:nvCxnSpPr>
        <xdr:spPr>
          <a:xfrm>
            <a:off x="26640" y="6743772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403</xdr:row>
      <xdr:rowOff>57240</xdr:rowOff>
    </xdr:from>
    <xdr:to>
      <xdr:col>1</xdr:col>
      <xdr:colOff>727200</xdr:colOff>
      <xdr:row>408</xdr:row>
      <xdr:rowOff>53640</xdr:rowOff>
    </xdr:to>
    <xdr:pic>
      <xdr:nvPicPr>
        <xdr:cNvPr id="198" name="Picture 7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663130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476</xdr:row>
      <xdr:rowOff>133920</xdr:rowOff>
    </xdr:from>
    <xdr:to>
      <xdr:col>8</xdr:col>
      <xdr:colOff>372240</xdr:colOff>
      <xdr:row>476</xdr:row>
      <xdr:rowOff>151920</xdr:rowOff>
    </xdr:to>
    <xdr:grpSp>
      <xdr:nvGrpSpPr>
        <xdr:cNvPr id="199" name="Group 73"/>
        <xdr:cNvGrpSpPr/>
      </xdr:nvGrpSpPr>
      <xdr:grpSpPr>
        <a:xfrm>
          <a:off x="26035" y="78447900"/>
          <a:ext cx="5587365" cy="18415"/>
          <a:chOff x="26640" y="78448320"/>
          <a:chExt cx="7611120" cy="18000"/>
        </a:xfrm>
      </xdr:grpSpPr>
      <xdr:cxnSp>
        <xdr:nvCxnSpPr>
          <xdr:cNvPr id="200" name="Straight Connector 74"/>
          <xdr:cNvCxnSpPr/>
        </xdr:nvCxnSpPr>
        <xdr:spPr>
          <a:xfrm>
            <a:off x="28800" y="7846596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01" name="Straight Connector 75"/>
          <xdr:cNvCxnSpPr/>
        </xdr:nvCxnSpPr>
        <xdr:spPr>
          <a:xfrm>
            <a:off x="26640" y="7844832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470</xdr:row>
      <xdr:rowOff>57240</xdr:rowOff>
    </xdr:from>
    <xdr:to>
      <xdr:col>1</xdr:col>
      <xdr:colOff>727200</xdr:colOff>
      <xdr:row>475</xdr:row>
      <xdr:rowOff>53640</xdr:rowOff>
    </xdr:to>
    <xdr:pic>
      <xdr:nvPicPr>
        <xdr:cNvPr id="202" name="Picture 7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773239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542</xdr:row>
      <xdr:rowOff>133920</xdr:rowOff>
    </xdr:from>
    <xdr:to>
      <xdr:col>8</xdr:col>
      <xdr:colOff>372240</xdr:colOff>
      <xdr:row>542</xdr:row>
      <xdr:rowOff>151920</xdr:rowOff>
    </xdr:to>
    <xdr:grpSp>
      <xdr:nvGrpSpPr>
        <xdr:cNvPr id="203" name="Group 77"/>
        <xdr:cNvGrpSpPr/>
      </xdr:nvGrpSpPr>
      <xdr:grpSpPr>
        <a:xfrm>
          <a:off x="26035" y="89296875"/>
          <a:ext cx="5587365" cy="18415"/>
          <a:chOff x="26640" y="89297280"/>
          <a:chExt cx="7611120" cy="18000"/>
        </a:xfrm>
      </xdr:grpSpPr>
      <xdr:cxnSp>
        <xdr:nvCxnSpPr>
          <xdr:cNvPr id="204" name="Straight Connector 78"/>
          <xdr:cNvCxnSpPr/>
        </xdr:nvCxnSpPr>
        <xdr:spPr>
          <a:xfrm>
            <a:off x="28800" y="8931492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05" name="Straight Connector 79"/>
          <xdr:cNvCxnSpPr/>
        </xdr:nvCxnSpPr>
        <xdr:spPr>
          <a:xfrm>
            <a:off x="26640" y="8929728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536</xdr:row>
      <xdr:rowOff>57240</xdr:rowOff>
    </xdr:from>
    <xdr:to>
      <xdr:col>1</xdr:col>
      <xdr:colOff>727200</xdr:colOff>
      <xdr:row>541</xdr:row>
      <xdr:rowOff>53640</xdr:rowOff>
    </xdr:to>
    <xdr:pic>
      <xdr:nvPicPr>
        <xdr:cNvPr id="206" name="Picture 80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81729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609</xdr:row>
      <xdr:rowOff>133920</xdr:rowOff>
    </xdr:from>
    <xdr:to>
      <xdr:col>8</xdr:col>
      <xdr:colOff>372240</xdr:colOff>
      <xdr:row>609</xdr:row>
      <xdr:rowOff>151920</xdr:rowOff>
    </xdr:to>
    <xdr:grpSp>
      <xdr:nvGrpSpPr>
        <xdr:cNvPr id="207" name="Group 81"/>
        <xdr:cNvGrpSpPr/>
      </xdr:nvGrpSpPr>
      <xdr:grpSpPr>
        <a:xfrm>
          <a:off x="26035" y="100307775"/>
          <a:ext cx="5587365" cy="18415"/>
          <a:chOff x="26640" y="100308240"/>
          <a:chExt cx="7611120" cy="18000"/>
        </a:xfrm>
      </xdr:grpSpPr>
      <xdr:cxnSp>
        <xdr:nvCxnSpPr>
          <xdr:cNvPr id="208" name="Straight Connector 82"/>
          <xdr:cNvCxnSpPr/>
        </xdr:nvCxnSpPr>
        <xdr:spPr>
          <a:xfrm>
            <a:off x="28800" y="10032588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09" name="Straight Connector 83"/>
          <xdr:cNvCxnSpPr/>
        </xdr:nvCxnSpPr>
        <xdr:spPr>
          <a:xfrm>
            <a:off x="26640" y="10030824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603</xdr:row>
      <xdr:rowOff>57240</xdr:rowOff>
    </xdr:from>
    <xdr:to>
      <xdr:col>1</xdr:col>
      <xdr:colOff>727200</xdr:colOff>
      <xdr:row>608</xdr:row>
      <xdr:rowOff>53640</xdr:rowOff>
    </xdr:to>
    <xdr:pic>
      <xdr:nvPicPr>
        <xdr:cNvPr id="210" name="Picture 8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99183825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26640</xdr:colOff>
      <xdr:row>677</xdr:row>
      <xdr:rowOff>133920</xdr:rowOff>
    </xdr:from>
    <xdr:to>
      <xdr:col>8</xdr:col>
      <xdr:colOff>372240</xdr:colOff>
      <xdr:row>677</xdr:row>
      <xdr:rowOff>151920</xdr:rowOff>
    </xdr:to>
    <xdr:grpSp>
      <xdr:nvGrpSpPr>
        <xdr:cNvPr id="211" name="Group 85"/>
        <xdr:cNvGrpSpPr/>
      </xdr:nvGrpSpPr>
      <xdr:grpSpPr>
        <a:xfrm>
          <a:off x="26035" y="111480600"/>
          <a:ext cx="5587365" cy="18415"/>
          <a:chOff x="26640" y="111481200"/>
          <a:chExt cx="7611120" cy="18000"/>
        </a:xfrm>
      </xdr:grpSpPr>
      <xdr:cxnSp>
        <xdr:nvCxnSpPr>
          <xdr:cNvPr id="212" name="Straight Connector 86"/>
          <xdr:cNvCxnSpPr/>
        </xdr:nvCxnSpPr>
        <xdr:spPr>
          <a:xfrm>
            <a:off x="28800" y="111498840"/>
            <a:ext cx="760932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13" name="Straight Connector 87"/>
          <xdr:cNvCxnSpPr/>
        </xdr:nvCxnSpPr>
        <xdr:spPr>
          <a:xfrm>
            <a:off x="26640" y="111481200"/>
            <a:ext cx="7608960" cy="72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671</xdr:row>
      <xdr:rowOff>57240</xdr:rowOff>
    </xdr:from>
    <xdr:to>
      <xdr:col>1</xdr:col>
      <xdr:colOff>727200</xdr:colOff>
      <xdr:row>676</xdr:row>
      <xdr:rowOff>53640</xdr:rowOff>
    </xdr:to>
    <xdr:pic>
      <xdr:nvPicPr>
        <xdr:cNvPr id="214" name="Picture 8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0356650"/>
          <a:ext cx="1070610" cy="85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57240</xdr:colOff>
      <xdr:row>1</xdr:row>
      <xdr:rowOff>0</xdr:rowOff>
    </xdr:from>
    <xdr:to>
      <xdr:col>1</xdr:col>
      <xdr:colOff>818280</xdr:colOff>
      <xdr:row>5</xdr:row>
      <xdr:rowOff>123285</xdr:rowOff>
    </xdr:to>
    <xdr:pic>
      <xdr:nvPicPr>
        <xdr:cNvPr id="215" name="Picture 1" descr="C:\Users\Si Gua\Downloads\logo-grey.png"/>
        <xdr:cNvPicPr/>
      </xdr:nvPicPr>
      <xdr:blipFill>
        <a:blip r:embed="rId1"/>
        <a:stretch>
          <a:fillRect/>
        </a:stretch>
      </xdr:blipFill>
      <xdr:spPr>
        <a:xfrm>
          <a:off x="384175" y="192405"/>
          <a:ext cx="760730" cy="94107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daniarsyah/Downloads/../../../D:/Psikotes%202021/APLIKASI%202021/REKOMEN%20DONE/SMAN%2018%20Garut.%202021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input"/>
      <sheetName val="tampilan print individu"/>
      <sheetName val="rekap umum"/>
      <sheetName val="pengembangan"/>
      <sheetName val="peminatan"/>
      <sheetName val="INC"/>
      <sheetName val="PROSES"/>
      <sheetName val="START"/>
      <sheetName val="data kesimpulan"/>
      <sheetName val="rekomendasi juru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2"/>
  <sheetViews>
    <sheetView showGridLines="0" topLeftCell="A7" workbookViewId="0">
      <selection activeCell="J13" sqref="J13"/>
    </sheetView>
  </sheetViews>
  <sheetFormatPr defaultColWidth="11.5333333333333" defaultRowHeight="15" customHeight="1"/>
  <cols>
    <col min="1" max="1" width="4.51666666666667" style="390" customWidth="1"/>
    <col min="2" max="2" width="13.1416666666667" style="294" customWidth="1"/>
    <col min="3" max="3" width="13.2916666666667" style="404" customWidth="1"/>
    <col min="4" max="4" width="35.7166666666667" style="455" customWidth="1"/>
    <col min="5" max="5" width="5.70833333333333" style="405" customWidth="1"/>
    <col min="6" max="9" width="5.70833333333333" style="296" customWidth="1"/>
    <col min="10" max="10" width="11.5333333333333" style="296"/>
    <col min="11" max="11" width="12" style="296" customWidth="1"/>
    <col min="12" max="14" width="11.5333333333333" style="296"/>
    <col min="15" max="15" width="23.15" style="296" customWidth="1"/>
    <col min="16" max="18" width="11.5333333333333" style="296"/>
    <col min="19" max="19" width="15.4333333333333" style="296" customWidth="1"/>
    <col min="20" max="16384" width="11.5333333333333" style="296"/>
  </cols>
  <sheetData>
    <row r="1" s="289" customFormat="1" customHeight="1" spans="1:11">
      <c r="A1" s="390"/>
      <c r="B1" s="334"/>
      <c r="C1" s="423"/>
      <c r="D1" s="301"/>
      <c r="E1" s="293"/>
      <c r="I1" s="289" t="s">
        <v>0</v>
      </c>
    </row>
    <row r="2" ht="12.75" customHeight="1" spans="1:11">
      <c r="A2" s="297" t="s">
        <v>1</v>
      </c>
      <c r="B2" s="297"/>
      <c r="C2" s="297"/>
      <c r="D2" s="297"/>
      <c r="E2" s="297"/>
      <c r="F2" s="297"/>
      <c r="G2" s="297"/>
      <c r="H2" s="297"/>
      <c r="I2" s="297"/>
    </row>
    <row r="3" ht="12.75" customHeight="1" spans="1:11">
      <c r="A3" s="297" t="s">
        <v>2</v>
      </c>
      <c r="B3" s="297"/>
      <c r="C3" s="297"/>
      <c r="D3" s="297"/>
      <c r="E3" s="297"/>
      <c r="F3" s="297"/>
      <c r="G3" s="297"/>
      <c r="H3" s="297"/>
      <c r="I3" s="297"/>
    </row>
    <row r="4" ht="12.75" customHeight="1" spans="1:11">
      <c r="A4" s="297" t="s">
        <v>3</v>
      </c>
      <c r="B4" s="297"/>
      <c r="C4" s="297"/>
      <c r="D4" s="297"/>
      <c r="E4" s="297"/>
      <c r="F4" s="297"/>
      <c r="G4" s="297"/>
      <c r="H4" s="297"/>
      <c r="I4" s="297"/>
    </row>
    <row r="5" s="291" customFormat="1" ht="16.5" customHeight="1" spans="1:11">
      <c r="A5" s="298" t="s">
        <v>4</v>
      </c>
      <c r="B5" s="298"/>
      <c r="C5" s="298"/>
      <c r="D5" s="298"/>
      <c r="E5" s="298"/>
      <c r="F5" s="298"/>
      <c r="G5" s="298"/>
      <c r="H5" s="298"/>
      <c r="I5" s="298"/>
    </row>
    <row r="6" ht="12.75" customHeight="1" spans="1:11">
      <c r="A6" s="299" t="s">
        <v>5</v>
      </c>
      <c r="B6" s="299"/>
      <c r="C6" s="299"/>
      <c r="D6" s="299"/>
      <c r="E6" s="299"/>
      <c r="F6" s="299"/>
      <c r="G6" s="299"/>
      <c r="H6" s="299"/>
      <c r="I6" s="299"/>
    </row>
    <row r="7" customHeight="1" spans="1:11">
      <c r="A7" s="299"/>
      <c r="B7" s="299"/>
      <c r="C7" s="299"/>
      <c r="D7" s="299"/>
      <c r="E7" s="299"/>
      <c r="F7" s="299"/>
      <c r="G7" s="299"/>
      <c r="H7" s="299"/>
      <c r="I7" s="299"/>
    </row>
    <row r="8" ht="12.75" customHeight="1" spans="1:11">
      <c r="A8" s="299"/>
      <c r="B8" s="299"/>
      <c r="C8" s="299"/>
      <c r="D8" s="299"/>
      <c r="E8" s="299"/>
      <c r="F8" s="299"/>
      <c r="G8" s="299"/>
      <c r="H8" s="299"/>
      <c r="I8" s="299"/>
    </row>
    <row r="9" s="289" customFormat="1" ht="12.75" customHeight="1" spans="1:11">
      <c r="A9" s="300" t="s">
        <v>6</v>
      </c>
      <c r="B9" s="300"/>
      <c r="C9" s="300"/>
      <c r="D9" s="300"/>
      <c r="E9" s="300"/>
      <c r="F9" s="300"/>
      <c r="G9" s="300"/>
      <c r="H9" s="300"/>
      <c r="I9" s="300"/>
    </row>
    <row r="10" s="289" customFormat="1" ht="12.75" customHeight="1" spans="1:11">
      <c r="A10" s="300"/>
      <c r="B10" s="300"/>
      <c r="C10" s="300"/>
      <c r="D10" s="300"/>
      <c r="E10" s="300"/>
      <c r="F10" s="300"/>
      <c r="G10" s="300"/>
      <c r="H10" s="300"/>
      <c r="I10" s="300"/>
    </row>
    <row r="11" s="454" customFormat="1" customHeight="1" spans="1:11">
      <c r="A11" s="456"/>
      <c r="B11" s="457" t="s">
        <v>7</v>
      </c>
      <c r="C11" s="458"/>
      <c r="D11" s="459"/>
      <c r="E11" s="460" t="s">
        <v>8</v>
      </c>
      <c r="F11" s="306" t="s">
        <v>9</v>
      </c>
    </row>
    <row r="12" s="290" customFormat="1" ht="24.75" customHeight="1" spans="1:11">
      <c r="A12" s="461" t="s">
        <v>10</v>
      </c>
      <c r="B12" s="462" t="s">
        <v>11</v>
      </c>
      <c r="C12" s="463" t="s">
        <v>12</v>
      </c>
      <c r="D12" s="462" t="s">
        <v>13</v>
      </c>
      <c r="E12" s="462" t="s">
        <v>14</v>
      </c>
      <c r="F12" s="310" t="s">
        <v>15</v>
      </c>
      <c r="G12" s="312">
        <v>46266</v>
      </c>
      <c r="H12" s="312">
        <v>46272</v>
      </c>
      <c r="I12" s="312">
        <v>46273</v>
      </c>
      <c r="J12" s="464">
        <v>46279</v>
      </c>
    </row>
    <row r="13" customHeight="1" spans="1:11">
      <c r="A13" s="386">
        <v>1</v>
      </c>
      <c r="B13" s="414">
        <v>242510162</v>
      </c>
      <c r="C13" s="465" t="s">
        <v>16</v>
      </c>
      <c r="D13" s="275" t="s">
        <v>17</v>
      </c>
      <c r="E13" s="466" t="s">
        <v>18</v>
      </c>
      <c r="F13" s="317">
        <v>1</v>
      </c>
      <c r="G13" s="318">
        <v>1</v>
      </c>
      <c r="H13" s="318">
        <v>1</v>
      </c>
      <c r="I13" s="318">
        <v>1</v>
      </c>
      <c r="J13" s="296">
        <v>1</v>
      </c>
      <c r="K13" s="296">
        <v>1</v>
      </c>
    </row>
    <row r="14" customHeight="1" spans="1:11">
      <c r="A14" s="386">
        <v>2</v>
      </c>
      <c r="B14" s="414">
        <v>242510355</v>
      </c>
      <c r="C14" s="467" t="s">
        <v>19</v>
      </c>
      <c r="D14" s="277" t="s">
        <v>20</v>
      </c>
      <c r="E14" s="466" t="s">
        <v>18</v>
      </c>
      <c r="F14" s="317">
        <v>1</v>
      </c>
      <c r="G14" s="318">
        <v>1</v>
      </c>
      <c r="H14" s="318">
        <v>1</v>
      </c>
      <c r="I14" s="318">
        <v>1</v>
      </c>
      <c r="J14" s="296">
        <v>1</v>
      </c>
      <c r="K14" s="296">
        <v>1</v>
      </c>
    </row>
    <row r="15" customHeight="1" spans="1:11">
      <c r="A15" s="386">
        <v>3</v>
      </c>
      <c r="B15" s="414">
        <v>242510246</v>
      </c>
      <c r="C15" s="465" t="s">
        <v>21</v>
      </c>
      <c r="D15" s="275" t="s">
        <v>22</v>
      </c>
      <c r="E15" s="466" t="s">
        <v>23</v>
      </c>
      <c r="F15" s="317">
        <v>1</v>
      </c>
      <c r="G15" s="318">
        <v>1</v>
      </c>
      <c r="H15" s="318">
        <v>1</v>
      </c>
      <c r="I15" s="318">
        <v>1</v>
      </c>
      <c r="J15" s="296">
        <v>1</v>
      </c>
      <c r="K15" s="296">
        <v>1</v>
      </c>
    </row>
    <row r="16" customHeight="1" spans="1:11">
      <c r="A16" s="386">
        <v>4</v>
      </c>
      <c r="B16" s="414">
        <v>242510281</v>
      </c>
      <c r="C16" s="467" t="s">
        <v>24</v>
      </c>
      <c r="D16" s="277" t="s">
        <v>25</v>
      </c>
      <c r="E16" s="403" t="s">
        <v>18</v>
      </c>
      <c r="F16" s="317">
        <v>1</v>
      </c>
      <c r="G16" s="318">
        <v>1</v>
      </c>
      <c r="H16" s="318">
        <v>1</v>
      </c>
      <c r="I16" s="318">
        <v>1</v>
      </c>
      <c r="J16" s="296">
        <v>1</v>
      </c>
      <c r="K16" s="296">
        <v>1</v>
      </c>
    </row>
    <row r="17" customHeight="1" spans="1:13">
      <c r="A17" s="386">
        <v>5</v>
      </c>
      <c r="B17" s="414">
        <v>242510393</v>
      </c>
      <c r="C17" s="468" t="s">
        <v>26</v>
      </c>
      <c r="D17" s="279" t="s">
        <v>27</v>
      </c>
      <c r="E17" s="466" t="s">
        <v>23</v>
      </c>
      <c r="F17" s="317" t="s">
        <v>28</v>
      </c>
      <c r="G17" s="318">
        <v>1</v>
      </c>
      <c r="H17" s="318">
        <v>1</v>
      </c>
      <c r="I17" s="318">
        <v>1</v>
      </c>
      <c r="J17" s="296">
        <v>1</v>
      </c>
      <c r="K17" s="296">
        <v>1</v>
      </c>
    </row>
    <row r="18" customHeight="1" spans="1:13">
      <c r="A18" s="386">
        <v>6</v>
      </c>
      <c r="B18" s="414">
        <v>242510087</v>
      </c>
      <c r="C18" s="467" t="s">
        <v>29</v>
      </c>
      <c r="D18" s="277" t="s">
        <v>30</v>
      </c>
      <c r="E18" s="466" t="s">
        <v>18</v>
      </c>
      <c r="F18" s="317">
        <v>1</v>
      </c>
      <c r="G18" s="318">
        <v>1</v>
      </c>
      <c r="H18" s="318">
        <v>1</v>
      </c>
      <c r="I18" s="318">
        <v>1</v>
      </c>
      <c r="J18" s="296">
        <v>1</v>
      </c>
      <c r="K18" s="296">
        <v>1</v>
      </c>
    </row>
    <row r="19" customHeight="1" spans="1:13">
      <c r="A19" s="386">
        <v>7</v>
      </c>
      <c r="B19" s="414">
        <v>242510088</v>
      </c>
      <c r="C19" s="465" t="s">
        <v>31</v>
      </c>
      <c r="D19" s="275" t="s">
        <v>32</v>
      </c>
      <c r="E19" s="466" t="s">
        <v>23</v>
      </c>
      <c r="F19" s="317">
        <v>1</v>
      </c>
      <c r="G19" s="318">
        <v>1</v>
      </c>
      <c r="H19" s="318">
        <v>1</v>
      </c>
      <c r="I19" s="318">
        <v>1</v>
      </c>
      <c r="J19" s="296">
        <v>1</v>
      </c>
      <c r="K19" s="296">
        <v>1</v>
      </c>
    </row>
    <row r="20" customHeight="1" spans="1:13">
      <c r="A20" s="386">
        <v>8</v>
      </c>
      <c r="B20" s="414">
        <v>242510168</v>
      </c>
      <c r="C20" s="467" t="s">
        <v>33</v>
      </c>
      <c r="D20" s="277" t="s">
        <v>34</v>
      </c>
      <c r="E20" s="466" t="s">
        <v>23</v>
      </c>
      <c r="F20" s="317">
        <v>1</v>
      </c>
      <c r="G20" s="318">
        <v>1</v>
      </c>
      <c r="H20" s="318">
        <v>1</v>
      </c>
      <c r="I20" s="318">
        <v>1</v>
      </c>
      <c r="J20" s="296">
        <v>1</v>
      </c>
      <c r="K20" s="296">
        <v>1</v>
      </c>
    </row>
    <row r="21" customHeight="1" spans="1:13">
      <c r="A21" s="386">
        <v>9</v>
      </c>
      <c r="B21" s="414">
        <v>242510169</v>
      </c>
      <c r="C21" s="468" t="s">
        <v>35</v>
      </c>
      <c r="D21" s="279" t="s">
        <v>36</v>
      </c>
      <c r="E21" s="466" t="s">
        <v>23</v>
      </c>
      <c r="F21" s="317">
        <v>1</v>
      </c>
      <c r="G21" s="318">
        <v>1</v>
      </c>
      <c r="H21" s="318">
        <v>1</v>
      </c>
      <c r="I21" s="318">
        <v>1</v>
      </c>
      <c r="J21" s="296" t="s">
        <v>37</v>
      </c>
      <c r="K21" s="296">
        <v>1</v>
      </c>
    </row>
    <row r="22" customHeight="1" spans="1:13">
      <c r="A22" s="386">
        <v>10</v>
      </c>
      <c r="B22" s="414">
        <v>242510009</v>
      </c>
      <c r="C22" s="467" t="s">
        <v>38</v>
      </c>
      <c r="D22" s="277" t="s">
        <v>39</v>
      </c>
      <c r="E22" s="466" t="s">
        <v>18</v>
      </c>
      <c r="F22" s="317">
        <v>1</v>
      </c>
      <c r="G22" s="318">
        <v>1</v>
      </c>
      <c r="H22" s="318">
        <v>1</v>
      </c>
      <c r="I22" s="318">
        <v>1</v>
      </c>
      <c r="J22" s="296">
        <v>1</v>
      </c>
      <c r="K22" s="296">
        <v>1</v>
      </c>
    </row>
    <row r="23" customHeight="1" spans="1:13">
      <c r="A23" s="386">
        <v>11</v>
      </c>
      <c r="B23" s="414">
        <v>242510211</v>
      </c>
      <c r="C23" s="465" t="s">
        <v>40</v>
      </c>
      <c r="D23" s="275" t="s">
        <v>41</v>
      </c>
      <c r="E23" s="466" t="s">
        <v>18</v>
      </c>
      <c r="F23" s="317">
        <v>1</v>
      </c>
      <c r="G23" s="318">
        <v>1</v>
      </c>
      <c r="H23" s="318">
        <v>1</v>
      </c>
      <c r="I23" s="318">
        <v>1</v>
      </c>
      <c r="J23" s="296">
        <v>1</v>
      </c>
      <c r="K23" s="296">
        <v>1</v>
      </c>
    </row>
    <row r="24" customHeight="1" spans="1:13">
      <c r="A24" s="386">
        <v>12</v>
      </c>
      <c r="B24" s="414">
        <v>242510398</v>
      </c>
      <c r="C24" s="467" t="s">
        <v>42</v>
      </c>
      <c r="D24" s="277" t="s">
        <v>43</v>
      </c>
      <c r="E24" s="466" t="s">
        <v>23</v>
      </c>
      <c r="F24" s="317" t="s">
        <v>28</v>
      </c>
      <c r="G24" s="318">
        <v>1</v>
      </c>
      <c r="H24" s="318">
        <v>1</v>
      </c>
      <c r="I24" s="318">
        <v>1</v>
      </c>
      <c r="J24" s="296">
        <v>1</v>
      </c>
      <c r="K24" s="296">
        <v>1</v>
      </c>
    </row>
    <row r="25" customHeight="1" spans="1:13">
      <c r="A25" s="386">
        <v>13</v>
      </c>
      <c r="B25" s="414">
        <v>242510212</v>
      </c>
      <c r="C25" s="465" t="s">
        <v>44</v>
      </c>
      <c r="D25" s="275" t="s">
        <v>45</v>
      </c>
      <c r="E25" s="466" t="s">
        <v>23</v>
      </c>
      <c r="F25" s="317">
        <v>1</v>
      </c>
      <c r="G25" s="318">
        <v>1</v>
      </c>
      <c r="H25" s="318">
        <v>1</v>
      </c>
      <c r="I25" s="318">
        <v>1</v>
      </c>
      <c r="J25" s="296">
        <v>1</v>
      </c>
      <c r="K25" s="296">
        <v>1</v>
      </c>
    </row>
    <row r="26" customHeight="1" spans="1:13">
      <c r="A26" s="386">
        <v>14</v>
      </c>
      <c r="B26" s="414">
        <v>242510291</v>
      </c>
      <c r="C26" s="467" t="s">
        <v>46</v>
      </c>
      <c r="D26" s="281" t="s">
        <v>47</v>
      </c>
      <c r="E26" s="466" t="s">
        <v>23</v>
      </c>
      <c r="F26" s="317">
        <v>1</v>
      </c>
      <c r="G26" s="318">
        <v>1</v>
      </c>
      <c r="H26" s="318" t="s">
        <v>28</v>
      </c>
      <c r="I26" s="318">
        <v>1</v>
      </c>
      <c r="J26" s="296">
        <v>1</v>
      </c>
      <c r="K26" s="296">
        <v>1</v>
      </c>
    </row>
    <row r="27" customHeight="1" spans="1:13">
      <c r="A27" s="386">
        <v>15</v>
      </c>
      <c r="B27" s="414">
        <v>242510216</v>
      </c>
      <c r="C27" s="465" t="s">
        <v>48</v>
      </c>
      <c r="D27" s="275" t="s">
        <v>49</v>
      </c>
      <c r="E27" s="466" t="s">
        <v>18</v>
      </c>
      <c r="F27" s="317">
        <v>1</v>
      </c>
      <c r="G27" s="318">
        <v>1</v>
      </c>
      <c r="H27" s="318">
        <v>1</v>
      </c>
      <c r="I27" s="318">
        <v>1</v>
      </c>
      <c r="J27" s="296">
        <v>1</v>
      </c>
      <c r="K27" s="296">
        <v>1</v>
      </c>
    </row>
    <row r="28" customHeight="1" spans="1:13">
      <c r="A28" s="386">
        <v>16</v>
      </c>
      <c r="B28" s="414">
        <v>242510050</v>
      </c>
      <c r="C28" s="467" t="s">
        <v>50</v>
      </c>
      <c r="D28" s="277" t="s">
        <v>51</v>
      </c>
      <c r="E28" s="466" t="s">
        <v>23</v>
      </c>
      <c r="F28" s="317">
        <v>1</v>
      </c>
      <c r="G28" s="318">
        <v>1</v>
      </c>
      <c r="H28" s="318">
        <v>1</v>
      </c>
      <c r="I28" s="318">
        <v>1</v>
      </c>
      <c r="J28" s="296">
        <v>1</v>
      </c>
      <c r="K28" s="296">
        <v>1</v>
      </c>
    </row>
    <row r="29" customHeight="1" spans="1:13">
      <c r="A29" s="386">
        <v>17</v>
      </c>
      <c r="B29" s="414">
        <v>242510175</v>
      </c>
      <c r="C29" s="465" t="s">
        <v>52</v>
      </c>
      <c r="D29" s="279" t="s">
        <v>53</v>
      </c>
      <c r="E29" s="466" t="s">
        <v>18</v>
      </c>
      <c r="F29" s="317">
        <v>1</v>
      </c>
      <c r="G29" s="318">
        <v>1</v>
      </c>
      <c r="H29" s="318">
        <v>1</v>
      </c>
      <c r="I29" s="318">
        <v>1</v>
      </c>
      <c r="J29" s="296">
        <v>1</v>
      </c>
      <c r="K29" s="296">
        <v>1</v>
      </c>
    </row>
    <row r="30" customHeight="1" spans="1:13">
      <c r="A30" s="386">
        <v>18</v>
      </c>
      <c r="B30" s="414">
        <v>242510219</v>
      </c>
      <c r="C30" s="467" t="s">
        <v>54</v>
      </c>
      <c r="D30" s="277" t="s">
        <v>55</v>
      </c>
      <c r="E30" s="466" t="s">
        <v>18</v>
      </c>
      <c r="F30" s="317" t="s">
        <v>28</v>
      </c>
      <c r="G30" s="318">
        <v>1</v>
      </c>
      <c r="H30" s="318">
        <v>1</v>
      </c>
      <c r="I30" s="318">
        <v>1</v>
      </c>
      <c r="J30" s="296">
        <v>1</v>
      </c>
      <c r="K30" s="296">
        <v>1</v>
      </c>
    </row>
    <row r="31" customHeight="1" spans="1:13">
      <c r="A31" s="386">
        <v>19</v>
      </c>
      <c r="B31" s="414">
        <v>242510022</v>
      </c>
      <c r="C31" s="468" t="s">
        <v>56</v>
      </c>
      <c r="D31" s="279" t="s">
        <v>57</v>
      </c>
      <c r="E31" s="466" t="s">
        <v>18</v>
      </c>
      <c r="F31" s="317">
        <v>1</v>
      </c>
      <c r="G31" s="318">
        <v>1</v>
      </c>
      <c r="H31" s="318">
        <v>1</v>
      </c>
      <c r="I31" s="318">
        <v>1</v>
      </c>
      <c r="J31" s="296">
        <v>1</v>
      </c>
      <c r="K31" s="296">
        <v>1</v>
      </c>
    </row>
    <row r="32" customHeight="1" spans="1:13">
      <c r="A32" s="386">
        <v>20</v>
      </c>
      <c r="B32" s="414">
        <v>242510055</v>
      </c>
      <c r="C32" s="467" t="s">
        <v>58</v>
      </c>
      <c r="D32" s="277" t="s">
        <v>59</v>
      </c>
      <c r="E32" s="466" t="s">
        <v>18</v>
      </c>
      <c r="F32" s="317">
        <v>1</v>
      </c>
      <c r="G32" s="318">
        <v>1</v>
      </c>
      <c r="H32" s="318" t="s">
        <v>28</v>
      </c>
      <c r="I32" s="318">
        <v>1</v>
      </c>
      <c r="J32" s="296">
        <v>1</v>
      </c>
      <c r="K32" s="296" t="s">
        <v>28</v>
      </c>
      <c r="M32" s="296" t="s">
        <v>60</v>
      </c>
    </row>
    <row r="33" customHeight="1" spans="1:17">
      <c r="A33" s="386">
        <v>21</v>
      </c>
      <c r="B33" s="414">
        <v>242510023</v>
      </c>
      <c r="C33" s="465" t="s">
        <v>61</v>
      </c>
      <c r="D33" s="275" t="s">
        <v>62</v>
      </c>
      <c r="E33" s="466" t="s">
        <v>18</v>
      </c>
      <c r="F33" s="317">
        <v>1</v>
      </c>
      <c r="G33" s="318">
        <v>1</v>
      </c>
      <c r="H33" s="318">
        <v>1</v>
      </c>
      <c r="I33" s="318">
        <v>1</v>
      </c>
      <c r="J33" s="296">
        <v>1</v>
      </c>
      <c r="K33" s="296">
        <v>1</v>
      </c>
    </row>
    <row r="34" customHeight="1" spans="1:17">
      <c r="A34" s="386">
        <v>22</v>
      </c>
      <c r="B34" s="414">
        <v>242510409</v>
      </c>
      <c r="C34" s="467" t="s">
        <v>63</v>
      </c>
      <c r="D34" s="277" t="s">
        <v>64</v>
      </c>
      <c r="E34" s="466" t="s">
        <v>18</v>
      </c>
      <c r="F34" s="317">
        <v>1</v>
      </c>
      <c r="G34" s="318">
        <v>1</v>
      </c>
      <c r="H34" s="318">
        <v>1</v>
      </c>
      <c r="I34" s="318">
        <v>1</v>
      </c>
      <c r="J34" s="296">
        <v>1</v>
      </c>
      <c r="K34" s="296">
        <v>1</v>
      </c>
    </row>
    <row r="35" customHeight="1" spans="1:17">
      <c r="A35" s="386">
        <v>23</v>
      </c>
      <c r="B35" s="414">
        <v>242510411</v>
      </c>
      <c r="C35" s="465" t="s">
        <v>65</v>
      </c>
      <c r="D35" s="275" t="s">
        <v>66</v>
      </c>
      <c r="E35" s="466" t="s">
        <v>18</v>
      </c>
      <c r="F35" s="317">
        <v>1</v>
      </c>
      <c r="G35" s="318">
        <v>1</v>
      </c>
      <c r="H35" s="318">
        <v>1</v>
      </c>
      <c r="I35" s="318">
        <v>1</v>
      </c>
      <c r="J35" s="296">
        <v>1</v>
      </c>
      <c r="K35" s="296">
        <v>1</v>
      </c>
    </row>
    <row r="36" customHeight="1" spans="1:17">
      <c r="A36" s="386">
        <v>24</v>
      </c>
      <c r="B36" s="414">
        <v>242510061</v>
      </c>
      <c r="C36" s="467" t="s">
        <v>67</v>
      </c>
      <c r="D36" s="277" t="s">
        <v>68</v>
      </c>
      <c r="E36" s="466" t="s">
        <v>18</v>
      </c>
      <c r="F36" s="317">
        <v>1</v>
      </c>
      <c r="G36" s="318">
        <v>1</v>
      </c>
      <c r="H36" s="318">
        <v>1</v>
      </c>
      <c r="I36" s="318">
        <v>1</v>
      </c>
      <c r="J36" s="296">
        <v>1</v>
      </c>
      <c r="K36" s="296">
        <v>1</v>
      </c>
    </row>
    <row r="37" customHeight="1" spans="1:17">
      <c r="A37" s="386">
        <v>25</v>
      </c>
      <c r="B37" s="414">
        <v>242510062</v>
      </c>
      <c r="C37" s="465" t="s">
        <v>69</v>
      </c>
      <c r="D37" s="275" t="s">
        <v>70</v>
      </c>
      <c r="E37" s="466" t="s">
        <v>18</v>
      </c>
      <c r="F37" s="317">
        <v>1</v>
      </c>
      <c r="G37" s="318">
        <v>1</v>
      </c>
      <c r="H37" s="318">
        <v>1</v>
      </c>
      <c r="I37" s="318">
        <v>1</v>
      </c>
      <c r="J37" s="296">
        <v>1</v>
      </c>
      <c r="K37" s="296">
        <v>1</v>
      </c>
    </row>
    <row r="38" customHeight="1" spans="1:17">
      <c r="A38" s="386">
        <v>26</v>
      </c>
      <c r="B38" s="414">
        <v>242510378</v>
      </c>
      <c r="C38" s="467" t="s">
        <v>71</v>
      </c>
      <c r="D38" s="277" t="s">
        <v>72</v>
      </c>
      <c r="E38" s="466" t="s">
        <v>18</v>
      </c>
      <c r="F38" s="317">
        <v>1</v>
      </c>
      <c r="G38" s="318">
        <v>1</v>
      </c>
      <c r="H38" s="318">
        <v>1</v>
      </c>
      <c r="I38" s="318">
        <v>1</v>
      </c>
      <c r="J38" s="296">
        <v>1</v>
      </c>
      <c r="K38" s="296">
        <v>1</v>
      </c>
    </row>
    <row r="39" customHeight="1" spans="1:17">
      <c r="A39" s="386">
        <v>27</v>
      </c>
      <c r="B39" s="414">
        <v>242510230</v>
      </c>
      <c r="C39" s="465" t="s">
        <v>73</v>
      </c>
      <c r="D39" s="275" t="s">
        <v>74</v>
      </c>
      <c r="E39" s="466" t="s">
        <v>18</v>
      </c>
      <c r="F39" s="317">
        <v>1</v>
      </c>
      <c r="G39" s="318">
        <v>1</v>
      </c>
      <c r="H39" s="318">
        <v>1</v>
      </c>
      <c r="I39" s="318">
        <v>1</v>
      </c>
      <c r="J39" s="296">
        <v>1</v>
      </c>
      <c r="K39" s="296">
        <v>1</v>
      </c>
    </row>
    <row r="40" customHeight="1" spans="1:17">
      <c r="A40" s="386">
        <v>28</v>
      </c>
      <c r="B40" s="414">
        <v>242510110</v>
      </c>
      <c r="C40" s="467" t="s">
        <v>75</v>
      </c>
      <c r="D40" s="277" t="s">
        <v>76</v>
      </c>
      <c r="E40" s="466" t="s">
        <v>18</v>
      </c>
      <c r="F40" s="317">
        <v>1</v>
      </c>
      <c r="G40" s="318">
        <v>1</v>
      </c>
      <c r="H40" s="318">
        <v>1</v>
      </c>
      <c r="I40" s="318">
        <v>1</v>
      </c>
      <c r="J40" s="296">
        <v>1</v>
      </c>
      <c r="K40" s="296">
        <v>1</v>
      </c>
      <c r="M40" s="469"/>
      <c r="N40" s="469"/>
      <c r="O40" s="470"/>
      <c r="P40" s="471"/>
      <c r="Q40" s="472"/>
    </row>
    <row r="41" customHeight="1" spans="1:17">
      <c r="A41" s="386">
        <v>29</v>
      </c>
      <c r="B41" s="414">
        <v>242510232</v>
      </c>
      <c r="C41" s="467" t="s">
        <v>77</v>
      </c>
      <c r="D41" s="277" t="s">
        <v>78</v>
      </c>
      <c r="E41" s="466" t="s">
        <v>18</v>
      </c>
      <c r="F41" s="317">
        <v>1</v>
      </c>
      <c r="G41" s="318">
        <v>1</v>
      </c>
      <c r="H41" s="318">
        <v>1</v>
      </c>
      <c r="I41" s="318">
        <v>1</v>
      </c>
      <c r="J41" s="296">
        <v>1</v>
      </c>
      <c r="K41" s="296" t="s">
        <v>28</v>
      </c>
    </row>
    <row r="42" customHeight="1" spans="1:17">
      <c r="A42" s="386">
        <v>30</v>
      </c>
      <c r="B42" s="414">
        <v>242510070</v>
      </c>
      <c r="C42" s="465" t="s">
        <v>79</v>
      </c>
      <c r="D42" s="275" t="s">
        <v>80</v>
      </c>
      <c r="E42" s="466" t="s">
        <v>23</v>
      </c>
      <c r="F42" s="317">
        <v>1</v>
      </c>
      <c r="G42" s="318">
        <v>1</v>
      </c>
      <c r="H42" s="318">
        <v>1</v>
      </c>
      <c r="I42" s="318">
        <v>1</v>
      </c>
      <c r="J42" s="296">
        <v>1</v>
      </c>
      <c r="K42" s="296">
        <v>1</v>
      </c>
    </row>
    <row r="43" customHeight="1" spans="1:17">
      <c r="A43" s="386">
        <v>31</v>
      </c>
      <c r="B43" s="414">
        <v>242510191</v>
      </c>
      <c r="C43" s="467" t="s">
        <v>81</v>
      </c>
      <c r="D43" s="277" t="s">
        <v>82</v>
      </c>
      <c r="E43" s="466" t="s">
        <v>23</v>
      </c>
      <c r="F43" s="317">
        <v>1</v>
      </c>
      <c r="G43" s="318">
        <v>1</v>
      </c>
      <c r="H43" s="318">
        <v>1</v>
      </c>
      <c r="I43" s="318">
        <v>1</v>
      </c>
      <c r="J43" s="296">
        <v>1</v>
      </c>
      <c r="K43" s="296">
        <v>1</v>
      </c>
    </row>
    <row r="44" customHeight="1" spans="1:17">
      <c r="A44" s="386">
        <v>32</v>
      </c>
      <c r="B44" s="414">
        <v>242510273</v>
      </c>
      <c r="C44" s="465" t="s">
        <v>83</v>
      </c>
      <c r="D44" s="275" t="s">
        <v>84</v>
      </c>
      <c r="E44" s="466" t="s">
        <v>18</v>
      </c>
      <c r="F44" s="317">
        <v>1</v>
      </c>
      <c r="G44" s="318">
        <v>1</v>
      </c>
      <c r="H44" s="318">
        <v>1</v>
      </c>
      <c r="I44" s="318">
        <v>1</v>
      </c>
      <c r="J44" s="296">
        <v>1</v>
      </c>
      <c r="K44" s="296">
        <v>1</v>
      </c>
    </row>
    <row r="45" customHeight="1" spans="1:17">
      <c r="A45" s="386">
        <v>33</v>
      </c>
      <c r="B45" s="414">
        <v>242510424</v>
      </c>
      <c r="C45" s="467" t="s">
        <v>85</v>
      </c>
      <c r="D45" s="277" t="s">
        <v>86</v>
      </c>
      <c r="E45" s="466" t="s">
        <v>18</v>
      </c>
      <c r="F45" s="317">
        <v>1</v>
      </c>
      <c r="G45" s="318">
        <v>1</v>
      </c>
      <c r="H45" s="318">
        <v>1</v>
      </c>
      <c r="I45" s="318">
        <v>1</v>
      </c>
      <c r="J45" s="296">
        <v>1</v>
      </c>
      <c r="K45" s="296">
        <v>1</v>
      </c>
    </row>
    <row r="46" customHeight="1" spans="1:17">
      <c r="A46" s="386">
        <v>34</v>
      </c>
      <c r="B46" s="414">
        <v>242510238</v>
      </c>
      <c r="C46" s="468" t="s">
        <v>87</v>
      </c>
      <c r="D46" s="279" t="s">
        <v>88</v>
      </c>
      <c r="E46" s="466" t="s">
        <v>18</v>
      </c>
      <c r="F46" s="317">
        <v>1</v>
      </c>
      <c r="G46" s="318">
        <v>1</v>
      </c>
      <c r="H46" s="318">
        <v>1</v>
      </c>
      <c r="I46" s="318">
        <v>1</v>
      </c>
      <c r="J46" s="296">
        <v>1</v>
      </c>
      <c r="K46" s="296">
        <v>1</v>
      </c>
    </row>
    <row r="47" s="292" customFormat="1" customHeight="1" spans="1:17">
      <c r="A47" s="390"/>
      <c r="B47" s="394"/>
      <c r="C47" s="447"/>
      <c r="D47" s="473" t="s">
        <v>89</v>
      </c>
      <c r="E47" s="396">
        <f>COUNTIF(E13:E46,"L")</f>
        <v>11</v>
      </c>
    </row>
    <row r="48" s="292" customFormat="1" customHeight="1" spans="1:17">
      <c r="A48" s="390"/>
      <c r="B48" s="474"/>
      <c r="C48" s="447"/>
      <c r="D48" s="473" t="s">
        <v>90</v>
      </c>
      <c r="E48" s="396">
        <f>COUNTIF(E13:E46,"P")</f>
        <v>23</v>
      </c>
    </row>
    <row r="49" s="292" customFormat="1" customHeight="1" spans="1:9">
      <c r="A49" s="390"/>
      <c r="B49" s="394"/>
      <c r="C49" s="447"/>
      <c r="D49" s="456"/>
      <c r="E49" s="390"/>
    </row>
    <row r="50" s="292" customFormat="1" customHeight="1" spans="1:9">
      <c r="A50" s="390"/>
      <c r="B50" s="394" t="s">
        <v>91</v>
      </c>
      <c r="C50" s="447"/>
      <c r="D50" s="456"/>
      <c r="E50" s="390"/>
      <c r="F50" s="292" t="s">
        <v>92</v>
      </c>
    </row>
    <row r="51" s="292" customFormat="1" customHeight="1" spans="1:9">
      <c r="A51" s="390"/>
      <c r="B51" s="394"/>
      <c r="C51" s="447"/>
      <c r="D51" s="456"/>
      <c r="E51" s="390"/>
    </row>
    <row r="52" s="292" customFormat="1" customHeight="1" spans="1:9">
      <c r="A52" s="390"/>
      <c r="B52" s="394"/>
      <c r="C52" s="447"/>
      <c r="D52" s="456"/>
      <c r="E52" s="390"/>
    </row>
    <row r="53" s="292" customFormat="1" customHeight="1" spans="1:9">
      <c r="A53" s="390"/>
      <c r="B53" s="394"/>
      <c r="C53" s="447"/>
      <c r="D53" s="456"/>
      <c r="E53" s="390"/>
    </row>
    <row r="54" s="292" customFormat="1" customHeight="1" spans="1:9">
      <c r="A54" s="390"/>
      <c r="B54" s="475" t="s">
        <v>93</v>
      </c>
      <c r="C54" s="447"/>
      <c r="D54" s="456"/>
      <c r="E54" s="390"/>
      <c r="F54" s="292" t="s">
        <v>94</v>
      </c>
    </row>
    <row r="55" s="292" customFormat="1" customHeight="1" spans="1:9">
      <c r="A55" s="390"/>
      <c r="B55" s="398" t="s">
        <v>95</v>
      </c>
      <c r="C55" s="447"/>
      <c r="D55" s="456"/>
      <c r="E55" s="390"/>
    </row>
    <row r="56" customHeight="1" spans="1:9">
      <c r="B56" s="348"/>
    </row>
    <row r="58" customHeight="1" spans="1:9">
      <c r="A58" s="476"/>
      <c r="B58" s="358"/>
      <c r="C58" s="424"/>
      <c r="D58" s="360"/>
      <c r="E58" s="360"/>
      <c r="F58" s="360"/>
      <c r="G58" s="360"/>
      <c r="H58" s="360"/>
      <c r="I58" s="360"/>
    </row>
    <row r="59" customHeight="1" spans="1:9">
      <c r="A59" s="476"/>
      <c r="B59" s="358"/>
      <c r="C59" s="424"/>
      <c r="D59" s="360"/>
      <c r="E59" s="360"/>
      <c r="F59" s="360"/>
      <c r="G59" s="360"/>
      <c r="H59" s="360"/>
      <c r="I59" s="360"/>
    </row>
    <row r="60" customHeight="1" spans="1:9">
      <c r="A60" s="476"/>
      <c r="B60" s="358"/>
      <c r="C60" s="424"/>
      <c r="D60" s="360"/>
      <c r="E60" s="360"/>
      <c r="F60" s="360"/>
      <c r="G60" s="360"/>
      <c r="H60" s="360"/>
      <c r="I60" s="360"/>
    </row>
    <row r="61" ht="12.75" customHeight="1" spans="1:9">
      <c r="A61" s="297" t="s">
        <v>1</v>
      </c>
      <c r="B61" s="297"/>
      <c r="C61" s="297"/>
      <c r="D61" s="297"/>
      <c r="E61" s="297"/>
      <c r="F61" s="297"/>
      <c r="G61" s="297"/>
      <c r="H61" s="297"/>
      <c r="I61" s="297"/>
    </row>
    <row r="62" ht="12.75" customHeight="1" spans="1:9">
      <c r="A62" s="297" t="s">
        <v>2</v>
      </c>
      <c r="B62" s="297"/>
      <c r="C62" s="297"/>
      <c r="D62" s="297"/>
      <c r="E62" s="297"/>
      <c r="F62" s="297"/>
      <c r="G62" s="297"/>
      <c r="H62" s="297"/>
      <c r="I62" s="297"/>
    </row>
    <row r="63" ht="12.75" customHeight="1" spans="1:9">
      <c r="A63" s="297" t="s">
        <v>3</v>
      </c>
      <c r="B63" s="297"/>
      <c r="C63" s="297"/>
      <c r="D63" s="297"/>
      <c r="E63" s="297"/>
      <c r="F63" s="297"/>
      <c r="G63" s="297"/>
      <c r="H63" s="297"/>
      <c r="I63" s="297"/>
    </row>
    <row r="64" s="291" customFormat="1" ht="16.5" customHeight="1" spans="1:9">
      <c r="A64" s="298" t="s">
        <v>4</v>
      </c>
      <c r="B64" s="298"/>
      <c r="C64" s="298"/>
      <c r="D64" s="298"/>
      <c r="E64" s="298"/>
      <c r="F64" s="298"/>
      <c r="G64" s="298"/>
      <c r="H64" s="298"/>
      <c r="I64" s="298"/>
    </row>
    <row r="65" ht="12.75" customHeight="1" spans="1:9">
      <c r="A65" s="299" t="s">
        <v>5</v>
      </c>
      <c r="B65" s="299"/>
      <c r="C65" s="299"/>
      <c r="D65" s="299"/>
      <c r="E65" s="299"/>
      <c r="F65" s="299"/>
      <c r="G65" s="299"/>
      <c r="H65" s="299"/>
      <c r="I65" s="299"/>
    </row>
    <row r="66" customHeight="1" spans="1:9">
      <c r="A66" s="299"/>
      <c r="B66" s="299"/>
      <c r="C66" s="299"/>
      <c r="D66" s="299"/>
      <c r="E66" s="299"/>
      <c r="F66" s="299"/>
      <c r="G66" s="299"/>
      <c r="H66" s="299"/>
      <c r="I66" s="299"/>
    </row>
    <row r="67" ht="12.75" customHeight="1" spans="1:9">
      <c r="A67" s="299"/>
      <c r="B67" s="299"/>
      <c r="C67" s="299"/>
      <c r="D67" s="299"/>
      <c r="E67" s="299"/>
      <c r="F67" s="299"/>
      <c r="G67" s="299"/>
      <c r="H67" s="299"/>
      <c r="I67" s="299"/>
    </row>
    <row r="68" s="289" customFormat="1" ht="12.75" customHeight="1" spans="1:9">
      <c r="A68" s="300" t="s">
        <v>6</v>
      </c>
      <c r="B68" s="300"/>
      <c r="C68" s="300"/>
      <c r="D68" s="300"/>
      <c r="E68" s="300"/>
      <c r="F68" s="300"/>
      <c r="G68" s="300"/>
      <c r="H68" s="300"/>
      <c r="I68" s="300"/>
    </row>
    <row r="69" s="289" customFormat="1" ht="12.75" customHeight="1" spans="1:9">
      <c r="A69" s="300"/>
      <c r="B69" s="300"/>
      <c r="C69" s="300"/>
      <c r="D69" s="300"/>
      <c r="E69" s="300"/>
      <c r="F69" s="300"/>
      <c r="G69" s="300"/>
      <c r="H69" s="300"/>
      <c r="I69" s="300"/>
    </row>
    <row r="70" s="289" customFormat="1" customHeight="1" spans="1:9">
      <c r="A70" s="456"/>
      <c r="B70" s="302" t="s">
        <v>96</v>
      </c>
      <c r="C70" s="406"/>
      <c r="D70" s="301"/>
      <c r="E70" s="407" t="s">
        <v>8</v>
      </c>
      <c r="F70" s="306" t="s">
        <v>97</v>
      </c>
    </row>
    <row r="71" s="290" customFormat="1" ht="24.75" customHeight="1" spans="1:9">
      <c r="A71" s="461" t="s">
        <v>10</v>
      </c>
      <c r="B71" s="308" t="s">
        <v>11</v>
      </c>
      <c r="C71" s="309" t="s">
        <v>12</v>
      </c>
      <c r="D71" s="308" t="s">
        <v>13</v>
      </c>
      <c r="E71" s="308" t="s">
        <v>14</v>
      </c>
      <c r="F71" s="310"/>
      <c r="G71" s="310"/>
      <c r="H71" s="310"/>
      <c r="I71" s="310"/>
    </row>
    <row r="72" customHeight="1" spans="1:9">
      <c r="A72" s="386">
        <v>1</v>
      </c>
      <c r="B72" s="414">
        <v>242510353</v>
      </c>
      <c r="C72" s="467" t="s">
        <v>98</v>
      </c>
      <c r="D72" s="277" t="s">
        <v>99</v>
      </c>
      <c r="E72" s="466" t="s">
        <v>18</v>
      </c>
      <c r="F72" s="317"/>
      <c r="G72" s="318"/>
      <c r="H72" s="318"/>
      <c r="I72" s="318"/>
    </row>
    <row r="73" customHeight="1" spans="1:9">
      <c r="A73" s="386">
        <v>2</v>
      </c>
      <c r="B73" s="414">
        <v>242510041</v>
      </c>
      <c r="C73" s="465" t="s">
        <v>100</v>
      </c>
      <c r="D73" s="275" t="s">
        <v>101</v>
      </c>
      <c r="E73" s="466" t="s">
        <v>18</v>
      </c>
      <c r="F73" s="317"/>
      <c r="G73" s="318"/>
      <c r="H73" s="318"/>
      <c r="I73" s="318"/>
    </row>
    <row r="74" customHeight="1" spans="1:9">
      <c r="A74" s="386">
        <v>3</v>
      </c>
      <c r="B74" s="414">
        <v>242510164</v>
      </c>
      <c r="C74" s="467" t="s">
        <v>102</v>
      </c>
      <c r="D74" s="277" t="s">
        <v>103</v>
      </c>
      <c r="E74" s="466" t="s">
        <v>18</v>
      </c>
      <c r="F74" s="317"/>
      <c r="G74" s="318"/>
      <c r="H74" s="318"/>
      <c r="I74" s="318"/>
    </row>
    <row r="75" customHeight="1" spans="1:9">
      <c r="A75" s="386">
        <v>4</v>
      </c>
      <c r="B75" s="414">
        <v>242510166</v>
      </c>
      <c r="C75" s="465" t="s">
        <v>104</v>
      </c>
      <c r="D75" s="275" t="s">
        <v>105</v>
      </c>
      <c r="E75" s="466" t="s">
        <v>18</v>
      </c>
      <c r="F75" s="317"/>
      <c r="G75" s="318"/>
      <c r="H75" s="318"/>
      <c r="I75" s="318"/>
    </row>
    <row r="76" customHeight="1" spans="1:9">
      <c r="A76" s="386">
        <v>5</v>
      </c>
      <c r="B76" s="414">
        <v>242510086</v>
      </c>
      <c r="C76" s="467" t="s">
        <v>106</v>
      </c>
      <c r="D76" s="277" t="s">
        <v>107</v>
      </c>
      <c r="E76" s="466" t="s">
        <v>18</v>
      </c>
      <c r="F76" s="317"/>
      <c r="G76" s="318"/>
      <c r="H76" s="318"/>
      <c r="I76" s="318"/>
    </row>
    <row r="77" customHeight="1" spans="1:9">
      <c r="A77" s="386">
        <v>6</v>
      </c>
      <c r="B77" s="414">
        <v>242510043</v>
      </c>
      <c r="C77" s="465" t="s">
        <v>108</v>
      </c>
      <c r="D77" s="279" t="s">
        <v>109</v>
      </c>
      <c r="E77" s="466" t="s">
        <v>23</v>
      </c>
      <c r="F77" s="317"/>
      <c r="G77" s="318"/>
      <c r="H77" s="318"/>
      <c r="I77" s="318"/>
    </row>
    <row r="78" customHeight="1" spans="1:9">
      <c r="A78" s="386">
        <v>7</v>
      </c>
      <c r="B78" s="414">
        <v>242510394</v>
      </c>
      <c r="C78" s="467" t="s">
        <v>110</v>
      </c>
      <c r="D78" s="281" t="s">
        <v>111</v>
      </c>
      <c r="E78" s="466" t="s">
        <v>18</v>
      </c>
      <c r="F78" s="317"/>
      <c r="G78" s="318"/>
      <c r="H78" s="318"/>
      <c r="I78" s="318"/>
    </row>
    <row r="79" customHeight="1" spans="1:9">
      <c r="A79" s="386">
        <v>8</v>
      </c>
      <c r="B79" s="414">
        <v>242510288</v>
      </c>
      <c r="C79" s="465" t="s">
        <v>112</v>
      </c>
      <c r="D79" s="275" t="s">
        <v>113</v>
      </c>
      <c r="E79" s="466" t="s">
        <v>23</v>
      </c>
      <c r="F79" s="317"/>
      <c r="G79" s="318"/>
      <c r="H79" s="318"/>
      <c r="I79" s="318"/>
    </row>
    <row r="80" customHeight="1" spans="1:9">
      <c r="A80" s="386">
        <v>9</v>
      </c>
      <c r="B80" s="414">
        <v>242510396</v>
      </c>
      <c r="C80" s="467" t="s">
        <v>114</v>
      </c>
      <c r="D80" s="277" t="s">
        <v>115</v>
      </c>
      <c r="E80" s="466" t="s">
        <v>18</v>
      </c>
      <c r="F80" s="317"/>
      <c r="G80" s="318"/>
      <c r="H80" s="318"/>
      <c r="I80" s="318"/>
    </row>
    <row r="81" customHeight="1" spans="1:9">
      <c r="A81" s="386">
        <v>10</v>
      </c>
      <c r="B81" s="414">
        <v>242510046</v>
      </c>
      <c r="C81" s="465" t="s">
        <v>116</v>
      </c>
      <c r="D81" s="275" t="s">
        <v>117</v>
      </c>
      <c r="E81" s="466" t="s">
        <v>23</v>
      </c>
      <c r="F81" s="317"/>
      <c r="G81" s="318"/>
      <c r="H81" s="318"/>
      <c r="I81" s="318"/>
    </row>
    <row r="82" customHeight="1" spans="1:9">
      <c r="A82" s="386">
        <v>11</v>
      </c>
      <c r="B82" s="414">
        <v>242510093</v>
      </c>
      <c r="C82" s="467" t="s">
        <v>118</v>
      </c>
      <c r="D82" s="277" t="s">
        <v>119</v>
      </c>
      <c r="E82" s="466" t="s">
        <v>23</v>
      </c>
      <c r="F82" s="317"/>
      <c r="G82" s="318"/>
      <c r="H82" s="318"/>
      <c r="I82" s="318"/>
    </row>
    <row r="83" customHeight="1" spans="1:9">
      <c r="A83" s="386">
        <v>12</v>
      </c>
      <c r="B83" s="414">
        <v>242510096</v>
      </c>
      <c r="C83" s="467" t="s">
        <v>120</v>
      </c>
      <c r="D83" s="277" t="s">
        <v>121</v>
      </c>
      <c r="E83" s="466" t="s">
        <v>18</v>
      </c>
      <c r="F83" s="317"/>
      <c r="G83" s="318"/>
      <c r="H83" s="318"/>
      <c r="I83" s="318"/>
    </row>
    <row r="84" customHeight="1" spans="1:9">
      <c r="A84" s="386">
        <v>13</v>
      </c>
      <c r="B84" s="414">
        <v>242510293</v>
      </c>
      <c r="C84" s="465" t="s">
        <v>122</v>
      </c>
      <c r="D84" s="275" t="s">
        <v>123</v>
      </c>
      <c r="E84" s="466" t="s">
        <v>23</v>
      </c>
      <c r="F84" s="317"/>
      <c r="G84" s="318"/>
      <c r="H84" s="318"/>
      <c r="I84" s="318"/>
    </row>
    <row r="85" customHeight="1" spans="1:9">
      <c r="A85" s="386">
        <v>14</v>
      </c>
      <c r="B85" s="414">
        <v>242510333</v>
      </c>
      <c r="C85" s="467" t="s">
        <v>124</v>
      </c>
      <c r="D85" s="277" t="s">
        <v>125</v>
      </c>
      <c r="E85" s="466" t="s">
        <v>18</v>
      </c>
      <c r="F85" s="317"/>
      <c r="G85" s="318"/>
      <c r="H85" s="318"/>
      <c r="I85" s="318"/>
    </row>
    <row r="86" customHeight="1" spans="1:9">
      <c r="A86" s="386">
        <v>15</v>
      </c>
      <c r="B86" s="414">
        <v>242510256</v>
      </c>
      <c r="C86" s="465" t="s">
        <v>126</v>
      </c>
      <c r="D86" s="275" t="s">
        <v>127</v>
      </c>
      <c r="E86" s="466" t="s">
        <v>18</v>
      </c>
      <c r="F86" s="317"/>
      <c r="G86" s="318"/>
      <c r="H86" s="318"/>
      <c r="I86" s="318"/>
    </row>
    <row r="87" customHeight="1" spans="1:9">
      <c r="A87" s="386">
        <v>16</v>
      </c>
      <c r="B87" s="414">
        <v>242510334</v>
      </c>
      <c r="C87" s="467" t="s">
        <v>128</v>
      </c>
      <c r="D87" s="277" t="s">
        <v>129</v>
      </c>
      <c r="E87" s="466" t="s">
        <v>18</v>
      </c>
      <c r="F87" s="317"/>
      <c r="G87" s="318"/>
      <c r="H87" s="318"/>
      <c r="I87" s="318"/>
    </row>
    <row r="88" customHeight="1" spans="1:9">
      <c r="A88" s="386">
        <v>17</v>
      </c>
      <c r="B88" s="414">
        <v>242510369</v>
      </c>
      <c r="C88" s="468" t="s">
        <v>130</v>
      </c>
      <c r="D88" s="279" t="s">
        <v>131</v>
      </c>
      <c r="E88" s="466" t="s">
        <v>18</v>
      </c>
      <c r="F88" s="317"/>
      <c r="G88" s="318"/>
      <c r="H88" s="318"/>
      <c r="I88" s="318"/>
    </row>
    <row r="89" customHeight="1" spans="1:9">
      <c r="A89" s="386">
        <v>18</v>
      </c>
      <c r="B89" s="414">
        <v>242510404</v>
      </c>
      <c r="C89" s="467" t="s">
        <v>132</v>
      </c>
      <c r="D89" s="277" t="s">
        <v>133</v>
      </c>
      <c r="E89" s="466" t="s">
        <v>18</v>
      </c>
      <c r="F89" s="317"/>
      <c r="G89" s="318"/>
      <c r="H89" s="318"/>
      <c r="I89" s="318"/>
    </row>
    <row r="90" customHeight="1" spans="1:9">
      <c r="A90" s="386">
        <v>19</v>
      </c>
      <c r="B90" s="414">
        <v>242510102</v>
      </c>
      <c r="C90" s="465" t="s">
        <v>134</v>
      </c>
      <c r="D90" s="275" t="s">
        <v>135</v>
      </c>
      <c r="E90" s="466" t="s">
        <v>18</v>
      </c>
      <c r="F90" s="317"/>
      <c r="G90" s="318"/>
      <c r="H90" s="318"/>
      <c r="I90" s="318"/>
    </row>
    <row r="91" customHeight="1" spans="1:9">
      <c r="A91" s="386">
        <v>20</v>
      </c>
      <c r="B91" s="414">
        <v>242510138</v>
      </c>
      <c r="C91" s="467" t="s">
        <v>136</v>
      </c>
      <c r="D91" s="277" t="s">
        <v>137</v>
      </c>
      <c r="E91" s="466" t="s">
        <v>18</v>
      </c>
      <c r="F91" s="317"/>
      <c r="G91" s="318"/>
      <c r="H91" s="318"/>
      <c r="I91" s="318"/>
    </row>
    <row r="92" customHeight="1" spans="1:9">
      <c r="A92" s="386">
        <v>21</v>
      </c>
      <c r="B92" s="414">
        <v>242510056</v>
      </c>
      <c r="C92" s="465" t="s">
        <v>138</v>
      </c>
      <c r="D92" s="275" t="s">
        <v>139</v>
      </c>
      <c r="E92" s="466" t="s">
        <v>23</v>
      </c>
      <c r="F92" s="317"/>
      <c r="G92" s="318"/>
      <c r="H92" s="318"/>
      <c r="I92" s="318"/>
    </row>
    <row r="93" customHeight="1" spans="1:9">
      <c r="A93" s="386">
        <v>22</v>
      </c>
      <c r="B93" s="414">
        <v>242510185</v>
      </c>
      <c r="C93" s="467" t="s">
        <v>140</v>
      </c>
      <c r="D93" s="277" t="s">
        <v>141</v>
      </c>
      <c r="E93" s="466" t="s">
        <v>23</v>
      </c>
      <c r="F93" s="317"/>
      <c r="G93" s="318"/>
      <c r="H93" s="318"/>
      <c r="I93" s="318"/>
    </row>
    <row r="94" customHeight="1" spans="1:9">
      <c r="A94" s="386">
        <v>23</v>
      </c>
      <c r="B94" s="414">
        <v>242510227</v>
      </c>
      <c r="C94" s="465" t="s">
        <v>142</v>
      </c>
      <c r="D94" s="275" t="s">
        <v>143</v>
      </c>
      <c r="E94" s="466" t="s">
        <v>18</v>
      </c>
      <c r="F94" s="317"/>
      <c r="G94" s="318"/>
      <c r="H94" s="318"/>
      <c r="I94" s="318"/>
    </row>
    <row r="95" customHeight="1" spans="1:9">
      <c r="A95" s="386">
        <v>24</v>
      </c>
      <c r="B95" s="414">
        <v>242510228</v>
      </c>
      <c r="C95" s="467" t="s">
        <v>144</v>
      </c>
      <c r="D95" s="277" t="s">
        <v>145</v>
      </c>
      <c r="E95" s="403" t="s">
        <v>18</v>
      </c>
      <c r="F95" s="317"/>
      <c r="G95" s="318"/>
      <c r="H95" s="318"/>
      <c r="I95" s="318"/>
    </row>
    <row r="96" customHeight="1" spans="1:9">
      <c r="A96" s="386">
        <v>25</v>
      </c>
      <c r="B96" s="414">
        <v>242510031</v>
      </c>
      <c r="C96" s="465" t="s">
        <v>146</v>
      </c>
      <c r="D96" s="275" t="s">
        <v>147</v>
      </c>
      <c r="E96" s="466" t="s">
        <v>18</v>
      </c>
      <c r="F96" s="317"/>
      <c r="G96" s="318"/>
      <c r="H96" s="318"/>
      <c r="I96" s="318"/>
    </row>
    <row r="97" customHeight="1" spans="1:9">
      <c r="A97" s="386">
        <v>26</v>
      </c>
      <c r="B97" s="414">
        <v>242510264</v>
      </c>
      <c r="C97" s="467" t="s">
        <v>148</v>
      </c>
      <c r="D97" s="277" t="s">
        <v>149</v>
      </c>
      <c r="E97" s="466" t="s">
        <v>18</v>
      </c>
      <c r="F97" s="317"/>
      <c r="G97" s="318"/>
      <c r="H97" s="318"/>
      <c r="I97" s="318"/>
    </row>
    <row r="98" customHeight="1" spans="1:9">
      <c r="A98" s="386">
        <v>27</v>
      </c>
      <c r="B98" s="414">
        <v>242510340</v>
      </c>
      <c r="C98" s="465" t="s">
        <v>150</v>
      </c>
      <c r="D98" s="275" t="s">
        <v>151</v>
      </c>
      <c r="E98" s="466" t="s">
        <v>18</v>
      </c>
      <c r="F98" s="317"/>
      <c r="G98" s="318"/>
      <c r="H98" s="318"/>
      <c r="I98" s="318"/>
    </row>
    <row r="99" customHeight="1" spans="1:9">
      <c r="A99" s="386">
        <v>28</v>
      </c>
      <c r="B99" s="414">
        <v>242510060</v>
      </c>
      <c r="C99" s="467" t="s">
        <v>152</v>
      </c>
      <c r="D99" s="277" t="s">
        <v>153</v>
      </c>
      <c r="E99" s="466" t="s">
        <v>18</v>
      </c>
      <c r="F99" s="317"/>
      <c r="G99" s="318"/>
      <c r="H99" s="318"/>
      <c r="I99" s="318"/>
    </row>
    <row r="100" customHeight="1" spans="1:9">
      <c r="A100" s="386">
        <v>29</v>
      </c>
      <c r="B100" s="414">
        <v>242510413</v>
      </c>
      <c r="C100" s="465" t="s">
        <v>154</v>
      </c>
      <c r="D100" s="430" t="s">
        <v>155</v>
      </c>
      <c r="E100" s="466" t="s">
        <v>23</v>
      </c>
      <c r="F100" s="317"/>
      <c r="G100" s="318"/>
      <c r="H100" s="318"/>
      <c r="I100" s="318"/>
    </row>
    <row r="101" customHeight="1" spans="1:9">
      <c r="A101" s="386">
        <v>30</v>
      </c>
      <c r="B101" s="414">
        <v>242510109</v>
      </c>
      <c r="C101" s="467" t="s">
        <v>156</v>
      </c>
      <c r="D101" s="277" t="s">
        <v>157</v>
      </c>
      <c r="E101" s="466" t="s">
        <v>23</v>
      </c>
      <c r="F101" s="317"/>
      <c r="G101" s="318"/>
      <c r="H101" s="318"/>
      <c r="I101" s="318"/>
    </row>
    <row r="102" customHeight="1" spans="1:9">
      <c r="A102" s="386">
        <v>31</v>
      </c>
      <c r="B102" s="414">
        <v>242510268</v>
      </c>
      <c r="C102" s="465" t="s">
        <v>158</v>
      </c>
      <c r="D102" s="275" t="s">
        <v>159</v>
      </c>
      <c r="E102" s="466" t="s">
        <v>18</v>
      </c>
      <c r="F102" s="317"/>
      <c r="G102" s="318"/>
      <c r="H102" s="318"/>
      <c r="I102" s="318"/>
    </row>
    <row r="103" customHeight="1" spans="1:9">
      <c r="A103" s="386">
        <v>32</v>
      </c>
      <c r="B103" s="414">
        <v>242510075</v>
      </c>
      <c r="C103" s="467" t="s">
        <v>160</v>
      </c>
      <c r="D103" s="277" t="s">
        <v>161</v>
      </c>
      <c r="E103" s="466" t="s">
        <v>18</v>
      </c>
      <c r="F103" s="317"/>
      <c r="G103" s="318"/>
      <c r="H103" s="318"/>
      <c r="I103" s="318"/>
    </row>
    <row r="104" customHeight="1" spans="1:9">
      <c r="A104" s="386">
        <v>33</v>
      </c>
      <c r="B104" s="414">
        <v>242510153</v>
      </c>
      <c r="C104" s="465" t="s">
        <v>162</v>
      </c>
      <c r="D104" s="279" t="s">
        <v>163</v>
      </c>
      <c r="E104" s="466" t="s">
        <v>18</v>
      </c>
      <c r="F104" s="317"/>
      <c r="G104" s="318"/>
      <c r="H104" s="318"/>
      <c r="I104" s="318"/>
    </row>
    <row r="105" customHeight="1" spans="1:9">
      <c r="A105" s="386">
        <v>34</v>
      </c>
      <c r="B105" s="414">
        <v>242510196</v>
      </c>
      <c r="C105" s="467" t="s">
        <v>164</v>
      </c>
      <c r="D105" s="277" t="s">
        <v>165</v>
      </c>
      <c r="E105" s="466" t="s">
        <v>18</v>
      </c>
      <c r="F105" s="317"/>
      <c r="G105" s="318"/>
      <c r="H105" s="318"/>
      <c r="I105" s="318"/>
    </row>
    <row r="106" customHeight="1" spans="1:9">
      <c r="A106" s="386">
        <v>35</v>
      </c>
      <c r="B106" s="414">
        <v>242510237</v>
      </c>
      <c r="C106" s="465" t="s">
        <v>166</v>
      </c>
      <c r="D106" s="275" t="s">
        <v>167</v>
      </c>
      <c r="E106" s="466" t="s">
        <v>18</v>
      </c>
      <c r="F106" s="317"/>
      <c r="G106" s="318"/>
      <c r="H106" s="318"/>
      <c r="I106" s="318"/>
    </row>
    <row r="107" s="292" customFormat="1" customHeight="1" spans="1:9">
      <c r="B107" s="394"/>
      <c r="C107" s="447"/>
      <c r="D107" s="473" t="s">
        <v>89</v>
      </c>
      <c r="E107" s="396">
        <f>COUNTIF(E72:E106,"L")</f>
        <v>9</v>
      </c>
    </row>
    <row r="108" s="292" customFormat="1" customHeight="1" spans="1:9">
      <c r="B108" s="474"/>
      <c r="C108" s="447"/>
      <c r="D108" s="473" t="s">
        <v>90</v>
      </c>
      <c r="E108" s="396">
        <f>COUNTIF(E72:E106,"P")</f>
        <v>26</v>
      </c>
    </row>
    <row r="109" s="292" customFormat="1" customHeight="1" spans="1:9">
      <c r="B109" s="394"/>
      <c r="C109" s="447"/>
      <c r="D109" s="456"/>
      <c r="E109" s="390"/>
    </row>
    <row r="110" s="292" customFormat="1" customHeight="1" spans="1:9">
      <c r="B110" s="394" t="s">
        <v>91</v>
      </c>
      <c r="C110" s="447"/>
      <c r="D110" s="456"/>
      <c r="E110" s="390"/>
      <c r="F110" s="292" t="s">
        <v>92</v>
      </c>
    </row>
    <row r="111" s="292" customFormat="1" customHeight="1" spans="1:9">
      <c r="B111" s="394"/>
      <c r="C111" s="447"/>
      <c r="D111" s="456"/>
      <c r="E111" s="390"/>
    </row>
    <row r="112" s="292" customFormat="1" customHeight="1" spans="1:9">
      <c r="B112" s="394"/>
      <c r="C112" s="447"/>
      <c r="D112" s="456"/>
      <c r="E112" s="390"/>
    </row>
    <row r="113" s="292" customFormat="1" customHeight="1" spans="1:9">
      <c r="B113" s="394"/>
      <c r="C113" s="447"/>
      <c r="D113" s="456"/>
      <c r="E113" s="390"/>
    </row>
    <row r="114" s="292" customFormat="1" customHeight="1" spans="1:9">
      <c r="B114" s="475" t="s">
        <v>93</v>
      </c>
      <c r="C114" s="447"/>
      <c r="D114" s="456"/>
      <c r="E114" s="390"/>
      <c r="F114" s="292" t="s">
        <v>94</v>
      </c>
    </row>
    <row r="115" s="292" customFormat="1" customHeight="1" spans="1:9">
      <c r="B115" s="398" t="s">
        <v>95</v>
      </c>
      <c r="C115" s="447"/>
      <c r="D115" s="456"/>
      <c r="E115" s="390"/>
    </row>
    <row r="116" customHeight="1" spans="1:9">
      <c r="B116" s="348"/>
    </row>
    <row r="119" ht="12.75" customHeight="1" spans="1:9">
      <c r="A119" s="297" t="s">
        <v>1</v>
      </c>
      <c r="B119" s="297"/>
      <c r="C119" s="297"/>
      <c r="D119" s="297"/>
      <c r="E119" s="297"/>
      <c r="F119" s="297"/>
      <c r="G119" s="297"/>
      <c r="H119" s="297"/>
      <c r="I119" s="297"/>
    </row>
    <row r="120" ht="12.75" customHeight="1" spans="1:9">
      <c r="A120" s="297" t="s">
        <v>2</v>
      </c>
      <c r="B120" s="297"/>
      <c r="C120" s="297"/>
      <c r="D120" s="297"/>
      <c r="E120" s="297"/>
      <c r="F120" s="297"/>
      <c r="G120" s="297"/>
      <c r="H120" s="297"/>
      <c r="I120" s="297"/>
    </row>
    <row r="121" ht="12.75" customHeight="1" spans="1:9">
      <c r="A121" s="297" t="s">
        <v>3</v>
      </c>
      <c r="B121" s="297"/>
      <c r="C121" s="297"/>
      <c r="D121" s="297"/>
      <c r="E121" s="297"/>
      <c r="F121" s="297"/>
      <c r="G121" s="297"/>
      <c r="H121" s="297"/>
      <c r="I121" s="297"/>
    </row>
    <row r="122" s="291" customFormat="1" ht="16.5" customHeight="1" spans="1:9">
      <c r="A122" s="298" t="s">
        <v>4</v>
      </c>
      <c r="B122" s="298"/>
      <c r="C122" s="298"/>
      <c r="D122" s="298"/>
      <c r="E122" s="298"/>
      <c r="F122" s="298"/>
      <c r="G122" s="298"/>
      <c r="H122" s="298"/>
      <c r="I122" s="298"/>
    </row>
    <row r="123" ht="12.75" customHeight="1" spans="1:9">
      <c r="A123" s="299" t="s">
        <v>5</v>
      </c>
      <c r="B123" s="299"/>
      <c r="C123" s="299"/>
      <c r="D123" s="299"/>
      <c r="E123" s="299"/>
      <c r="F123" s="299"/>
      <c r="G123" s="299"/>
      <c r="H123" s="299"/>
      <c r="I123" s="299"/>
    </row>
    <row r="124" customHeight="1" spans="1:9">
      <c r="A124" s="299"/>
      <c r="B124" s="299"/>
      <c r="C124" s="299"/>
      <c r="D124" s="299"/>
      <c r="E124" s="299"/>
      <c r="F124" s="299"/>
      <c r="G124" s="299"/>
      <c r="H124" s="299"/>
      <c r="I124" s="299"/>
    </row>
    <row r="125" ht="12.75" customHeight="1" spans="1:9">
      <c r="A125" s="299"/>
      <c r="B125" s="299"/>
      <c r="C125" s="299"/>
      <c r="D125" s="299"/>
      <c r="E125" s="299"/>
      <c r="F125" s="299"/>
      <c r="G125" s="299"/>
      <c r="H125" s="299"/>
      <c r="I125" s="299"/>
    </row>
    <row r="126" s="289" customFormat="1" ht="12.75" customHeight="1" spans="1:9">
      <c r="A126" s="300" t="s">
        <v>6</v>
      </c>
      <c r="B126" s="300"/>
      <c r="C126" s="300"/>
      <c r="D126" s="300"/>
      <c r="E126" s="300"/>
      <c r="F126" s="300"/>
      <c r="G126" s="300"/>
      <c r="H126" s="300"/>
      <c r="I126" s="300"/>
    </row>
    <row r="127" s="289" customFormat="1" ht="12.75" customHeight="1" spans="1:9">
      <c r="A127" s="300"/>
      <c r="B127" s="300"/>
      <c r="C127" s="300"/>
      <c r="D127" s="300"/>
      <c r="E127" s="300"/>
      <c r="F127" s="300"/>
      <c r="G127" s="300"/>
      <c r="H127" s="300"/>
      <c r="I127" s="300"/>
    </row>
    <row r="128" s="289" customFormat="1" customHeight="1" spans="1:9">
      <c r="A128" s="456"/>
      <c r="B128" s="302" t="s">
        <v>168</v>
      </c>
      <c r="C128" s="406"/>
      <c r="D128" s="301"/>
      <c r="E128" s="407" t="s">
        <v>8</v>
      </c>
      <c r="F128" s="306" t="s">
        <v>169</v>
      </c>
    </row>
    <row r="129" s="290" customFormat="1" ht="24.75" customHeight="1" spans="1:9">
      <c r="A129" s="461" t="s">
        <v>10</v>
      </c>
      <c r="B129" s="308" t="s">
        <v>11</v>
      </c>
      <c r="C129" s="309" t="s">
        <v>12</v>
      </c>
      <c r="D129" s="308" t="s">
        <v>13</v>
      </c>
      <c r="E129" s="308" t="s">
        <v>14</v>
      </c>
      <c r="F129" s="310"/>
      <c r="G129" s="310"/>
      <c r="H129" s="310"/>
      <c r="I129" s="310"/>
    </row>
    <row r="130" customHeight="1" spans="1:9">
      <c r="A130" s="386">
        <v>1</v>
      </c>
      <c r="B130" s="414">
        <v>242510239</v>
      </c>
      <c r="C130" s="467" t="s">
        <v>170</v>
      </c>
      <c r="D130" s="277" t="s">
        <v>171</v>
      </c>
      <c r="E130" s="466" t="s">
        <v>23</v>
      </c>
      <c r="F130" s="317"/>
      <c r="G130" s="318"/>
      <c r="H130" s="318"/>
      <c r="I130" s="318"/>
    </row>
    <row r="131" customHeight="1" spans="1:9">
      <c r="A131" s="386">
        <v>2</v>
      </c>
      <c r="B131" s="414">
        <v>242510082</v>
      </c>
      <c r="C131" s="465" t="s">
        <v>172</v>
      </c>
      <c r="D131" s="275" t="s">
        <v>173</v>
      </c>
      <c r="E131" s="466" t="s">
        <v>18</v>
      </c>
      <c r="F131" s="317"/>
      <c r="G131" s="318"/>
      <c r="H131" s="318"/>
      <c r="I131" s="318"/>
    </row>
    <row r="132" customHeight="1" spans="1:9">
      <c r="A132" s="386">
        <v>3</v>
      </c>
      <c r="B132" s="414">
        <v>242510161</v>
      </c>
      <c r="C132" s="467" t="s">
        <v>174</v>
      </c>
      <c r="D132" s="277" t="s">
        <v>175</v>
      </c>
      <c r="E132" s="466" t="s">
        <v>18</v>
      </c>
      <c r="F132" s="317"/>
      <c r="G132" s="318"/>
      <c r="H132" s="318"/>
      <c r="I132" s="318"/>
    </row>
    <row r="133" customHeight="1" spans="1:9">
      <c r="A133" s="386">
        <v>4</v>
      </c>
      <c r="B133" s="414">
        <v>242510242</v>
      </c>
      <c r="C133" s="465" t="s">
        <v>176</v>
      </c>
      <c r="D133" s="279" t="s">
        <v>177</v>
      </c>
      <c r="E133" s="466" t="s">
        <v>23</v>
      </c>
      <c r="F133" s="317"/>
      <c r="G133" s="318"/>
      <c r="H133" s="318"/>
      <c r="I133" s="318"/>
    </row>
    <row r="134" customHeight="1" spans="1:9">
      <c r="A134" s="386">
        <v>5</v>
      </c>
      <c r="B134" s="414">
        <v>242510206</v>
      </c>
      <c r="C134" s="467" t="s">
        <v>178</v>
      </c>
      <c r="D134" s="277" t="s">
        <v>179</v>
      </c>
      <c r="E134" s="466" t="s">
        <v>18</v>
      </c>
      <c r="F134" s="317"/>
      <c r="G134" s="318"/>
      <c r="H134" s="318"/>
      <c r="I134" s="318"/>
    </row>
    <row r="135" customHeight="1" spans="1:9">
      <c r="A135" s="386">
        <v>6</v>
      </c>
      <c r="B135" s="414">
        <v>242510244</v>
      </c>
      <c r="C135" s="465" t="s">
        <v>180</v>
      </c>
      <c r="D135" s="275" t="s">
        <v>181</v>
      </c>
      <c r="E135" s="466" t="s">
        <v>18</v>
      </c>
      <c r="F135" s="317"/>
      <c r="G135" s="318"/>
      <c r="H135" s="318"/>
      <c r="I135" s="318"/>
    </row>
    <row r="136" customHeight="1" spans="1:9">
      <c r="A136" s="386">
        <v>7</v>
      </c>
      <c r="B136" s="414">
        <v>242510278</v>
      </c>
      <c r="C136" s="467" t="s">
        <v>182</v>
      </c>
      <c r="D136" s="277" t="s">
        <v>183</v>
      </c>
      <c r="E136" s="466" t="s">
        <v>18</v>
      </c>
      <c r="F136" s="317"/>
      <c r="G136" s="318"/>
      <c r="H136" s="318"/>
      <c r="I136" s="318"/>
    </row>
    <row r="137" customHeight="1" spans="1:9">
      <c r="A137" s="386">
        <v>8</v>
      </c>
      <c r="B137" s="414">
        <v>242510282</v>
      </c>
      <c r="C137" s="465" t="s">
        <v>184</v>
      </c>
      <c r="D137" s="275" t="s">
        <v>185</v>
      </c>
      <c r="E137" s="466" t="s">
        <v>23</v>
      </c>
      <c r="F137" s="317"/>
      <c r="G137" s="318"/>
      <c r="H137" s="318"/>
      <c r="I137" s="318"/>
    </row>
    <row r="138" customHeight="1" spans="1:9">
      <c r="A138" s="386">
        <v>9</v>
      </c>
      <c r="B138" s="414">
        <v>242510123</v>
      </c>
      <c r="C138" s="477" t="s">
        <v>186</v>
      </c>
      <c r="D138" s="281" t="s">
        <v>187</v>
      </c>
      <c r="E138" s="466" t="s">
        <v>18</v>
      </c>
      <c r="F138" s="317"/>
      <c r="G138" s="318"/>
      <c r="H138" s="318"/>
      <c r="I138" s="318"/>
    </row>
    <row r="139" customHeight="1" spans="1:9">
      <c r="A139" s="386">
        <v>10</v>
      </c>
      <c r="B139" s="414">
        <v>242510007</v>
      </c>
      <c r="C139" s="465" t="s">
        <v>188</v>
      </c>
      <c r="D139" s="279" t="s">
        <v>189</v>
      </c>
      <c r="E139" s="466" t="s">
        <v>18</v>
      </c>
      <c r="F139" s="317"/>
      <c r="G139" s="318"/>
      <c r="H139" s="318"/>
      <c r="I139" s="318"/>
    </row>
    <row r="140" customHeight="1" spans="1:9">
      <c r="A140" s="386">
        <v>11</v>
      </c>
      <c r="B140" s="414">
        <v>242510167</v>
      </c>
      <c r="C140" s="467" t="s">
        <v>190</v>
      </c>
      <c r="D140" s="277" t="s">
        <v>191</v>
      </c>
      <c r="E140" s="466" t="s">
        <v>18</v>
      </c>
      <c r="F140" s="317"/>
      <c r="G140" s="318"/>
      <c r="H140" s="318"/>
      <c r="I140" s="318"/>
    </row>
    <row r="141" customHeight="1" spans="1:9">
      <c r="A141" s="386">
        <v>12</v>
      </c>
      <c r="B141" s="414">
        <v>242510210</v>
      </c>
      <c r="C141" s="465" t="s">
        <v>192</v>
      </c>
      <c r="D141" s="275" t="s">
        <v>193</v>
      </c>
      <c r="E141" s="466" t="s">
        <v>18</v>
      </c>
      <c r="F141" s="317"/>
      <c r="G141" s="318"/>
      <c r="H141" s="318"/>
      <c r="I141" s="318"/>
    </row>
    <row r="142" customHeight="1" spans="1:9">
      <c r="A142" s="386">
        <v>13</v>
      </c>
      <c r="B142" s="414">
        <v>242510289</v>
      </c>
      <c r="C142" s="467" t="s">
        <v>194</v>
      </c>
      <c r="D142" s="277" t="s">
        <v>195</v>
      </c>
      <c r="E142" s="466" t="s">
        <v>18</v>
      </c>
      <c r="F142" s="317"/>
      <c r="G142" s="318"/>
      <c r="H142" s="318"/>
      <c r="I142" s="318"/>
    </row>
    <row r="143" customHeight="1" spans="1:9">
      <c r="A143" s="386">
        <v>14</v>
      </c>
      <c r="B143" s="414">
        <v>242510252</v>
      </c>
      <c r="C143" s="468" t="s">
        <v>196</v>
      </c>
      <c r="D143" s="279" t="s">
        <v>197</v>
      </c>
      <c r="E143" s="466" t="s">
        <v>18</v>
      </c>
      <c r="F143" s="317"/>
      <c r="G143" s="318"/>
      <c r="H143" s="318"/>
      <c r="I143" s="318"/>
    </row>
    <row r="144" customHeight="1" spans="1:9">
      <c r="A144" s="386">
        <v>15</v>
      </c>
      <c r="B144" s="414">
        <v>242510329</v>
      </c>
      <c r="C144" s="467" t="s">
        <v>198</v>
      </c>
      <c r="D144" s="277" t="s">
        <v>199</v>
      </c>
      <c r="E144" s="466" t="s">
        <v>18</v>
      </c>
      <c r="F144" s="317"/>
      <c r="G144" s="318"/>
      <c r="H144" s="318"/>
      <c r="I144" s="318"/>
    </row>
    <row r="145" customHeight="1" spans="1:9">
      <c r="A145" s="386">
        <v>16</v>
      </c>
      <c r="B145" s="414">
        <v>242510292</v>
      </c>
      <c r="C145" s="465" t="s">
        <v>200</v>
      </c>
      <c r="D145" s="275" t="s">
        <v>201</v>
      </c>
      <c r="E145" s="466" t="s">
        <v>23</v>
      </c>
      <c r="F145" s="317"/>
      <c r="G145" s="318"/>
      <c r="H145" s="318"/>
      <c r="I145" s="318"/>
    </row>
    <row r="146" customHeight="1" spans="1:9">
      <c r="A146" s="386">
        <v>17</v>
      </c>
      <c r="B146" s="414">
        <v>242510132</v>
      </c>
      <c r="C146" s="467" t="s">
        <v>202</v>
      </c>
      <c r="D146" s="277" t="s">
        <v>203</v>
      </c>
      <c r="E146" s="466" t="s">
        <v>18</v>
      </c>
      <c r="F146" s="317"/>
      <c r="G146" s="318"/>
      <c r="H146" s="318"/>
      <c r="I146" s="318"/>
    </row>
    <row r="147" customHeight="1" spans="1:9">
      <c r="A147" s="386">
        <v>18</v>
      </c>
      <c r="B147" s="414">
        <v>242510134</v>
      </c>
      <c r="C147" s="465" t="s">
        <v>204</v>
      </c>
      <c r="D147" s="275" t="s">
        <v>205</v>
      </c>
      <c r="E147" s="466" t="s">
        <v>18</v>
      </c>
      <c r="F147" s="317"/>
      <c r="G147" s="318"/>
      <c r="H147" s="318"/>
      <c r="I147" s="318"/>
    </row>
    <row r="148" customHeight="1" spans="1:9">
      <c r="A148" s="386">
        <v>19</v>
      </c>
      <c r="B148" s="414">
        <v>242510020</v>
      </c>
      <c r="C148" s="467" t="s">
        <v>206</v>
      </c>
      <c r="D148" s="277" t="s">
        <v>207</v>
      </c>
      <c r="E148" s="466" t="s">
        <v>23</v>
      </c>
      <c r="F148" s="317"/>
      <c r="G148" s="318"/>
      <c r="H148" s="318"/>
      <c r="I148" s="318"/>
    </row>
    <row r="149" customHeight="1" spans="1:9">
      <c r="A149" s="386">
        <v>20</v>
      </c>
      <c r="B149" s="414">
        <v>242510258</v>
      </c>
      <c r="C149" s="465" t="s">
        <v>208</v>
      </c>
      <c r="D149" s="275" t="s">
        <v>209</v>
      </c>
      <c r="E149" s="466" t="s">
        <v>18</v>
      </c>
      <c r="F149" s="317"/>
      <c r="G149" s="318"/>
      <c r="H149" s="318"/>
      <c r="I149" s="318"/>
    </row>
    <row r="150" customHeight="1" spans="1:9">
      <c r="A150" s="386">
        <v>21</v>
      </c>
      <c r="B150" s="414">
        <v>242510298</v>
      </c>
      <c r="C150" s="467" t="s">
        <v>210</v>
      </c>
      <c r="D150" s="277" t="s">
        <v>211</v>
      </c>
      <c r="E150" s="403" t="s">
        <v>18</v>
      </c>
      <c r="F150" s="317"/>
      <c r="G150" s="318"/>
      <c r="H150" s="318"/>
      <c r="I150" s="318"/>
    </row>
    <row r="151" customHeight="1" spans="1:9">
      <c r="A151" s="386">
        <v>22</v>
      </c>
      <c r="B151" s="414">
        <v>242510221</v>
      </c>
      <c r="C151" s="468" t="s">
        <v>212</v>
      </c>
      <c r="D151" s="279" t="s">
        <v>213</v>
      </c>
      <c r="E151" s="466" t="s">
        <v>18</v>
      </c>
      <c r="F151" s="317"/>
      <c r="G151" s="318"/>
      <c r="H151" s="318"/>
      <c r="I151" s="318"/>
    </row>
    <row r="152" customHeight="1" spans="1:9">
      <c r="A152" s="386">
        <v>23</v>
      </c>
      <c r="B152" s="414">
        <v>242510024</v>
      </c>
      <c r="C152" s="467" t="s">
        <v>214</v>
      </c>
      <c r="D152" s="277" t="s">
        <v>215</v>
      </c>
      <c r="E152" s="466" t="s">
        <v>23</v>
      </c>
      <c r="F152" s="317"/>
      <c r="G152" s="318"/>
      <c r="H152" s="318"/>
      <c r="I152" s="318"/>
    </row>
    <row r="153" customHeight="1" spans="1:9">
      <c r="A153" s="386">
        <v>24</v>
      </c>
      <c r="B153" s="414">
        <v>242510182</v>
      </c>
      <c r="C153" s="465" t="s">
        <v>216</v>
      </c>
      <c r="D153" s="275" t="s">
        <v>217</v>
      </c>
      <c r="E153" s="466" t="s">
        <v>18</v>
      </c>
      <c r="F153" s="317"/>
      <c r="G153" s="318"/>
      <c r="H153" s="318"/>
      <c r="I153" s="318"/>
    </row>
    <row r="154" customHeight="1" spans="1:9">
      <c r="A154" s="386">
        <v>25</v>
      </c>
      <c r="B154" s="414">
        <v>242510183</v>
      </c>
      <c r="C154" s="467" t="s">
        <v>218</v>
      </c>
      <c r="D154" s="281" t="s">
        <v>219</v>
      </c>
      <c r="E154" s="466" t="s">
        <v>23</v>
      </c>
      <c r="F154" s="317"/>
      <c r="G154" s="318"/>
      <c r="H154" s="318"/>
      <c r="I154" s="318"/>
    </row>
    <row r="155" customHeight="1" spans="1:9">
      <c r="A155" s="386">
        <v>26</v>
      </c>
      <c r="B155" s="414">
        <v>242510262</v>
      </c>
      <c r="C155" s="465" t="s">
        <v>220</v>
      </c>
      <c r="D155" s="275" t="s">
        <v>221</v>
      </c>
      <c r="E155" s="403" t="s">
        <v>23</v>
      </c>
      <c r="F155" s="317"/>
      <c r="G155" s="318"/>
      <c r="H155" s="318"/>
      <c r="I155" s="318"/>
    </row>
    <row r="156" customHeight="1" spans="1:9">
      <c r="A156" s="386">
        <v>27</v>
      </c>
      <c r="B156" s="414">
        <v>242510259</v>
      </c>
      <c r="C156" s="467" t="s">
        <v>222</v>
      </c>
      <c r="D156" s="277" t="s">
        <v>223</v>
      </c>
      <c r="E156" s="466" t="s">
        <v>23</v>
      </c>
      <c r="F156" s="317"/>
      <c r="G156" s="318"/>
      <c r="H156" s="318"/>
      <c r="I156" s="318"/>
    </row>
    <row r="157" customHeight="1" spans="1:9">
      <c r="A157" s="386">
        <v>28</v>
      </c>
      <c r="B157" s="414">
        <v>242510226</v>
      </c>
      <c r="C157" s="465" t="s">
        <v>224</v>
      </c>
      <c r="D157" s="275" t="s">
        <v>225</v>
      </c>
      <c r="E157" s="466" t="s">
        <v>23</v>
      </c>
      <c r="F157" s="317"/>
      <c r="G157" s="318"/>
      <c r="H157" s="318"/>
      <c r="I157" s="318"/>
    </row>
    <row r="158" customHeight="1" spans="1:9">
      <c r="A158" s="386">
        <v>29</v>
      </c>
      <c r="B158" s="414">
        <v>242510303</v>
      </c>
      <c r="C158" s="467" t="s">
        <v>226</v>
      </c>
      <c r="D158" s="277" t="s">
        <v>227</v>
      </c>
      <c r="E158" s="466" t="s">
        <v>18</v>
      </c>
      <c r="F158" s="317"/>
      <c r="G158" s="318"/>
      <c r="H158" s="318"/>
      <c r="I158" s="318"/>
    </row>
    <row r="159" customHeight="1" spans="1:9">
      <c r="A159" s="386">
        <v>30</v>
      </c>
      <c r="B159" s="414">
        <v>242510107</v>
      </c>
      <c r="C159" s="465" t="s">
        <v>228</v>
      </c>
      <c r="D159" s="275" t="s">
        <v>229</v>
      </c>
      <c r="E159" s="466" t="s">
        <v>18</v>
      </c>
      <c r="F159" s="317"/>
      <c r="G159" s="318"/>
      <c r="H159" s="318"/>
      <c r="I159" s="318"/>
    </row>
    <row r="160" customHeight="1" spans="1:9">
      <c r="A160" s="386">
        <v>31</v>
      </c>
      <c r="B160" s="414">
        <v>242510063</v>
      </c>
      <c r="C160" s="467" t="s">
        <v>230</v>
      </c>
      <c r="D160" s="277" t="s">
        <v>231</v>
      </c>
      <c r="E160" s="466" t="s">
        <v>18</v>
      </c>
      <c r="F160" s="317"/>
      <c r="G160" s="318"/>
      <c r="H160" s="318"/>
      <c r="I160" s="318"/>
    </row>
    <row r="161" customHeight="1" spans="1:9">
      <c r="A161" s="386">
        <v>32</v>
      </c>
      <c r="B161" s="414">
        <v>242510108</v>
      </c>
      <c r="C161" s="465" t="s">
        <v>232</v>
      </c>
      <c r="D161" s="279" t="s">
        <v>233</v>
      </c>
      <c r="E161" s="466" t="s">
        <v>18</v>
      </c>
      <c r="F161" s="317"/>
      <c r="G161" s="318"/>
      <c r="H161" s="318"/>
      <c r="I161" s="318"/>
    </row>
    <row r="162" customHeight="1" spans="1:9">
      <c r="A162" s="386">
        <v>33</v>
      </c>
      <c r="B162" s="414">
        <v>242510380</v>
      </c>
      <c r="C162" s="467" t="s">
        <v>234</v>
      </c>
      <c r="D162" s="277" t="s">
        <v>235</v>
      </c>
      <c r="E162" s="466" t="s">
        <v>18</v>
      </c>
      <c r="F162" s="317"/>
      <c r="G162" s="318"/>
      <c r="H162" s="318"/>
      <c r="I162" s="318"/>
    </row>
    <row r="163" customHeight="1" spans="1:9">
      <c r="A163" s="386">
        <v>34</v>
      </c>
      <c r="B163" s="414">
        <v>242510066</v>
      </c>
      <c r="C163" s="465" t="s">
        <v>236</v>
      </c>
      <c r="D163" s="275" t="s">
        <v>237</v>
      </c>
      <c r="E163" s="466" t="s">
        <v>18</v>
      </c>
      <c r="F163" s="317"/>
      <c r="G163" s="318"/>
      <c r="H163" s="318"/>
      <c r="I163" s="318"/>
    </row>
    <row r="164" customHeight="1" spans="1:9">
      <c r="A164" s="386">
        <v>35</v>
      </c>
      <c r="B164" s="414">
        <v>242510381</v>
      </c>
      <c r="C164" s="467" t="s">
        <v>238</v>
      </c>
      <c r="D164" s="277" t="s">
        <v>239</v>
      </c>
      <c r="E164" s="466" t="s">
        <v>23</v>
      </c>
      <c r="F164" s="318"/>
      <c r="G164" s="318"/>
      <c r="H164" s="318"/>
      <c r="I164" s="318"/>
    </row>
    <row r="165" customHeight="1" spans="1:9">
      <c r="A165" s="386">
        <v>36</v>
      </c>
      <c r="B165" s="414">
        <v>242510113</v>
      </c>
      <c r="C165" s="465" t="s">
        <v>240</v>
      </c>
      <c r="D165" s="275" t="s">
        <v>241</v>
      </c>
      <c r="E165" s="466" t="s">
        <v>18</v>
      </c>
      <c r="F165" s="318"/>
      <c r="G165" s="318"/>
      <c r="H165" s="318"/>
      <c r="I165" s="318"/>
    </row>
    <row r="166" customHeight="1" spans="1:9">
      <c r="A166" s="386">
        <v>37</v>
      </c>
      <c r="B166" s="414">
        <v>242510385</v>
      </c>
      <c r="C166" s="467" t="s">
        <v>242</v>
      </c>
      <c r="D166" s="277" t="s">
        <v>243</v>
      </c>
      <c r="E166" s="466" t="s">
        <v>23</v>
      </c>
      <c r="F166" s="318"/>
      <c r="G166" s="318"/>
      <c r="H166" s="318"/>
      <c r="I166" s="318"/>
    </row>
    <row r="167" customHeight="1" spans="1:9">
      <c r="A167" s="386">
        <v>38</v>
      </c>
      <c r="B167" s="414">
        <v>242510078</v>
      </c>
      <c r="C167" s="465" t="s">
        <v>244</v>
      </c>
      <c r="D167" s="275" t="s">
        <v>245</v>
      </c>
      <c r="E167" s="466" t="s">
        <v>18</v>
      </c>
      <c r="F167" s="318"/>
      <c r="G167" s="318"/>
      <c r="H167" s="318"/>
      <c r="I167" s="318"/>
    </row>
    <row r="168" customHeight="1" spans="1:9">
      <c r="A168" s="386">
        <v>39</v>
      </c>
      <c r="B168" s="414">
        <v>242510276</v>
      </c>
      <c r="C168" s="467" t="s">
        <v>246</v>
      </c>
      <c r="D168" s="277" t="s">
        <v>247</v>
      </c>
      <c r="E168" s="403" t="s">
        <v>23</v>
      </c>
      <c r="F168" s="318"/>
      <c r="G168" s="318"/>
      <c r="H168" s="318"/>
      <c r="I168" s="318"/>
    </row>
    <row r="169" s="292" customFormat="1" customHeight="1" spans="1:9">
      <c r="B169" s="394"/>
      <c r="C169" s="447"/>
      <c r="D169" s="473" t="s">
        <v>89</v>
      </c>
      <c r="E169" s="396">
        <f>COUNTIF(E130:E168,"L")</f>
        <v>13</v>
      </c>
    </row>
    <row r="170" s="292" customFormat="1" customHeight="1" spans="1:9">
      <c r="B170" s="474"/>
      <c r="C170" s="447"/>
      <c r="D170" s="473" t="s">
        <v>90</v>
      </c>
      <c r="E170" s="396">
        <f>COUNTIF(E130:E168,"P")</f>
        <v>26</v>
      </c>
    </row>
    <row r="171" s="292" customFormat="1" customHeight="1" spans="1:9">
      <c r="B171" s="394"/>
      <c r="C171" s="447"/>
      <c r="D171" s="456"/>
      <c r="E171" s="390"/>
    </row>
    <row r="172" s="292" customFormat="1" customHeight="1" spans="1:9">
      <c r="B172" s="394" t="s">
        <v>91</v>
      </c>
      <c r="C172" s="447"/>
      <c r="D172" s="456"/>
      <c r="E172" s="390"/>
      <c r="F172" s="292" t="s">
        <v>92</v>
      </c>
    </row>
    <row r="173" s="292" customFormat="1" customHeight="1" spans="1:9">
      <c r="B173" s="394"/>
      <c r="C173" s="447"/>
      <c r="D173" s="456"/>
      <c r="E173" s="390"/>
    </row>
    <row r="174" s="292" customFormat="1" customHeight="1" spans="1:9">
      <c r="B174" s="394"/>
      <c r="C174" s="447"/>
      <c r="D174" s="456"/>
      <c r="E174" s="390"/>
    </row>
    <row r="175" s="292" customFormat="1" customHeight="1" spans="1:9">
      <c r="B175" s="394"/>
      <c r="C175" s="447"/>
      <c r="D175" s="456"/>
      <c r="E175" s="390"/>
    </row>
    <row r="176" s="292" customFormat="1" customHeight="1" spans="1:9">
      <c r="B176" s="475" t="s">
        <v>93</v>
      </c>
      <c r="C176" s="447"/>
      <c r="D176" s="456"/>
      <c r="E176" s="390"/>
      <c r="F176" s="292" t="s">
        <v>94</v>
      </c>
    </row>
    <row r="177" s="292" customFormat="1" customHeight="1" spans="1:9">
      <c r="B177" s="398" t="s">
        <v>95</v>
      </c>
      <c r="C177" s="447"/>
      <c r="D177" s="456"/>
      <c r="E177" s="390"/>
    </row>
    <row r="178" customHeight="1" spans="1:9">
      <c r="B178" s="348"/>
    </row>
    <row r="179" ht="12.75" customHeight="1" spans="1:9">
      <c r="A179" s="297" t="s">
        <v>1</v>
      </c>
      <c r="B179" s="297"/>
      <c r="C179" s="297"/>
      <c r="D179" s="297"/>
      <c r="E179" s="297"/>
      <c r="F179" s="297"/>
      <c r="G179" s="297"/>
      <c r="H179" s="297"/>
      <c r="I179" s="297"/>
    </row>
    <row r="180" ht="12.75" customHeight="1" spans="1:9">
      <c r="A180" s="297" t="s">
        <v>2</v>
      </c>
      <c r="B180" s="297"/>
      <c r="C180" s="297"/>
      <c r="D180" s="297"/>
      <c r="E180" s="297"/>
      <c r="F180" s="297"/>
      <c r="G180" s="297"/>
      <c r="H180" s="297"/>
      <c r="I180" s="297"/>
    </row>
    <row r="181" ht="12.75" customHeight="1" spans="1:9">
      <c r="A181" s="297" t="s">
        <v>3</v>
      </c>
      <c r="B181" s="297"/>
      <c r="C181" s="297"/>
      <c r="D181" s="297"/>
      <c r="E181" s="297"/>
      <c r="F181" s="297"/>
      <c r="G181" s="297"/>
      <c r="H181" s="297"/>
      <c r="I181" s="297"/>
    </row>
    <row r="182" s="291" customFormat="1" ht="16.5" customHeight="1" spans="1:9">
      <c r="A182" s="298" t="s">
        <v>4</v>
      </c>
      <c r="B182" s="298"/>
      <c r="C182" s="298"/>
      <c r="D182" s="298"/>
      <c r="E182" s="298"/>
      <c r="F182" s="298"/>
      <c r="G182" s="298"/>
      <c r="H182" s="298"/>
      <c r="I182" s="298"/>
    </row>
    <row r="183" ht="12.75" customHeight="1" spans="1:9">
      <c r="A183" s="299" t="s">
        <v>5</v>
      </c>
      <c r="B183" s="299"/>
      <c r="C183" s="299"/>
      <c r="D183" s="299"/>
      <c r="E183" s="299"/>
      <c r="F183" s="299"/>
      <c r="G183" s="299"/>
      <c r="H183" s="299"/>
      <c r="I183" s="299"/>
    </row>
    <row r="184" customHeight="1" spans="1:9">
      <c r="A184" s="299"/>
      <c r="B184" s="299"/>
      <c r="C184" s="299"/>
      <c r="D184" s="299"/>
      <c r="E184" s="299"/>
      <c r="F184" s="299"/>
      <c r="G184" s="299"/>
      <c r="H184" s="299"/>
      <c r="I184" s="299"/>
    </row>
    <row r="185" ht="12.75" customHeight="1" spans="1:9">
      <c r="A185" s="299"/>
      <c r="B185" s="299"/>
      <c r="C185" s="299"/>
      <c r="D185" s="299"/>
      <c r="E185" s="299"/>
      <c r="F185" s="299"/>
      <c r="G185" s="299"/>
      <c r="H185" s="299"/>
      <c r="I185" s="299"/>
    </row>
    <row r="186" s="289" customFormat="1" ht="12.75" customHeight="1" spans="1:9">
      <c r="A186" s="300" t="s">
        <v>6</v>
      </c>
      <c r="B186" s="300"/>
      <c r="C186" s="300"/>
      <c r="D186" s="300"/>
      <c r="E186" s="300"/>
      <c r="F186" s="300"/>
      <c r="G186" s="300"/>
      <c r="H186" s="300"/>
      <c r="I186" s="300"/>
    </row>
    <row r="187" s="289" customFormat="1" ht="12.75" customHeight="1" spans="1:9">
      <c r="A187" s="300"/>
      <c r="B187" s="300"/>
      <c r="C187" s="300"/>
      <c r="D187" s="300"/>
      <c r="E187" s="300"/>
      <c r="F187" s="300"/>
      <c r="G187" s="300"/>
      <c r="H187" s="300"/>
      <c r="I187" s="300"/>
    </row>
    <row r="188" s="289" customFormat="1" customHeight="1" spans="1:9">
      <c r="A188" s="456"/>
      <c r="B188" s="302" t="s">
        <v>248</v>
      </c>
      <c r="C188" s="406"/>
      <c r="E188" s="407" t="s">
        <v>8</v>
      </c>
      <c r="F188" s="306" t="s">
        <v>249</v>
      </c>
    </row>
    <row r="189" s="290" customFormat="1" ht="24.75" customHeight="1" spans="1:9">
      <c r="A189" s="461" t="s">
        <v>10</v>
      </c>
      <c r="B189" s="478" t="s">
        <v>11</v>
      </c>
      <c r="C189" s="309" t="s">
        <v>12</v>
      </c>
      <c r="D189" s="308" t="s">
        <v>13</v>
      </c>
      <c r="E189" s="308" t="s">
        <v>14</v>
      </c>
      <c r="F189" s="310"/>
      <c r="G189" s="310"/>
      <c r="H189" s="310"/>
      <c r="I189" s="310"/>
    </row>
    <row r="190" customHeight="1" spans="1:9">
      <c r="A190" s="386">
        <v>1</v>
      </c>
      <c r="B190" s="414">
        <v>242510277</v>
      </c>
      <c r="C190" s="468" t="s">
        <v>250</v>
      </c>
      <c r="D190" s="279" t="s">
        <v>251</v>
      </c>
      <c r="E190" s="466" t="s">
        <v>18</v>
      </c>
      <c r="F190" s="317"/>
      <c r="G190" s="318"/>
      <c r="H190" s="318"/>
      <c r="I190" s="318"/>
    </row>
    <row r="191" customHeight="1" spans="1:9">
      <c r="A191" s="386">
        <v>2</v>
      </c>
      <c r="B191" s="414">
        <v>242510279</v>
      </c>
      <c r="C191" s="467" t="s">
        <v>252</v>
      </c>
      <c r="D191" s="277" t="s">
        <v>253</v>
      </c>
      <c r="E191" s="466" t="s">
        <v>18</v>
      </c>
      <c r="F191" s="317"/>
      <c r="G191" s="318"/>
      <c r="H191" s="318"/>
      <c r="I191" s="318"/>
    </row>
    <row r="192" customHeight="1" spans="1:9">
      <c r="A192" s="386">
        <v>3</v>
      </c>
      <c r="B192" s="414">
        <v>242510042</v>
      </c>
      <c r="C192" s="468" t="s">
        <v>254</v>
      </c>
      <c r="D192" s="279" t="s">
        <v>255</v>
      </c>
      <c r="E192" s="466" t="s">
        <v>23</v>
      </c>
      <c r="F192" s="317"/>
      <c r="G192" s="318"/>
      <c r="H192" s="318"/>
      <c r="I192" s="318"/>
    </row>
    <row r="193" customHeight="1" spans="1:9">
      <c r="A193" s="386">
        <v>4</v>
      </c>
      <c r="B193" s="414">
        <v>242510284</v>
      </c>
      <c r="C193" s="467" t="s">
        <v>256</v>
      </c>
      <c r="D193" s="277" t="s">
        <v>257</v>
      </c>
      <c r="E193" s="466" t="s">
        <v>18</v>
      </c>
      <c r="F193" s="317"/>
      <c r="G193" s="318"/>
      <c r="H193" s="318"/>
      <c r="I193" s="318"/>
    </row>
    <row r="194" customHeight="1" spans="1:9">
      <c r="A194" s="386">
        <v>5</v>
      </c>
      <c r="B194" s="414">
        <v>242510004</v>
      </c>
      <c r="C194" s="465" t="s">
        <v>258</v>
      </c>
      <c r="D194" s="275" t="s">
        <v>259</v>
      </c>
      <c r="E194" s="466" t="s">
        <v>18</v>
      </c>
      <c r="F194" s="317"/>
      <c r="G194" s="318"/>
      <c r="H194" s="318"/>
      <c r="I194" s="318"/>
    </row>
    <row r="195" customHeight="1" spans="1:9">
      <c r="A195" s="386">
        <v>6</v>
      </c>
      <c r="B195" s="414">
        <v>242510006</v>
      </c>
      <c r="C195" s="467" t="s">
        <v>260</v>
      </c>
      <c r="D195" s="277" t="s">
        <v>261</v>
      </c>
      <c r="E195" s="466" t="s">
        <v>23</v>
      </c>
      <c r="F195" s="317"/>
      <c r="G195" s="318"/>
      <c r="H195" s="318"/>
      <c r="I195" s="318"/>
    </row>
    <row r="196" customHeight="1" spans="1:9">
      <c r="A196" s="386">
        <v>7</v>
      </c>
      <c r="B196" s="414">
        <v>242510126</v>
      </c>
      <c r="C196" s="465" t="s">
        <v>262</v>
      </c>
      <c r="D196" s="275" t="s">
        <v>263</v>
      </c>
      <c r="E196" s="466" t="s">
        <v>23</v>
      </c>
      <c r="F196" s="317"/>
      <c r="G196" s="318"/>
      <c r="H196" s="318"/>
      <c r="I196" s="318"/>
    </row>
    <row r="197" customHeight="1" spans="1:9">
      <c r="A197" s="386">
        <v>8</v>
      </c>
      <c r="B197" s="414">
        <v>242510170</v>
      </c>
      <c r="C197" s="467" t="s">
        <v>264</v>
      </c>
      <c r="D197" s="277" t="s">
        <v>265</v>
      </c>
      <c r="E197" s="466" t="s">
        <v>18</v>
      </c>
      <c r="F197" s="317"/>
      <c r="G197" s="318"/>
      <c r="H197" s="318"/>
      <c r="I197" s="318"/>
    </row>
    <row r="198" customHeight="1" spans="1:9">
      <c r="A198" s="386">
        <v>9</v>
      </c>
      <c r="B198" s="414">
        <v>242510363</v>
      </c>
      <c r="C198" s="465" t="s">
        <v>266</v>
      </c>
      <c r="D198" s="275" t="s">
        <v>267</v>
      </c>
      <c r="E198" s="466" t="s">
        <v>18</v>
      </c>
      <c r="F198" s="317"/>
      <c r="G198" s="318"/>
      <c r="H198" s="318"/>
      <c r="I198" s="318"/>
    </row>
    <row r="199" customHeight="1" spans="1:9">
      <c r="A199" s="386">
        <v>10</v>
      </c>
      <c r="B199" s="414">
        <v>242510013</v>
      </c>
      <c r="C199" s="477" t="s">
        <v>268</v>
      </c>
      <c r="D199" s="281" t="s">
        <v>269</v>
      </c>
      <c r="E199" s="403" t="s">
        <v>18</v>
      </c>
      <c r="F199" s="317"/>
      <c r="G199" s="318"/>
      <c r="H199" s="318"/>
      <c r="I199" s="318"/>
    </row>
    <row r="200" customHeight="1" spans="1:9">
      <c r="A200" s="386">
        <v>11</v>
      </c>
      <c r="B200" s="414">
        <v>242510328</v>
      </c>
      <c r="C200" s="465" t="s">
        <v>270</v>
      </c>
      <c r="D200" s="275" t="s">
        <v>271</v>
      </c>
      <c r="E200" s="466" t="s">
        <v>18</v>
      </c>
      <c r="F200" s="317"/>
      <c r="G200" s="318"/>
      <c r="H200" s="318"/>
      <c r="I200" s="318"/>
    </row>
    <row r="201" customHeight="1" spans="1:9">
      <c r="A201" s="386">
        <v>12</v>
      </c>
      <c r="B201" s="414">
        <v>242510095</v>
      </c>
      <c r="C201" s="467" t="s">
        <v>272</v>
      </c>
      <c r="D201" s="277" t="s">
        <v>273</v>
      </c>
      <c r="E201" s="466" t="s">
        <v>18</v>
      </c>
      <c r="F201" s="317"/>
      <c r="G201" s="318"/>
      <c r="H201" s="318"/>
      <c r="I201" s="318"/>
    </row>
    <row r="202" customHeight="1" spans="1:9">
      <c r="A202" s="386">
        <v>13</v>
      </c>
      <c r="B202" s="414">
        <v>242510214</v>
      </c>
      <c r="C202" s="465" t="s">
        <v>274</v>
      </c>
      <c r="D202" s="275" t="s">
        <v>275</v>
      </c>
      <c r="E202" s="466" t="s">
        <v>23</v>
      </c>
      <c r="F202" s="317"/>
      <c r="G202" s="318"/>
      <c r="H202" s="318"/>
      <c r="I202" s="318"/>
    </row>
    <row r="203" customHeight="1" spans="1:9">
      <c r="A203" s="386">
        <v>14</v>
      </c>
      <c r="B203" s="414">
        <v>242510215</v>
      </c>
      <c r="C203" s="467" t="s">
        <v>276</v>
      </c>
      <c r="D203" s="277" t="s">
        <v>277</v>
      </c>
      <c r="E203" s="466" t="s">
        <v>18</v>
      </c>
      <c r="F203" s="317"/>
      <c r="G203" s="318"/>
      <c r="H203" s="318"/>
      <c r="I203" s="318"/>
    </row>
    <row r="204" customHeight="1" spans="1:9">
      <c r="A204" s="386">
        <v>15</v>
      </c>
      <c r="B204" s="414">
        <v>242510401</v>
      </c>
      <c r="C204" s="465" t="s">
        <v>278</v>
      </c>
      <c r="D204" s="275" t="s">
        <v>279</v>
      </c>
      <c r="E204" s="466" t="s">
        <v>23</v>
      </c>
      <c r="F204" s="317"/>
      <c r="G204" s="318"/>
      <c r="H204" s="318"/>
      <c r="I204" s="318"/>
    </row>
    <row r="205" customHeight="1" spans="1:9">
      <c r="A205" s="386">
        <v>16</v>
      </c>
      <c r="B205" s="414">
        <v>242510053</v>
      </c>
      <c r="C205" s="467" t="s">
        <v>280</v>
      </c>
      <c r="D205" s="277" t="s">
        <v>281</v>
      </c>
      <c r="E205" s="466" t="s">
        <v>18</v>
      </c>
      <c r="F205" s="317"/>
      <c r="G205" s="318"/>
      <c r="H205" s="318"/>
      <c r="I205" s="318"/>
    </row>
    <row r="206" customHeight="1" spans="1:9">
      <c r="A206" s="386">
        <v>17</v>
      </c>
      <c r="B206" s="414">
        <v>242510332</v>
      </c>
      <c r="C206" s="465" t="s">
        <v>282</v>
      </c>
      <c r="D206" s="279" t="s">
        <v>283</v>
      </c>
      <c r="E206" s="466" t="s">
        <v>23</v>
      </c>
      <c r="F206" s="317"/>
      <c r="G206" s="318"/>
      <c r="H206" s="318"/>
      <c r="I206" s="318"/>
    </row>
    <row r="207" customHeight="1" spans="1:9">
      <c r="A207" s="386">
        <v>18</v>
      </c>
      <c r="B207" s="414">
        <v>242510135</v>
      </c>
      <c r="C207" s="467" t="s">
        <v>284</v>
      </c>
      <c r="D207" s="277" t="s">
        <v>285</v>
      </c>
      <c r="E207" s="403" t="s">
        <v>23</v>
      </c>
      <c r="F207" s="317"/>
      <c r="G207" s="318"/>
      <c r="H207" s="318"/>
      <c r="I207" s="318"/>
    </row>
    <row r="208" customHeight="1" spans="1:9">
      <c r="A208" s="386">
        <v>19</v>
      </c>
      <c r="B208" s="414">
        <v>242510101</v>
      </c>
      <c r="C208" s="465" t="s">
        <v>286</v>
      </c>
      <c r="D208" s="275" t="s">
        <v>287</v>
      </c>
      <c r="E208" s="403" t="s">
        <v>23</v>
      </c>
      <c r="F208" s="317"/>
      <c r="G208" s="318"/>
      <c r="H208" s="318"/>
      <c r="I208" s="318"/>
    </row>
    <row r="209" customHeight="1" spans="1:9">
      <c r="A209" s="386">
        <v>20</v>
      </c>
      <c r="B209" s="414">
        <v>242510137</v>
      </c>
      <c r="C209" s="477" t="s">
        <v>288</v>
      </c>
      <c r="D209" s="281" t="s">
        <v>289</v>
      </c>
      <c r="E209" s="466" t="s">
        <v>18</v>
      </c>
      <c r="F209" s="317"/>
      <c r="G209" s="318"/>
      <c r="H209" s="318"/>
      <c r="I209" s="318"/>
    </row>
    <row r="210" customHeight="1" spans="1:9">
      <c r="A210" s="386">
        <v>21</v>
      </c>
      <c r="B210" s="414">
        <v>242510261</v>
      </c>
      <c r="C210" s="465" t="s">
        <v>290</v>
      </c>
      <c r="D210" s="275" t="s">
        <v>291</v>
      </c>
      <c r="E210" s="466" t="s">
        <v>23</v>
      </c>
      <c r="F210" s="317"/>
      <c r="G210" s="318"/>
      <c r="H210" s="318"/>
      <c r="I210" s="318"/>
    </row>
    <row r="211" customHeight="1" spans="1:9">
      <c r="A211" s="386">
        <v>22</v>
      </c>
      <c r="B211" s="414">
        <v>242510373</v>
      </c>
      <c r="C211" s="467" t="s">
        <v>292</v>
      </c>
      <c r="D211" s="277" t="s">
        <v>293</v>
      </c>
      <c r="E211" s="466" t="s">
        <v>23</v>
      </c>
      <c r="F211" s="317"/>
      <c r="G211" s="318"/>
      <c r="H211" s="318"/>
      <c r="I211" s="318"/>
    </row>
    <row r="212" customHeight="1" spans="1:9">
      <c r="A212" s="386">
        <v>23</v>
      </c>
      <c r="B212" s="414">
        <v>242510265</v>
      </c>
      <c r="C212" s="465" t="s">
        <v>294</v>
      </c>
      <c r="D212" s="275" t="s">
        <v>295</v>
      </c>
      <c r="E212" s="466" t="s">
        <v>18</v>
      </c>
      <c r="F212" s="317"/>
      <c r="G212" s="318"/>
      <c r="H212" s="318"/>
      <c r="I212" s="318"/>
    </row>
    <row r="213" customHeight="1" spans="1:9">
      <c r="A213" s="386">
        <v>24</v>
      </c>
      <c r="B213" s="414">
        <v>242510188</v>
      </c>
      <c r="C213" s="467" t="s">
        <v>296</v>
      </c>
      <c r="D213" s="277" t="s">
        <v>297</v>
      </c>
      <c r="E213" s="466" t="s">
        <v>18</v>
      </c>
      <c r="F213" s="317"/>
      <c r="G213" s="318"/>
      <c r="H213" s="318"/>
      <c r="I213" s="318"/>
    </row>
    <row r="214" customHeight="1" spans="1:9">
      <c r="A214" s="386">
        <v>25</v>
      </c>
      <c r="B214" s="414">
        <v>242510267</v>
      </c>
      <c r="C214" s="465" t="s">
        <v>298</v>
      </c>
      <c r="D214" s="275" t="s">
        <v>299</v>
      </c>
      <c r="E214" s="466" t="s">
        <v>23</v>
      </c>
      <c r="F214" s="317"/>
      <c r="G214" s="318"/>
      <c r="H214" s="318"/>
      <c r="I214" s="318"/>
    </row>
    <row r="215" customHeight="1" spans="1:9">
      <c r="A215" s="386">
        <v>26</v>
      </c>
      <c r="B215" s="414">
        <v>242510307</v>
      </c>
      <c r="C215" s="467" t="s">
        <v>300</v>
      </c>
      <c r="D215" s="277" t="s">
        <v>301</v>
      </c>
      <c r="E215" s="466" t="s">
        <v>18</v>
      </c>
      <c r="F215" s="317"/>
      <c r="G215" s="318"/>
      <c r="H215" s="318"/>
      <c r="I215" s="318"/>
    </row>
    <row r="216" customHeight="1" spans="1:9">
      <c r="A216" s="386">
        <v>27</v>
      </c>
      <c r="B216" s="414">
        <v>242510071</v>
      </c>
      <c r="C216" s="465" t="s">
        <v>302</v>
      </c>
      <c r="D216" s="275" t="s">
        <v>303</v>
      </c>
      <c r="E216" s="466" t="s">
        <v>18</v>
      </c>
      <c r="F216" s="317"/>
      <c r="G216" s="318"/>
      <c r="H216" s="318"/>
      <c r="I216" s="318"/>
    </row>
    <row r="217" customHeight="1" spans="1:9">
      <c r="A217" s="386">
        <v>28</v>
      </c>
      <c r="B217" s="414">
        <v>242510271</v>
      </c>
      <c r="C217" s="467" t="s">
        <v>304</v>
      </c>
      <c r="D217" s="277" t="s">
        <v>305</v>
      </c>
      <c r="E217" s="466" t="s">
        <v>18</v>
      </c>
      <c r="F217" s="317"/>
      <c r="G217" s="318"/>
      <c r="H217" s="318"/>
      <c r="I217" s="318"/>
    </row>
    <row r="218" customHeight="1" spans="1:9">
      <c r="A218" s="386">
        <v>29</v>
      </c>
      <c r="B218" s="414">
        <v>242510234</v>
      </c>
      <c r="C218" s="465" t="s">
        <v>306</v>
      </c>
      <c r="D218" s="275" t="s">
        <v>307</v>
      </c>
      <c r="E218" s="466" t="s">
        <v>23</v>
      </c>
      <c r="F218" s="317"/>
      <c r="G218" s="318"/>
      <c r="H218" s="318"/>
      <c r="I218" s="318"/>
    </row>
    <row r="219" customHeight="1" spans="1:9">
      <c r="A219" s="386">
        <v>30</v>
      </c>
      <c r="B219" s="414">
        <v>242510310</v>
      </c>
      <c r="C219" s="467" t="s">
        <v>308</v>
      </c>
      <c r="D219" s="281" t="s">
        <v>309</v>
      </c>
      <c r="E219" s="466" t="s">
        <v>18</v>
      </c>
      <c r="F219" s="317"/>
      <c r="G219" s="318"/>
      <c r="H219" s="318"/>
      <c r="I219" s="318"/>
    </row>
    <row r="220" customHeight="1" spans="1:9">
      <c r="A220" s="386">
        <v>31</v>
      </c>
      <c r="B220" s="414">
        <v>242510116</v>
      </c>
      <c r="C220" s="465" t="s">
        <v>310</v>
      </c>
      <c r="D220" s="275" t="s">
        <v>311</v>
      </c>
      <c r="E220" s="466" t="s">
        <v>18</v>
      </c>
      <c r="F220" s="317"/>
      <c r="G220" s="318"/>
      <c r="H220" s="318"/>
      <c r="I220" s="318"/>
    </row>
    <row r="221" customHeight="1" spans="1:9">
      <c r="A221" s="386">
        <v>32</v>
      </c>
      <c r="B221" s="414">
        <v>242510079</v>
      </c>
      <c r="C221" s="467" t="s">
        <v>312</v>
      </c>
      <c r="D221" s="277" t="s">
        <v>313</v>
      </c>
      <c r="E221" s="466" t="s">
        <v>18</v>
      </c>
      <c r="F221" s="317"/>
      <c r="G221" s="318"/>
      <c r="H221" s="318"/>
      <c r="I221" s="318"/>
    </row>
    <row r="222" customHeight="1" spans="1:9">
      <c r="A222" s="386">
        <v>33</v>
      </c>
      <c r="B222" s="432">
        <v>242510080</v>
      </c>
      <c r="C222" s="465" t="s">
        <v>314</v>
      </c>
      <c r="D222" s="275" t="s">
        <v>315</v>
      </c>
      <c r="E222" s="403" t="s">
        <v>23</v>
      </c>
      <c r="F222" s="317"/>
      <c r="G222" s="318"/>
      <c r="H222" s="318"/>
      <c r="I222" s="318"/>
    </row>
    <row r="223" customHeight="1" spans="1:9">
      <c r="A223" s="386">
        <v>34</v>
      </c>
      <c r="B223" s="414">
        <v>242510275</v>
      </c>
      <c r="C223" s="467" t="s">
        <v>316</v>
      </c>
      <c r="D223" s="281" t="s">
        <v>317</v>
      </c>
      <c r="E223" s="466" t="s">
        <v>18</v>
      </c>
      <c r="F223" s="317"/>
      <c r="G223" s="318"/>
      <c r="H223" s="318"/>
      <c r="I223" s="318"/>
    </row>
    <row r="224" customHeight="1" spans="1:9">
      <c r="A224" s="479">
        <v>35</v>
      </c>
      <c r="B224" s="432">
        <v>242510160</v>
      </c>
      <c r="C224" s="465" t="s">
        <v>318</v>
      </c>
      <c r="D224" s="275" t="s">
        <v>319</v>
      </c>
      <c r="E224" s="466" t="s">
        <v>18</v>
      </c>
      <c r="F224" s="326"/>
      <c r="G224" s="327"/>
      <c r="H224" s="327"/>
      <c r="I224" s="327"/>
    </row>
    <row r="225" customHeight="1" spans="1:9">
      <c r="A225" s="386">
        <v>36</v>
      </c>
      <c r="B225" s="432">
        <v>242510314</v>
      </c>
      <c r="C225" s="467" t="s">
        <v>320</v>
      </c>
      <c r="D225" s="277" t="s">
        <v>321</v>
      </c>
      <c r="E225" s="466" t="s">
        <v>18</v>
      </c>
      <c r="F225" s="318"/>
      <c r="G225" s="318"/>
      <c r="H225" s="318"/>
      <c r="I225" s="318"/>
    </row>
    <row r="226" customHeight="1" spans="1:9">
      <c r="A226" s="386">
        <v>37</v>
      </c>
      <c r="B226" s="414">
        <v>242510200</v>
      </c>
      <c r="C226" s="468" t="s">
        <v>322</v>
      </c>
      <c r="D226" s="279" t="s">
        <v>323</v>
      </c>
      <c r="E226" s="466" t="s">
        <v>18</v>
      </c>
      <c r="F226" s="318"/>
      <c r="G226" s="318"/>
      <c r="H226" s="318"/>
      <c r="I226" s="318"/>
    </row>
    <row r="227" s="292" customFormat="1" customHeight="1" spans="1:9">
      <c r="A227" s="456"/>
      <c r="B227" s="394"/>
      <c r="C227" s="447"/>
      <c r="D227" s="473" t="s">
        <v>89</v>
      </c>
      <c r="E227" s="396">
        <f>COUNTIF(E190:E226,"L")</f>
        <v>13</v>
      </c>
    </row>
    <row r="228" s="292" customFormat="1" customHeight="1" spans="1:9">
      <c r="A228" s="456"/>
      <c r="B228" s="474"/>
      <c r="C228" s="447"/>
      <c r="D228" s="473" t="s">
        <v>90</v>
      </c>
      <c r="E228" s="396">
        <f>COUNTIF(E190:E226,"P")</f>
        <v>24</v>
      </c>
    </row>
    <row r="229" s="292" customFormat="1" customHeight="1" spans="1:9">
      <c r="A229" s="456"/>
      <c r="B229" s="474"/>
      <c r="C229" s="447"/>
      <c r="D229" s="473"/>
      <c r="E229" s="396"/>
    </row>
    <row r="230" s="292" customFormat="1" customHeight="1" spans="1:9">
      <c r="A230" s="456"/>
      <c r="B230" s="394" t="s">
        <v>91</v>
      </c>
      <c r="C230" s="447"/>
      <c r="D230" s="456"/>
      <c r="E230" s="390"/>
      <c r="F230" s="292" t="s">
        <v>324</v>
      </c>
    </row>
    <row r="231" s="292" customFormat="1" customHeight="1" spans="1:9">
      <c r="A231" s="456"/>
      <c r="B231" s="394"/>
      <c r="C231" s="447"/>
      <c r="D231" s="456"/>
      <c r="E231" s="390"/>
    </row>
    <row r="232" s="292" customFormat="1" customHeight="1" spans="1:9">
      <c r="B232" s="394"/>
      <c r="C232" s="447"/>
      <c r="D232" s="456"/>
      <c r="E232" s="390"/>
    </row>
    <row r="233" s="292" customFormat="1" customHeight="1" spans="1:9">
      <c r="A233" s="456"/>
      <c r="B233" s="394"/>
      <c r="C233" s="447"/>
      <c r="D233" s="456"/>
      <c r="E233" s="390"/>
    </row>
    <row r="234" s="292" customFormat="1" customHeight="1" spans="1:9">
      <c r="A234" s="456"/>
      <c r="B234" s="475" t="s">
        <v>93</v>
      </c>
      <c r="C234" s="447"/>
      <c r="D234" s="456"/>
      <c r="E234" s="390"/>
      <c r="F234" s="292" t="s">
        <v>325</v>
      </c>
    </row>
    <row r="235" s="292" customFormat="1" customHeight="1" spans="1:9">
      <c r="A235" s="456"/>
      <c r="B235" s="398" t="s">
        <v>95</v>
      </c>
      <c r="C235" s="447"/>
      <c r="D235" s="456"/>
      <c r="E235" s="390"/>
    </row>
    <row r="236" customHeight="1" spans="1:9">
      <c r="A236" s="456"/>
    </row>
    <row r="237" customHeight="1" spans="1:9">
      <c r="A237" s="456"/>
    </row>
    <row r="238" ht="12.75" customHeight="1" spans="1:9">
      <c r="A238" s="297" t="s">
        <v>1</v>
      </c>
      <c r="B238" s="297"/>
      <c r="C238" s="297"/>
      <c r="D238" s="297"/>
      <c r="E238" s="297"/>
      <c r="F238" s="297"/>
      <c r="G238" s="297"/>
      <c r="H238" s="297"/>
      <c r="I238" s="297"/>
    </row>
    <row r="239" ht="12.75" customHeight="1" spans="1:9">
      <c r="A239" s="297" t="s">
        <v>2</v>
      </c>
      <c r="B239" s="297"/>
      <c r="C239" s="297"/>
      <c r="D239" s="297"/>
      <c r="E239" s="297"/>
      <c r="F239" s="297"/>
      <c r="G239" s="297"/>
      <c r="H239" s="297"/>
      <c r="I239" s="297"/>
    </row>
    <row r="240" ht="12.75" customHeight="1" spans="1:9">
      <c r="A240" s="297" t="s">
        <v>3</v>
      </c>
      <c r="B240" s="297"/>
      <c r="C240" s="297"/>
      <c r="D240" s="297"/>
      <c r="E240" s="297"/>
      <c r="F240" s="297"/>
      <c r="G240" s="297"/>
      <c r="H240" s="297"/>
      <c r="I240" s="297"/>
    </row>
    <row r="241" s="291" customFormat="1" ht="16.5" customHeight="1" spans="1:9">
      <c r="A241" s="298" t="s">
        <v>4</v>
      </c>
      <c r="B241" s="298"/>
      <c r="C241" s="298"/>
      <c r="D241" s="298"/>
      <c r="E241" s="298"/>
      <c r="F241" s="298"/>
      <c r="G241" s="298"/>
      <c r="H241" s="298"/>
      <c r="I241" s="298"/>
    </row>
    <row r="242" ht="12.75" customHeight="1" spans="1:9">
      <c r="A242" s="299" t="s">
        <v>5</v>
      </c>
      <c r="B242" s="299"/>
      <c r="C242" s="299"/>
      <c r="D242" s="299"/>
      <c r="E242" s="299"/>
      <c r="F242" s="299"/>
      <c r="G242" s="299"/>
      <c r="H242" s="299"/>
      <c r="I242" s="299"/>
    </row>
    <row r="243" customHeight="1" spans="1:9">
      <c r="A243" s="299"/>
      <c r="B243" s="299"/>
      <c r="C243" s="299"/>
      <c r="D243" s="299"/>
      <c r="E243" s="299"/>
      <c r="F243" s="299"/>
      <c r="G243" s="299"/>
      <c r="H243" s="299"/>
      <c r="I243" s="299"/>
    </row>
    <row r="244" ht="12.75" customHeight="1" spans="1:9">
      <c r="A244" s="299"/>
      <c r="B244" s="299"/>
      <c r="C244" s="299"/>
      <c r="D244" s="299"/>
      <c r="E244" s="299"/>
      <c r="F244" s="299"/>
      <c r="G244" s="299"/>
      <c r="H244" s="299"/>
      <c r="I244" s="299"/>
    </row>
    <row r="245" s="289" customFormat="1" ht="12.75" customHeight="1" spans="1:9">
      <c r="A245" s="300" t="s">
        <v>6</v>
      </c>
      <c r="B245" s="300"/>
      <c r="C245" s="300"/>
      <c r="D245" s="300"/>
      <c r="E245" s="300"/>
      <c r="F245" s="300"/>
      <c r="G245" s="300"/>
      <c r="H245" s="300"/>
      <c r="I245" s="300"/>
    </row>
    <row r="246" s="289" customFormat="1" ht="12.75" customHeight="1" spans="1:9">
      <c r="A246" s="300"/>
      <c r="B246" s="300"/>
      <c r="C246" s="300"/>
      <c r="D246" s="300"/>
      <c r="E246" s="300"/>
      <c r="F246" s="300"/>
      <c r="G246" s="300"/>
      <c r="H246" s="300"/>
      <c r="I246" s="300"/>
    </row>
    <row r="247" s="289" customFormat="1" customHeight="1" spans="1:9">
      <c r="A247" s="456"/>
      <c r="B247" s="302" t="s">
        <v>326</v>
      </c>
      <c r="C247" s="406"/>
      <c r="D247" s="301"/>
      <c r="E247" s="407" t="s">
        <v>8</v>
      </c>
      <c r="F247" s="306" t="s">
        <v>327</v>
      </c>
    </row>
    <row r="248" s="290" customFormat="1" ht="24.75" customHeight="1" spans="1:9">
      <c r="A248" s="461" t="s">
        <v>10</v>
      </c>
      <c r="B248" s="308" t="s">
        <v>11</v>
      </c>
      <c r="C248" s="309" t="s">
        <v>12</v>
      </c>
      <c r="D248" s="308" t="s">
        <v>13</v>
      </c>
      <c r="E248" s="308" t="s">
        <v>14</v>
      </c>
      <c r="F248" s="310"/>
      <c r="G248" s="310"/>
      <c r="H248" s="310"/>
      <c r="I248" s="310"/>
    </row>
    <row r="249" customHeight="1" spans="1:9">
      <c r="A249" s="386">
        <v>1</v>
      </c>
      <c r="B249" s="414">
        <v>242510315</v>
      </c>
      <c r="C249" s="467" t="s">
        <v>328</v>
      </c>
      <c r="D249" s="277" t="s">
        <v>329</v>
      </c>
      <c r="E249" s="466" t="s">
        <v>18</v>
      </c>
      <c r="F249" s="317"/>
      <c r="G249" s="318"/>
      <c r="H249" s="318"/>
      <c r="I249" s="318"/>
    </row>
    <row r="250" customHeight="1" spans="1:9">
      <c r="A250" s="386">
        <v>2</v>
      </c>
      <c r="B250" s="414">
        <v>242510240</v>
      </c>
      <c r="C250" s="465" t="s">
        <v>330</v>
      </c>
      <c r="D250" s="275" t="s">
        <v>331</v>
      </c>
      <c r="E250" s="466" t="s">
        <v>18</v>
      </c>
      <c r="F250" s="317"/>
      <c r="G250" s="318"/>
      <c r="H250" s="318"/>
      <c r="I250" s="318"/>
    </row>
    <row r="251" customHeight="1" spans="1:9">
      <c r="A251" s="386">
        <v>3</v>
      </c>
      <c r="B251" s="414">
        <v>242510204</v>
      </c>
      <c r="C251" s="467" t="s">
        <v>332</v>
      </c>
      <c r="D251" s="277" t="s">
        <v>333</v>
      </c>
      <c r="E251" s="466" t="s">
        <v>18</v>
      </c>
      <c r="F251" s="317"/>
      <c r="G251" s="318"/>
      <c r="H251" s="318"/>
      <c r="I251" s="318"/>
    </row>
    <row r="252" customHeight="1" spans="1:9">
      <c r="A252" s="386">
        <v>4</v>
      </c>
      <c r="B252" s="414">
        <v>242510356</v>
      </c>
      <c r="C252" s="465" t="s">
        <v>334</v>
      </c>
      <c r="D252" s="275" t="s">
        <v>335</v>
      </c>
      <c r="E252" s="466" t="s">
        <v>18</v>
      </c>
      <c r="F252" s="317"/>
      <c r="G252" s="318"/>
      <c r="H252" s="318"/>
      <c r="I252" s="318"/>
    </row>
    <row r="253" customHeight="1" spans="1:9">
      <c r="A253" s="386">
        <v>5</v>
      </c>
      <c r="B253" s="414">
        <v>242510243</v>
      </c>
      <c r="C253" s="467" t="s">
        <v>336</v>
      </c>
      <c r="D253" s="277" t="s">
        <v>337</v>
      </c>
      <c r="E253" s="466" t="s">
        <v>18</v>
      </c>
      <c r="F253" s="317"/>
      <c r="G253" s="318"/>
      <c r="H253" s="318"/>
      <c r="I253" s="318"/>
    </row>
    <row r="254" customHeight="1" spans="1:9">
      <c r="A254" s="386">
        <v>6</v>
      </c>
      <c r="B254" s="414">
        <v>242510316</v>
      </c>
      <c r="C254" s="465" t="s">
        <v>338</v>
      </c>
      <c r="D254" s="275" t="s">
        <v>339</v>
      </c>
      <c r="E254" s="466" t="s">
        <v>18</v>
      </c>
      <c r="F254" s="317"/>
      <c r="G254" s="318"/>
      <c r="H254" s="318"/>
      <c r="I254" s="318"/>
    </row>
    <row r="255" customHeight="1" spans="1:9">
      <c r="A255" s="386">
        <v>7</v>
      </c>
      <c r="B255" s="414">
        <v>242510319</v>
      </c>
      <c r="C255" s="467" t="s">
        <v>340</v>
      </c>
      <c r="D255" s="277" t="s">
        <v>341</v>
      </c>
      <c r="E255" s="466" t="s">
        <v>18</v>
      </c>
      <c r="F255" s="317"/>
      <c r="G255" s="318"/>
      <c r="H255" s="318"/>
      <c r="I255" s="318"/>
    </row>
    <row r="256" customHeight="1" spans="1:9">
      <c r="A256" s="386">
        <v>8</v>
      </c>
      <c r="B256" s="414">
        <v>242510005</v>
      </c>
      <c r="C256" s="465" t="s">
        <v>342</v>
      </c>
      <c r="D256" s="275" t="s">
        <v>343</v>
      </c>
      <c r="E256" s="466" t="s">
        <v>18</v>
      </c>
      <c r="F256" s="317"/>
      <c r="G256" s="318"/>
      <c r="H256" s="318"/>
      <c r="I256" s="318"/>
    </row>
    <row r="257" customHeight="1" spans="1:9">
      <c r="A257" s="386">
        <v>9</v>
      </c>
      <c r="B257" s="414">
        <v>242510008</v>
      </c>
      <c r="C257" s="477" t="s">
        <v>344</v>
      </c>
      <c r="D257" s="281" t="s">
        <v>345</v>
      </c>
      <c r="E257" s="466" t="s">
        <v>18</v>
      </c>
      <c r="F257" s="317"/>
      <c r="G257" s="318"/>
      <c r="H257" s="318"/>
      <c r="I257" s="318"/>
    </row>
    <row r="258" customHeight="1" spans="1:9">
      <c r="A258" s="386">
        <v>10</v>
      </c>
      <c r="B258" s="414">
        <v>242510322</v>
      </c>
      <c r="C258" s="465" t="s">
        <v>346</v>
      </c>
      <c r="D258" s="275" t="s">
        <v>347</v>
      </c>
      <c r="E258" s="403" t="s">
        <v>23</v>
      </c>
      <c r="F258" s="317"/>
      <c r="G258" s="318"/>
      <c r="H258" s="318"/>
      <c r="I258" s="318"/>
    </row>
    <row r="259" customHeight="1" spans="1:9">
      <c r="A259" s="386">
        <v>11</v>
      </c>
      <c r="B259" s="414">
        <v>242510010</v>
      </c>
      <c r="C259" s="467" t="s">
        <v>348</v>
      </c>
      <c r="D259" s="277" t="s">
        <v>349</v>
      </c>
      <c r="E259" s="466" t="s">
        <v>18</v>
      </c>
      <c r="F259" s="317"/>
      <c r="G259" s="318"/>
      <c r="H259" s="318"/>
      <c r="I259" s="318"/>
    </row>
    <row r="260" customHeight="1" spans="1:9">
      <c r="A260" s="386">
        <v>12</v>
      </c>
      <c r="B260" s="414">
        <v>242510364</v>
      </c>
      <c r="C260" s="465" t="s">
        <v>350</v>
      </c>
      <c r="D260" s="275" t="s">
        <v>351</v>
      </c>
      <c r="E260" s="466" t="s">
        <v>18</v>
      </c>
      <c r="F260" s="317"/>
      <c r="G260" s="318"/>
      <c r="H260" s="318"/>
      <c r="I260" s="318"/>
    </row>
    <row r="261" customHeight="1" spans="1:9">
      <c r="A261" s="386">
        <v>13</v>
      </c>
      <c r="B261" s="414">
        <v>242510017</v>
      </c>
      <c r="C261" s="467" t="s">
        <v>352</v>
      </c>
      <c r="D261" s="277" t="s">
        <v>353</v>
      </c>
      <c r="E261" s="466" t="s">
        <v>18</v>
      </c>
      <c r="F261" s="317"/>
      <c r="G261" s="318"/>
      <c r="H261" s="318"/>
      <c r="I261" s="318"/>
    </row>
    <row r="262" customHeight="1" spans="1:9">
      <c r="A262" s="386">
        <v>14</v>
      </c>
      <c r="B262" s="414">
        <v>242510049</v>
      </c>
      <c r="C262" s="465" t="s">
        <v>354</v>
      </c>
      <c r="D262" s="275" t="s">
        <v>355</v>
      </c>
      <c r="E262" s="466" t="s">
        <v>18</v>
      </c>
      <c r="F262" s="317"/>
      <c r="G262" s="318"/>
      <c r="H262" s="318"/>
      <c r="I262" s="318"/>
    </row>
    <row r="263" customHeight="1" spans="1:9">
      <c r="A263" s="386">
        <v>15</v>
      </c>
      <c r="B263" s="414">
        <v>242510295</v>
      </c>
      <c r="C263" s="467" t="s">
        <v>356</v>
      </c>
      <c r="D263" s="281" t="s">
        <v>357</v>
      </c>
      <c r="E263" s="466" t="s">
        <v>18</v>
      </c>
      <c r="F263" s="317"/>
      <c r="G263" s="318"/>
      <c r="H263" s="318"/>
      <c r="I263" s="318"/>
    </row>
    <row r="264" customHeight="1" spans="1:9">
      <c r="A264" s="386">
        <v>16</v>
      </c>
      <c r="B264" s="414">
        <v>242510220</v>
      </c>
      <c r="C264" s="465" t="s">
        <v>358</v>
      </c>
      <c r="D264" s="275" t="s">
        <v>359</v>
      </c>
      <c r="E264" s="466" t="s">
        <v>18</v>
      </c>
      <c r="F264" s="317"/>
      <c r="G264" s="318"/>
      <c r="H264" s="318"/>
      <c r="I264" s="318"/>
    </row>
    <row r="265" customHeight="1" spans="1:9">
      <c r="A265" s="386">
        <v>17</v>
      </c>
      <c r="B265" s="414">
        <v>242510370</v>
      </c>
      <c r="C265" s="467" t="s">
        <v>360</v>
      </c>
      <c r="D265" s="277" t="s">
        <v>361</v>
      </c>
      <c r="E265" s="466" t="s">
        <v>18</v>
      </c>
      <c r="F265" s="317"/>
      <c r="G265" s="318"/>
      <c r="H265" s="318"/>
      <c r="I265" s="318"/>
    </row>
    <row r="266" customHeight="1" spans="1:9">
      <c r="A266" s="386">
        <v>18</v>
      </c>
      <c r="B266" s="414">
        <v>242510103</v>
      </c>
      <c r="C266" s="465" t="s">
        <v>362</v>
      </c>
      <c r="D266" s="275" t="s">
        <v>363</v>
      </c>
      <c r="E266" s="466" t="s">
        <v>23</v>
      </c>
      <c r="F266" s="317"/>
      <c r="G266" s="318"/>
      <c r="H266" s="318"/>
      <c r="I266" s="318"/>
    </row>
    <row r="267" customHeight="1" spans="1:9">
      <c r="A267" s="386">
        <v>19</v>
      </c>
      <c r="B267" s="414">
        <v>242510376</v>
      </c>
      <c r="C267" s="467" t="s">
        <v>364</v>
      </c>
      <c r="D267" s="277" t="s">
        <v>365</v>
      </c>
      <c r="E267" s="466" t="s">
        <v>18</v>
      </c>
      <c r="F267" s="317"/>
      <c r="G267" s="318"/>
      <c r="H267" s="318"/>
      <c r="I267" s="318"/>
    </row>
    <row r="268" customHeight="1" spans="1:9">
      <c r="A268" s="386">
        <v>20</v>
      </c>
      <c r="B268" s="414">
        <v>242510229</v>
      </c>
      <c r="C268" s="465" t="s">
        <v>366</v>
      </c>
      <c r="D268" s="275" t="s">
        <v>367</v>
      </c>
      <c r="E268" s="466" t="s">
        <v>18</v>
      </c>
      <c r="F268" s="317"/>
      <c r="G268" s="318"/>
      <c r="H268" s="318"/>
      <c r="I268" s="318"/>
    </row>
    <row r="269" customHeight="1" spans="1:9">
      <c r="A269" s="386">
        <v>21</v>
      </c>
      <c r="B269" s="414">
        <v>242510341</v>
      </c>
      <c r="C269" s="467" t="s">
        <v>368</v>
      </c>
      <c r="D269" s="277" t="s">
        <v>369</v>
      </c>
      <c r="E269" s="466" t="s">
        <v>18</v>
      </c>
      <c r="F269" s="317"/>
      <c r="G269" s="318"/>
      <c r="H269" s="318"/>
      <c r="I269" s="318"/>
    </row>
    <row r="270" customHeight="1" spans="1:9">
      <c r="A270" s="386">
        <v>22</v>
      </c>
      <c r="B270" s="414">
        <v>242510146</v>
      </c>
      <c r="C270" s="465" t="s">
        <v>370</v>
      </c>
      <c r="D270" s="275" t="s">
        <v>371</v>
      </c>
      <c r="E270" s="466" t="s">
        <v>18</v>
      </c>
      <c r="F270" s="317"/>
      <c r="G270" s="318"/>
      <c r="H270" s="318"/>
      <c r="I270" s="318"/>
    </row>
    <row r="271" customHeight="1" spans="1:9">
      <c r="A271" s="386">
        <v>23</v>
      </c>
      <c r="B271" s="414">
        <v>242510067</v>
      </c>
      <c r="C271" s="467" t="s">
        <v>372</v>
      </c>
      <c r="D271" s="277" t="s">
        <v>373</v>
      </c>
      <c r="E271" s="466" t="s">
        <v>18</v>
      </c>
      <c r="F271" s="317"/>
      <c r="G271" s="318"/>
      <c r="H271" s="318"/>
      <c r="I271" s="318"/>
    </row>
    <row r="272" customHeight="1" spans="1:9">
      <c r="A272" s="386">
        <v>24</v>
      </c>
      <c r="B272" s="414">
        <v>242510344</v>
      </c>
      <c r="C272" s="465" t="s">
        <v>374</v>
      </c>
      <c r="D272" s="275" t="s">
        <v>375</v>
      </c>
      <c r="E272" s="466" t="s">
        <v>18</v>
      </c>
      <c r="F272" s="317"/>
      <c r="G272" s="318"/>
      <c r="H272" s="318"/>
      <c r="I272" s="318"/>
    </row>
    <row r="273" customHeight="1" spans="1:9">
      <c r="A273" s="386">
        <v>25</v>
      </c>
      <c r="B273" s="414">
        <v>252611429</v>
      </c>
      <c r="C273" s="467" t="s">
        <v>376</v>
      </c>
      <c r="D273" s="281" t="s">
        <v>377</v>
      </c>
      <c r="E273" s="466" t="s">
        <v>18</v>
      </c>
      <c r="F273" s="317"/>
      <c r="G273" s="318"/>
      <c r="H273" s="318"/>
      <c r="I273" s="318"/>
    </row>
    <row r="274" customHeight="1" spans="1:9">
      <c r="A274" s="386">
        <v>26</v>
      </c>
      <c r="B274" s="414">
        <v>242510151</v>
      </c>
      <c r="C274" s="465" t="s">
        <v>378</v>
      </c>
      <c r="D274" s="275" t="s">
        <v>379</v>
      </c>
      <c r="E274" s="466" t="s">
        <v>18</v>
      </c>
      <c r="F274" s="317"/>
      <c r="G274" s="318"/>
      <c r="H274" s="318"/>
      <c r="I274" s="318"/>
    </row>
    <row r="275" customHeight="1" spans="1:9">
      <c r="A275" s="386">
        <v>27</v>
      </c>
      <c r="B275" s="414">
        <v>242510235</v>
      </c>
      <c r="C275" s="467" t="s">
        <v>380</v>
      </c>
      <c r="D275" s="277" t="s">
        <v>381</v>
      </c>
      <c r="E275" s="466" t="s">
        <v>18</v>
      </c>
      <c r="F275" s="317"/>
      <c r="G275" s="318"/>
      <c r="H275" s="318"/>
      <c r="I275" s="318"/>
    </row>
    <row r="276" customHeight="1" spans="1:9">
      <c r="A276" s="386">
        <v>28</v>
      </c>
      <c r="B276" s="414">
        <v>242510346</v>
      </c>
      <c r="C276" s="468" t="s">
        <v>382</v>
      </c>
      <c r="D276" s="279" t="s">
        <v>383</v>
      </c>
      <c r="E276" s="466" t="s">
        <v>18</v>
      </c>
      <c r="F276" s="317"/>
      <c r="G276" s="318"/>
      <c r="H276" s="318"/>
      <c r="I276" s="318"/>
    </row>
    <row r="277" customHeight="1" spans="1:9">
      <c r="A277" s="386">
        <v>29</v>
      </c>
      <c r="B277" s="414">
        <v>242510347</v>
      </c>
      <c r="C277" s="467" t="s">
        <v>384</v>
      </c>
      <c r="D277" s="281" t="s">
        <v>385</v>
      </c>
      <c r="E277" s="466" t="s">
        <v>23</v>
      </c>
      <c r="F277" s="317"/>
      <c r="G277" s="318"/>
      <c r="H277" s="318"/>
      <c r="I277" s="318"/>
    </row>
    <row r="278" customHeight="1" spans="1:9">
      <c r="A278" s="386">
        <v>30</v>
      </c>
      <c r="B278" s="414">
        <v>242510311</v>
      </c>
      <c r="C278" s="465" t="s">
        <v>386</v>
      </c>
      <c r="D278" s="275" t="s">
        <v>387</v>
      </c>
      <c r="E278" s="466" t="s">
        <v>18</v>
      </c>
      <c r="F278" s="317"/>
      <c r="G278" s="318"/>
      <c r="H278" s="318"/>
      <c r="I278" s="318"/>
    </row>
    <row r="279" customHeight="1" spans="1:9">
      <c r="A279" s="386">
        <v>31</v>
      </c>
      <c r="B279" s="414">
        <v>242510274</v>
      </c>
      <c r="C279" s="467" t="s">
        <v>388</v>
      </c>
      <c r="D279" s="277" t="s">
        <v>389</v>
      </c>
      <c r="E279" s="466" t="s">
        <v>18</v>
      </c>
      <c r="F279" s="317"/>
      <c r="G279" s="318"/>
      <c r="H279" s="318"/>
      <c r="I279" s="318"/>
    </row>
    <row r="280" customHeight="1" spans="1:9">
      <c r="A280" s="386">
        <v>32</v>
      </c>
      <c r="B280" s="414">
        <v>242510350</v>
      </c>
      <c r="C280" s="465" t="s">
        <v>390</v>
      </c>
      <c r="D280" s="275" t="s">
        <v>391</v>
      </c>
      <c r="E280" s="466" t="s">
        <v>18</v>
      </c>
      <c r="F280" s="317"/>
      <c r="G280" s="318"/>
      <c r="H280" s="318"/>
      <c r="I280" s="318"/>
    </row>
    <row r="281" customHeight="1" spans="1:9">
      <c r="A281" s="386">
        <v>33</v>
      </c>
      <c r="B281" s="414">
        <v>242510387</v>
      </c>
      <c r="C281" s="467" t="s">
        <v>392</v>
      </c>
      <c r="D281" s="277" t="s">
        <v>393</v>
      </c>
      <c r="E281" s="466" t="s">
        <v>18</v>
      </c>
      <c r="F281" s="317"/>
      <c r="G281" s="318"/>
      <c r="H281" s="318"/>
      <c r="I281" s="318"/>
    </row>
    <row r="282" customHeight="1" spans="1:9">
      <c r="A282" s="386">
        <v>34</v>
      </c>
      <c r="B282" s="432">
        <v>242510390</v>
      </c>
      <c r="C282" s="465" t="s">
        <v>394</v>
      </c>
      <c r="D282" s="275" t="s">
        <v>395</v>
      </c>
      <c r="E282" s="466" t="s">
        <v>18</v>
      </c>
      <c r="F282" s="317"/>
      <c r="G282" s="318"/>
      <c r="H282" s="318"/>
      <c r="I282" s="318"/>
    </row>
    <row r="283" customHeight="1" spans="1:9">
      <c r="A283" s="386">
        <v>35</v>
      </c>
      <c r="B283" s="414">
        <v>242510351</v>
      </c>
      <c r="C283" s="467" t="s">
        <v>396</v>
      </c>
      <c r="D283" s="277" t="s">
        <v>397</v>
      </c>
      <c r="E283" s="466" t="s">
        <v>23</v>
      </c>
      <c r="F283" s="317"/>
      <c r="G283" s="318"/>
      <c r="H283" s="318"/>
      <c r="I283" s="318"/>
    </row>
    <row r="284" s="292" customFormat="1" customHeight="1" spans="1:9">
      <c r="B284" s="394"/>
      <c r="C284" s="447"/>
      <c r="D284" s="473" t="s">
        <v>89</v>
      </c>
      <c r="E284" s="396">
        <f>COUNTIF(E249:E283,"L")</f>
        <v>4</v>
      </c>
    </row>
    <row r="285" s="292" customFormat="1" customHeight="1" spans="1:9">
      <c r="B285" s="474"/>
      <c r="C285" s="447"/>
      <c r="D285" s="473" t="s">
        <v>90</v>
      </c>
      <c r="E285" s="396">
        <f>COUNTIF(E249:E283,"P")</f>
        <v>31</v>
      </c>
    </row>
    <row r="286" s="292" customFormat="1" customHeight="1" spans="1:9">
      <c r="B286" s="394"/>
      <c r="C286" s="447"/>
      <c r="D286" s="456"/>
      <c r="E286" s="390"/>
    </row>
    <row r="287" s="292" customFormat="1" customHeight="1" spans="1:9">
      <c r="B287" s="394" t="s">
        <v>91</v>
      </c>
      <c r="C287" s="447"/>
      <c r="D287" s="456"/>
      <c r="E287" s="390"/>
      <c r="F287" s="292" t="s">
        <v>92</v>
      </c>
    </row>
    <row r="288" s="292" customFormat="1" customHeight="1" spans="1:9">
      <c r="B288" s="394"/>
      <c r="C288" s="447"/>
      <c r="D288" s="456"/>
      <c r="E288" s="390"/>
    </row>
    <row r="289" s="292" customFormat="1" customHeight="1" spans="1:9">
      <c r="B289" s="394"/>
      <c r="C289" s="447"/>
      <c r="D289" s="456"/>
      <c r="E289" s="390"/>
    </row>
    <row r="290" s="292" customFormat="1" customHeight="1" spans="1:9">
      <c r="B290" s="394"/>
      <c r="C290" s="447"/>
      <c r="D290" s="456"/>
      <c r="E290" s="390"/>
    </row>
    <row r="291" s="292" customFormat="1" customHeight="1" spans="1:9">
      <c r="B291" s="475" t="s">
        <v>93</v>
      </c>
      <c r="C291" s="447"/>
      <c r="D291" s="456"/>
      <c r="E291" s="390"/>
      <c r="F291" s="292" t="s">
        <v>94</v>
      </c>
    </row>
    <row r="292" s="292" customFormat="1" customHeight="1" spans="1:9">
      <c r="B292" s="398" t="s">
        <v>95</v>
      </c>
      <c r="C292" s="447"/>
      <c r="D292" s="456"/>
      <c r="E292" s="390"/>
    </row>
    <row r="295" customHeight="1" spans="1:9">
      <c r="A295" s="476"/>
      <c r="B295" s="358"/>
      <c r="C295" s="424"/>
      <c r="D295" s="360"/>
      <c r="E295" s="360"/>
      <c r="F295" s="360"/>
      <c r="G295" s="360"/>
      <c r="H295" s="360"/>
      <c r="I295" s="360"/>
    </row>
    <row r="296" ht="12.75" customHeight="1" spans="1:9">
      <c r="A296" s="349"/>
      <c r="B296" s="350"/>
      <c r="C296" s="480"/>
      <c r="D296" s="350"/>
      <c r="E296" s="352"/>
      <c r="F296" s="352"/>
      <c r="G296" s="352"/>
      <c r="H296" s="352"/>
      <c r="I296" s="352"/>
    </row>
    <row r="297" ht="12.75" customHeight="1" spans="1:9">
      <c r="A297" s="297" t="s">
        <v>1</v>
      </c>
      <c r="B297" s="297"/>
      <c r="C297" s="297"/>
      <c r="D297" s="297"/>
      <c r="E297" s="297"/>
      <c r="F297" s="297"/>
      <c r="G297" s="297"/>
      <c r="H297" s="297"/>
      <c r="I297" s="297"/>
    </row>
    <row r="298" ht="12.75" customHeight="1" spans="1:9">
      <c r="A298" s="297" t="s">
        <v>2</v>
      </c>
      <c r="B298" s="297"/>
      <c r="C298" s="297"/>
      <c r="D298" s="297"/>
      <c r="E298" s="297"/>
      <c r="F298" s="297"/>
      <c r="G298" s="297"/>
      <c r="H298" s="297"/>
      <c r="I298" s="297"/>
    </row>
    <row r="299" ht="12.75" customHeight="1" spans="1:9">
      <c r="A299" s="297" t="s">
        <v>3</v>
      </c>
      <c r="B299" s="297"/>
      <c r="C299" s="297"/>
      <c r="D299" s="297"/>
      <c r="E299" s="297"/>
      <c r="F299" s="297"/>
      <c r="G299" s="297"/>
      <c r="H299" s="297"/>
      <c r="I299" s="297"/>
    </row>
    <row r="300" s="291" customFormat="1" ht="16.5" customHeight="1" spans="1:9">
      <c r="A300" s="298" t="s">
        <v>4</v>
      </c>
      <c r="B300" s="298"/>
      <c r="C300" s="298"/>
      <c r="D300" s="298"/>
      <c r="E300" s="298"/>
      <c r="F300" s="298"/>
      <c r="G300" s="298"/>
      <c r="H300" s="298"/>
      <c r="I300" s="298"/>
    </row>
    <row r="301" ht="12.75" customHeight="1" spans="1:9">
      <c r="A301" s="299" t="s">
        <v>5</v>
      </c>
      <c r="B301" s="299"/>
      <c r="C301" s="299"/>
      <c r="D301" s="299"/>
      <c r="E301" s="299"/>
      <c r="F301" s="299"/>
      <c r="G301" s="299"/>
      <c r="H301" s="299"/>
      <c r="I301" s="299"/>
    </row>
    <row r="302" customHeight="1" spans="1:9">
      <c r="A302" s="299"/>
      <c r="B302" s="299"/>
      <c r="C302" s="299"/>
      <c r="D302" s="299"/>
      <c r="E302" s="299"/>
      <c r="F302" s="299"/>
      <c r="G302" s="299"/>
      <c r="H302" s="299"/>
      <c r="I302" s="299"/>
    </row>
    <row r="303" ht="12.75" customHeight="1" spans="1:9">
      <c r="A303" s="299"/>
      <c r="B303" s="299"/>
      <c r="C303" s="299"/>
      <c r="D303" s="299"/>
      <c r="E303" s="299"/>
      <c r="F303" s="299"/>
      <c r="G303" s="299"/>
      <c r="H303" s="299"/>
      <c r="I303" s="299"/>
    </row>
    <row r="304" s="289" customFormat="1" ht="12.75" customHeight="1" spans="1:9">
      <c r="A304" s="300" t="s">
        <v>6</v>
      </c>
      <c r="B304" s="300"/>
      <c r="C304" s="300"/>
      <c r="D304" s="300"/>
      <c r="E304" s="300"/>
      <c r="F304" s="300"/>
      <c r="G304" s="300"/>
      <c r="H304" s="300"/>
      <c r="I304" s="300"/>
    </row>
    <row r="305" s="289" customFormat="1" ht="12.75" customHeight="1" spans="1:9">
      <c r="A305" s="300"/>
      <c r="B305" s="300"/>
      <c r="C305" s="300"/>
      <c r="D305" s="300"/>
      <c r="E305" s="300"/>
      <c r="F305" s="300"/>
      <c r="G305" s="300"/>
      <c r="H305" s="300"/>
      <c r="I305" s="300"/>
    </row>
    <row r="306" s="289" customFormat="1" customHeight="1" spans="1:9">
      <c r="A306" s="456"/>
      <c r="B306" s="302" t="s">
        <v>398</v>
      </c>
      <c r="C306" s="406"/>
      <c r="D306" s="301"/>
      <c r="E306" s="407" t="s">
        <v>8</v>
      </c>
      <c r="F306" s="306" t="s">
        <v>399</v>
      </c>
    </row>
    <row r="307" s="290" customFormat="1" ht="24.75" customHeight="1" spans="1:9">
      <c r="A307" s="461" t="s">
        <v>10</v>
      </c>
      <c r="B307" s="308" t="s">
        <v>11</v>
      </c>
      <c r="C307" s="309" t="s">
        <v>12</v>
      </c>
      <c r="D307" s="308" t="s">
        <v>13</v>
      </c>
      <c r="E307" s="308" t="s">
        <v>14</v>
      </c>
      <c r="F307" s="310"/>
      <c r="G307" s="310"/>
      <c r="H307" s="310"/>
      <c r="I307" s="310"/>
    </row>
    <row r="308" customHeight="1" spans="1:9">
      <c r="A308" s="386">
        <v>1</v>
      </c>
      <c r="B308" s="414">
        <v>242510084</v>
      </c>
      <c r="C308" s="465" t="s">
        <v>400</v>
      </c>
      <c r="D308" s="275" t="s">
        <v>401</v>
      </c>
      <c r="E308" s="466" t="s">
        <v>18</v>
      </c>
      <c r="F308" s="317"/>
      <c r="G308" s="317"/>
      <c r="H308" s="318"/>
      <c r="I308" s="318"/>
    </row>
    <row r="309" customHeight="1" spans="1:9">
      <c r="A309" s="386">
        <v>2</v>
      </c>
      <c r="B309" s="414">
        <v>242510247</v>
      </c>
      <c r="C309" s="467" t="s">
        <v>402</v>
      </c>
      <c r="D309" s="277" t="s">
        <v>403</v>
      </c>
      <c r="E309" s="466" t="s">
        <v>18</v>
      </c>
      <c r="F309" s="317"/>
      <c r="G309" s="317"/>
      <c r="H309" s="318"/>
      <c r="I309" s="318"/>
    </row>
    <row r="310" customHeight="1" spans="1:9">
      <c r="A310" s="386">
        <v>3</v>
      </c>
      <c r="B310" s="414">
        <v>242510207</v>
      </c>
      <c r="C310" s="465" t="s">
        <v>404</v>
      </c>
      <c r="D310" s="275" t="s">
        <v>405</v>
      </c>
      <c r="E310" s="466" t="s">
        <v>18</v>
      </c>
      <c r="F310" s="317"/>
      <c r="G310" s="317"/>
      <c r="H310" s="318"/>
      <c r="I310" s="318"/>
    </row>
    <row r="311" customHeight="1" spans="1:9">
      <c r="A311" s="386">
        <v>4</v>
      </c>
      <c r="B311" s="414">
        <v>242510124</v>
      </c>
      <c r="C311" s="467" t="s">
        <v>406</v>
      </c>
      <c r="D311" s="277" t="s">
        <v>407</v>
      </c>
      <c r="E311" s="466" t="s">
        <v>18</v>
      </c>
      <c r="F311" s="317"/>
      <c r="G311" s="317"/>
      <c r="H311" s="318"/>
      <c r="I311" s="318"/>
    </row>
    <row r="312" customHeight="1" spans="1:9">
      <c r="A312" s="386">
        <v>5</v>
      </c>
      <c r="B312" s="414">
        <v>242510357</v>
      </c>
      <c r="C312" s="465" t="s">
        <v>408</v>
      </c>
      <c r="D312" s="275" t="s">
        <v>409</v>
      </c>
      <c r="E312" s="466" t="s">
        <v>18</v>
      </c>
      <c r="F312" s="317"/>
      <c r="G312" s="317"/>
      <c r="H312" s="318"/>
      <c r="I312" s="318"/>
    </row>
    <row r="313" customHeight="1" spans="1:9">
      <c r="A313" s="386">
        <v>6</v>
      </c>
      <c r="B313" s="414">
        <v>242510321</v>
      </c>
      <c r="C313" s="467" t="s">
        <v>410</v>
      </c>
      <c r="D313" s="281" t="s">
        <v>411</v>
      </c>
      <c r="E313" s="466" t="s">
        <v>23</v>
      </c>
      <c r="F313" s="317"/>
      <c r="G313" s="317"/>
      <c r="H313" s="318"/>
      <c r="I313" s="318"/>
    </row>
    <row r="314" customHeight="1" spans="1:9">
      <c r="A314" s="386">
        <v>7</v>
      </c>
      <c r="B314" s="414">
        <v>242510125</v>
      </c>
      <c r="C314" s="468" t="s">
        <v>412</v>
      </c>
      <c r="D314" s="279" t="s">
        <v>413</v>
      </c>
      <c r="E314" s="466" t="s">
        <v>18</v>
      </c>
      <c r="F314" s="317"/>
      <c r="G314" s="317"/>
      <c r="H314" s="318"/>
      <c r="I314" s="318"/>
    </row>
    <row r="315" customHeight="1" spans="1:9">
      <c r="A315" s="386">
        <v>8</v>
      </c>
      <c r="B315" s="414">
        <v>242510248</v>
      </c>
      <c r="C315" s="467" t="s">
        <v>414</v>
      </c>
      <c r="D315" s="277" t="s">
        <v>415</v>
      </c>
      <c r="E315" s="466" t="s">
        <v>23</v>
      </c>
      <c r="F315" s="317"/>
      <c r="G315" s="317"/>
      <c r="H315" s="318"/>
      <c r="I315" s="318"/>
    </row>
    <row r="316" customHeight="1" spans="1:9">
      <c r="A316" s="386">
        <v>9</v>
      </c>
      <c r="B316" s="414">
        <v>242510209</v>
      </c>
      <c r="C316" s="465" t="s">
        <v>416</v>
      </c>
      <c r="D316" s="275" t="s">
        <v>417</v>
      </c>
      <c r="E316" s="466" t="s">
        <v>18</v>
      </c>
      <c r="F316" s="317"/>
      <c r="G316" s="317"/>
      <c r="H316" s="318"/>
      <c r="I316" s="318"/>
    </row>
    <row r="317" customHeight="1" spans="1:9">
      <c r="A317" s="386">
        <v>10</v>
      </c>
      <c r="B317" s="414">
        <v>242510324</v>
      </c>
      <c r="C317" s="467" t="s">
        <v>418</v>
      </c>
      <c r="D317" s="277" t="s">
        <v>419</v>
      </c>
      <c r="E317" s="466" t="s">
        <v>18</v>
      </c>
      <c r="F317" s="317"/>
      <c r="G317" s="317"/>
      <c r="H317" s="318"/>
      <c r="I317" s="318"/>
    </row>
    <row r="318" customHeight="1" spans="1:9">
      <c r="A318" s="386">
        <v>11</v>
      </c>
      <c r="B318" s="414">
        <v>242510011</v>
      </c>
      <c r="C318" s="468" t="s">
        <v>420</v>
      </c>
      <c r="D318" s="279" t="s">
        <v>421</v>
      </c>
      <c r="E318" s="466" t="s">
        <v>23</v>
      </c>
      <c r="F318" s="317"/>
      <c r="G318" s="317"/>
      <c r="H318" s="318"/>
      <c r="I318" s="318"/>
    </row>
    <row r="319" customHeight="1" spans="1:9">
      <c r="A319" s="386">
        <v>12</v>
      </c>
      <c r="B319" s="414">
        <v>242510015</v>
      </c>
      <c r="C319" s="467" t="s">
        <v>422</v>
      </c>
      <c r="D319" s="277" t="s">
        <v>423</v>
      </c>
      <c r="E319" s="466" t="s">
        <v>23</v>
      </c>
      <c r="F319" s="317"/>
      <c r="G319" s="317"/>
      <c r="H319" s="318"/>
      <c r="I319" s="318"/>
    </row>
    <row r="320" customHeight="1" spans="1:9">
      <c r="A320" s="386">
        <v>13</v>
      </c>
      <c r="B320" s="414">
        <v>242510400</v>
      </c>
      <c r="C320" s="465" t="s">
        <v>424</v>
      </c>
      <c r="D320" s="275" t="s">
        <v>425</v>
      </c>
      <c r="E320" s="466" t="s">
        <v>18</v>
      </c>
      <c r="F320" s="317"/>
      <c r="G320" s="317"/>
      <c r="H320" s="318"/>
      <c r="I320" s="318"/>
    </row>
    <row r="321" customHeight="1" spans="1:9">
      <c r="A321" s="386">
        <v>14</v>
      </c>
      <c r="B321" s="414">
        <v>242510097</v>
      </c>
      <c r="C321" s="467" t="s">
        <v>426</v>
      </c>
      <c r="D321" s="481" t="s">
        <v>427</v>
      </c>
      <c r="E321" s="466" t="s">
        <v>18</v>
      </c>
      <c r="F321" s="317"/>
      <c r="G321" s="317"/>
      <c r="H321" s="318"/>
      <c r="I321" s="318"/>
    </row>
    <row r="322" customHeight="1" spans="1:9">
      <c r="A322" s="386">
        <v>15</v>
      </c>
      <c r="B322" s="414">
        <v>242510136</v>
      </c>
      <c r="C322" s="465" t="s">
        <v>428</v>
      </c>
      <c r="D322" s="275" t="s">
        <v>429</v>
      </c>
      <c r="E322" s="466" t="s">
        <v>23</v>
      </c>
      <c r="F322" s="317"/>
      <c r="G322" s="317"/>
      <c r="H322" s="318"/>
      <c r="I322" s="318"/>
    </row>
    <row r="323" customHeight="1" spans="1:9">
      <c r="A323" s="386">
        <v>16</v>
      </c>
      <c r="B323" s="414">
        <v>242510403</v>
      </c>
      <c r="C323" s="467" t="s">
        <v>430</v>
      </c>
      <c r="D323" s="277" t="s">
        <v>431</v>
      </c>
      <c r="E323" s="466" t="s">
        <v>18</v>
      </c>
      <c r="F323" s="317"/>
      <c r="G323" s="317"/>
      <c r="H323" s="318"/>
      <c r="I323" s="318"/>
    </row>
    <row r="324" customHeight="1" spans="1:9">
      <c r="A324" s="386">
        <v>17</v>
      </c>
      <c r="B324" s="414">
        <v>242510140</v>
      </c>
      <c r="C324" s="465" t="s">
        <v>432</v>
      </c>
      <c r="D324" s="275" t="s">
        <v>433</v>
      </c>
      <c r="E324" s="466" t="s">
        <v>18</v>
      </c>
      <c r="F324" s="317"/>
      <c r="G324" s="317"/>
      <c r="H324" s="318"/>
      <c r="I324" s="318"/>
    </row>
    <row r="325" customHeight="1" spans="1:9">
      <c r="A325" s="386">
        <v>18</v>
      </c>
      <c r="B325" s="414">
        <v>242510222</v>
      </c>
      <c r="C325" s="467" t="s">
        <v>434</v>
      </c>
      <c r="D325" s="277" t="s">
        <v>435</v>
      </c>
      <c r="E325" s="466" t="s">
        <v>18</v>
      </c>
      <c r="F325" s="317"/>
      <c r="G325" s="317"/>
      <c r="H325" s="318"/>
      <c r="I325" s="318"/>
    </row>
    <row r="326" customHeight="1" spans="1:9">
      <c r="A326" s="386">
        <v>19</v>
      </c>
      <c r="B326" s="414">
        <v>242510026</v>
      </c>
      <c r="C326" s="465" t="s">
        <v>436</v>
      </c>
      <c r="D326" s="275" t="s">
        <v>437</v>
      </c>
      <c r="E326" s="466" t="s">
        <v>23</v>
      </c>
      <c r="F326" s="317"/>
      <c r="G326" s="317"/>
      <c r="H326" s="318"/>
      <c r="I326" s="318"/>
    </row>
    <row r="327" customHeight="1" spans="1:9">
      <c r="A327" s="386">
        <v>20</v>
      </c>
      <c r="B327" s="414">
        <v>242510028</v>
      </c>
      <c r="C327" s="467" t="s">
        <v>438</v>
      </c>
      <c r="D327" s="277" t="s">
        <v>439</v>
      </c>
      <c r="E327" s="466" t="s">
        <v>23</v>
      </c>
      <c r="F327" s="317"/>
      <c r="G327" s="317"/>
      <c r="H327" s="318"/>
      <c r="I327" s="318"/>
    </row>
    <row r="328" customHeight="1" spans="1:9">
      <c r="A328" s="386">
        <v>21</v>
      </c>
      <c r="B328" s="414">
        <v>242510406</v>
      </c>
      <c r="C328" s="465" t="s">
        <v>440</v>
      </c>
      <c r="D328" s="275" t="s">
        <v>441</v>
      </c>
      <c r="E328" s="466" t="s">
        <v>23</v>
      </c>
      <c r="F328" s="317"/>
      <c r="G328" s="317"/>
      <c r="H328" s="318"/>
      <c r="I328" s="318"/>
    </row>
    <row r="329" customHeight="1" spans="1:9">
      <c r="A329" s="386">
        <v>22</v>
      </c>
      <c r="B329" s="414">
        <v>242510105</v>
      </c>
      <c r="C329" s="467" t="s">
        <v>442</v>
      </c>
      <c r="D329" s="281" t="s">
        <v>443</v>
      </c>
      <c r="E329" s="466" t="s">
        <v>23</v>
      </c>
      <c r="F329" s="317"/>
      <c r="G329" s="317"/>
      <c r="H329" s="318"/>
      <c r="I329" s="318"/>
    </row>
    <row r="330" customHeight="1" spans="1:9">
      <c r="A330" s="386">
        <v>23</v>
      </c>
      <c r="B330" s="414">
        <v>242510058</v>
      </c>
      <c r="C330" s="468" t="s">
        <v>444</v>
      </c>
      <c r="D330" s="279" t="s">
        <v>445</v>
      </c>
      <c r="E330" s="466" t="s">
        <v>23</v>
      </c>
      <c r="F330" s="317"/>
      <c r="G330" s="317"/>
      <c r="H330" s="318"/>
      <c r="I330" s="318"/>
    </row>
    <row r="331" customHeight="1" spans="1:9">
      <c r="A331" s="386">
        <v>24</v>
      </c>
      <c r="B331" s="414">
        <v>242510032</v>
      </c>
      <c r="C331" s="477" t="s">
        <v>446</v>
      </c>
      <c r="D331" s="281" t="s">
        <v>447</v>
      </c>
      <c r="E331" s="466" t="s">
        <v>18</v>
      </c>
      <c r="F331" s="317"/>
      <c r="G331" s="317"/>
      <c r="H331" s="318"/>
      <c r="I331" s="318"/>
    </row>
    <row r="332" customHeight="1" spans="1:9">
      <c r="A332" s="386">
        <v>25</v>
      </c>
      <c r="B332" s="414">
        <v>242510147</v>
      </c>
      <c r="C332" s="465" t="s">
        <v>448</v>
      </c>
      <c r="D332" s="275" t="s">
        <v>449</v>
      </c>
      <c r="E332" s="466" t="s">
        <v>23</v>
      </c>
      <c r="F332" s="317"/>
      <c r="G332" s="317"/>
      <c r="H332" s="318"/>
      <c r="I332" s="318"/>
    </row>
    <row r="333" customHeight="1" spans="1:9">
      <c r="A333" s="386">
        <v>26</v>
      </c>
      <c r="B333" s="414">
        <v>242510269</v>
      </c>
      <c r="C333" s="467" t="s">
        <v>450</v>
      </c>
      <c r="D333" s="277" t="s">
        <v>451</v>
      </c>
      <c r="E333" s="466" t="s">
        <v>18</v>
      </c>
      <c r="F333" s="317"/>
      <c r="G333" s="317"/>
      <c r="H333" s="318"/>
      <c r="I333" s="318"/>
    </row>
    <row r="334" customHeight="1" spans="1:9">
      <c r="A334" s="386">
        <v>27</v>
      </c>
      <c r="B334" s="414">
        <v>242510345</v>
      </c>
      <c r="C334" s="465" t="s">
        <v>452</v>
      </c>
      <c r="D334" s="275" t="s">
        <v>453</v>
      </c>
      <c r="E334" s="466" t="s">
        <v>23</v>
      </c>
      <c r="F334" s="317"/>
      <c r="G334" s="317"/>
      <c r="H334" s="318"/>
      <c r="I334" s="318"/>
    </row>
    <row r="335" customHeight="1" spans="1:9">
      <c r="A335" s="386">
        <v>28</v>
      </c>
      <c r="B335" s="414">
        <v>242510037</v>
      </c>
      <c r="C335" s="467" t="s">
        <v>454</v>
      </c>
      <c r="D335" s="281" t="s">
        <v>455</v>
      </c>
      <c r="E335" s="466" t="s">
        <v>18</v>
      </c>
      <c r="F335" s="317"/>
      <c r="G335" s="317"/>
      <c r="H335" s="318"/>
      <c r="I335" s="318"/>
    </row>
    <row r="336" customHeight="1" spans="1:9">
      <c r="A336" s="386">
        <v>29</v>
      </c>
      <c r="B336" s="414">
        <v>242510236</v>
      </c>
      <c r="C336" s="465" t="s">
        <v>456</v>
      </c>
      <c r="D336" s="275" t="s">
        <v>457</v>
      </c>
      <c r="E336" s="466" t="s">
        <v>18</v>
      </c>
      <c r="F336" s="317"/>
      <c r="G336" s="317"/>
      <c r="H336" s="318"/>
      <c r="I336" s="318"/>
    </row>
    <row r="337" customHeight="1" spans="1:9">
      <c r="A337" s="386">
        <v>30</v>
      </c>
      <c r="B337" s="414">
        <v>242510422</v>
      </c>
      <c r="C337" s="467" t="s">
        <v>458</v>
      </c>
      <c r="D337" s="277" t="s">
        <v>459</v>
      </c>
      <c r="E337" s="466" t="s">
        <v>18</v>
      </c>
      <c r="F337" s="317"/>
      <c r="G337" s="317"/>
      <c r="H337" s="318"/>
      <c r="I337" s="318"/>
    </row>
    <row r="338" customHeight="1" spans="1:9">
      <c r="A338" s="386">
        <v>31</v>
      </c>
      <c r="B338" s="414">
        <v>242510157</v>
      </c>
      <c r="C338" s="465" t="s">
        <v>460</v>
      </c>
      <c r="D338" s="275" t="s">
        <v>461</v>
      </c>
      <c r="E338" s="466" t="s">
        <v>18</v>
      </c>
      <c r="F338" s="317"/>
      <c r="G338" s="317"/>
      <c r="H338" s="318"/>
      <c r="I338" s="318"/>
    </row>
    <row r="339" customHeight="1" spans="1:9">
      <c r="A339" s="386">
        <v>32</v>
      </c>
      <c r="B339" s="414">
        <v>242510040</v>
      </c>
      <c r="C339" s="467" t="s">
        <v>462</v>
      </c>
      <c r="D339" s="277" t="s">
        <v>463</v>
      </c>
      <c r="E339" s="466" t="s">
        <v>18</v>
      </c>
      <c r="F339" s="317"/>
      <c r="G339" s="317"/>
      <c r="H339" s="318"/>
      <c r="I339" s="318"/>
    </row>
    <row r="340" customHeight="1" spans="1:9">
      <c r="A340" s="386">
        <v>33</v>
      </c>
      <c r="B340" s="432">
        <v>242510120</v>
      </c>
      <c r="C340" s="465" t="s">
        <v>464</v>
      </c>
      <c r="D340" s="275" t="s">
        <v>465</v>
      </c>
      <c r="E340" s="466" t="s">
        <v>18</v>
      </c>
      <c r="F340" s="317"/>
      <c r="G340" s="317"/>
      <c r="H340" s="318"/>
      <c r="I340" s="318"/>
    </row>
    <row r="341" customHeight="1" spans="1:9">
      <c r="A341" s="386">
        <v>34</v>
      </c>
      <c r="B341" s="414">
        <v>242510158</v>
      </c>
      <c r="C341" s="467" t="s">
        <v>466</v>
      </c>
      <c r="D341" s="277" t="s">
        <v>467</v>
      </c>
      <c r="E341" s="466" t="s">
        <v>18</v>
      </c>
      <c r="F341" s="317"/>
      <c r="G341" s="317"/>
      <c r="H341" s="318"/>
      <c r="I341" s="318"/>
    </row>
    <row r="342" customHeight="1" spans="1:9">
      <c r="A342" s="479">
        <v>35</v>
      </c>
      <c r="B342" s="414">
        <v>242510197</v>
      </c>
      <c r="C342" s="482" t="s">
        <v>468</v>
      </c>
      <c r="D342" s="483" t="s">
        <v>469</v>
      </c>
      <c r="E342" s="466" t="s">
        <v>18</v>
      </c>
      <c r="F342" s="326"/>
      <c r="G342" s="326"/>
      <c r="H342" s="327"/>
      <c r="I342" s="327"/>
    </row>
    <row r="343" customHeight="1" spans="1:9">
      <c r="A343" s="386">
        <v>36</v>
      </c>
      <c r="B343" s="414">
        <v>242510428</v>
      </c>
      <c r="C343" s="477" t="s">
        <v>470</v>
      </c>
      <c r="D343" s="281" t="s">
        <v>471</v>
      </c>
      <c r="E343" s="466" t="s">
        <v>23</v>
      </c>
      <c r="F343" s="317"/>
      <c r="G343" s="317"/>
      <c r="H343" s="318"/>
      <c r="I343" s="318"/>
    </row>
    <row r="344" s="292" customFormat="1" customHeight="1" spans="1:9">
      <c r="B344" s="394"/>
      <c r="C344" s="447"/>
      <c r="D344" s="473" t="s">
        <v>89</v>
      </c>
      <c r="E344" s="396">
        <f>COUNTIF(E308:E343,"L")</f>
        <v>13</v>
      </c>
      <c r="F344" s="484"/>
      <c r="G344" s="484"/>
    </row>
    <row r="345" s="292" customFormat="1" customHeight="1" spans="1:9">
      <c r="B345" s="474"/>
      <c r="C345" s="447"/>
      <c r="D345" s="473" t="s">
        <v>90</v>
      </c>
      <c r="E345" s="396">
        <f>COUNTIF(E308:E343,"P")</f>
        <v>23</v>
      </c>
    </row>
    <row r="346" s="292" customFormat="1" customHeight="1" spans="1:9">
      <c r="B346" s="394"/>
      <c r="C346" s="447"/>
      <c r="D346" s="456"/>
      <c r="E346" s="390"/>
    </row>
    <row r="347" s="292" customFormat="1" customHeight="1" spans="1:9">
      <c r="B347" s="394" t="s">
        <v>91</v>
      </c>
      <c r="C347" s="447"/>
      <c r="D347" s="456"/>
      <c r="E347" s="390"/>
      <c r="F347" s="292" t="s">
        <v>92</v>
      </c>
    </row>
    <row r="348" s="292" customFormat="1" customHeight="1" spans="1:9">
      <c r="B348" s="394"/>
      <c r="C348" s="447"/>
      <c r="D348" s="456"/>
      <c r="E348" s="390"/>
    </row>
    <row r="349" s="292" customFormat="1" customHeight="1" spans="1:9">
      <c r="B349" s="394"/>
      <c r="C349" s="447"/>
      <c r="D349" s="456"/>
      <c r="E349" s="390"/>
    </row>
    <row r="350" s="292" customFormat="1" customHeight="1" spans="1:9">
      <c r="B350" s="394"/>
      <c r="C350" s="447"/>
      <c r="D350" s="456"/>
      <c r="E350" s="390"/>
    </row>
    <row r="351" s="292" customFormat="1" customHeight="1" spans="1:9">
      <c r="B351" s="475" t="s">
        <v>93</v>
      </c>
      <c r="C351" s="447"/>
      <c r="D351" s="456"/>
      <c r="E351" s="390"/>
      <c r="F351" s="292" t="s">
        <v>94</v>
      </c>
    </row>
    <row r="352" s="292" customFormat="1" customHeight="1" spans="1:9">
      <c r="B352" s="398" t="s">
        <v>95</v>
      </c>
      <c r="C352" s="447"/>
      <c r="D352" s="456"/>
      <c r="E352" s="390"/>
    </row>
    <row r="354" ht="12.75" customHeight="1" spans="1:9">
      <c r="A354" s="349"/>
      <c r="B354" s="350"/>
      <c r="C354" s="480"/>
      <c r="D354" s="350"/>
      <c r="E354" s="352"/>
      <c r="F354" s="352"/>
      <c r="G354" s="352"/>
      <c r="H354" s="352"/>
      <c r="I354" s="352"/>
    </row>
    <row r="355" ht="12.75" customHeight="1" spans="1:9">
      <c r="A355" s="297" t="s">
        <v>1</v>
      </c>
      <c r="B355" s="297"/>
      <c r="C355" s="297"/>
      <c r="D355" s="297"/>
      <c r="E355" s="297"/>
      <c r="F355" s="297"/>
      <c r="G355" s="297"/>
      <c r="H355" s="297"/>
      <c r="I355" s="297"/>
    </row>
    <row r="356" ht="12.75" customHeight="1" spans="1:9">
      <c r="A356" s="297" t="s">
        <v>2</v>
      </c>
      <c r="B356" s="297"/>
      <c r="C356" s="297"/>
      <c r="D356" s="297"/>
      <c r="E356" s="297"/>
      <c r="F356" s="297"/>
      <c r="G356" s="297"/>
      <c r="H356" s="297"/>
      <c r="I356" s="297"/>
    </row>
    <row r="357" ht="12.75" customHeight="1" spans="1:9">
      <c r="A357" s="297" t="s">
        <v>3</v>
      </c>
      <c r="B357" s="297"/>
      <c r="C357" s="297"/>
      <c r="D357" s="297"/>
      <c r="E357" s="297"/>
      <c r="F357" s="297"/>
      <c r="G357" s="297"/>
      <c r="H357" s="297"/>
      <c r="I357" s="297"/>
    </row>
    <row r="358" s="291" customFormat="1" ht="16.5" customHeight="1" spans="1:9">
      <c r="A358" s="298" t="s">
        <v>4</v>
      </c>
      <c r="B358" s="298"/>
      <c r="C358" s="298"/>
      <c r="D358" s="298"/>
      <c r="E358" s="298"/>
      <c r="F358" s="298"/>
      <c r="G358" s="298"/>
      <c r="H358" s="298"/>
      <c r="I358" s="298"/>
    </row>
    <row r="359" ht="12.75" customHeight="1" spans="1:9">
      <c r="A359" s="299" t="s">
        <v>5</v>
      </c>
      <c r="B359" s="299"/>
      <c r="C359" s="299"/>
      <c r="D359" s="299"/>
      <c r="E359" s="299"/>
      <c r="F359" s="299"/>
      <c r="G359" s="299"/>
      <c r="H359" s="299"/>
      <c r="I359" s="299"/>
    </row>
    <row r="360" customHeight="1" spans="1:9">
      <c r="A360" s="299"/>
      <c r="B360" s="299"/>
      <c r="C360" s="299"/>
      <c r="D360" s="299"/>
      <c r="E360" s="299"/>
      <c r="F360" s="299"/>
      <c r="G360" s="299"/>
      <c r="H360" s="299"/>
      <c r="I360" s="299"/>
    </row>
    <row r="361" ht="12.75" customHeight="1" spans="1:9">
      <c r="A361" s="299"/>
      <c r="B361" s="299"/>
      <c r="C361" s="299"/>
      <c r="D361" s="299"/>
      <c r="E361" s="299"/>
      <c r="F361" s="299"/>
      <c r="G361" s="299"/>
      <c r="H361" s="299"/>
      <c r="I361" s="299"/>
    </row>
    <row r="362" s="289" customFormat="1" ht="12.75" customHeight="1" spans="1:9">
      <c r="A362" s="300" t="s">
        <v>6</v>
      </c>
      <c r="B362" s="300"/>
      <c r="C362" s="300"/>
      <c r="D362" s="300"/>
      <c r="E362" s="300"/>
      <c r="F362" s="300"/>
      <c r="G362" s="300"/>
      <c r="H362" s="300"/>
      <c r="I362" s="300"/>
    </row>
    <row r="363" s="289" customFormat="1" ht="12.75" customHeight="1" spans="1:9">
      <c r="A363" s="300"/>
      <c r="B363" s="300"/>
      <c r="C363" s="300"/>
      <c r="D363" s="300"/>
      <c r="E363" s="300"/>
      <c r="F363" s="300"/>
      <c r="G363" s="300"/>
      <c r="H363" s="300"/>
      <c r="I363" s="300"/>
    </row>
    <row r="364" s="289" customFormat="1" customHeight="1" spans="1:9">
      <c r="A364" s="456"/>
      <c r="B364" s="302" t="s">
        <v>472</v>
      </c>
      <c r="C364" s="406"/>
      <c r="D364" s="301"/>
      <c r="E364" s="407" t="s">
        <v>8</v>
      </c>
      <c r="F364" s="306" t="s">
        <v>473</v>
      </c>
    </row>
    <row r="365" s="290" customFormat="1" ht="24.75" customHeight="1" spans="1:9">
      <c r="A365" s="461" t="s">
        <v>10</v>
      </c>
      <c r="B365" s="308" t="s">
        <v>11</v>
      </c>
      <c r="C365" s="309" t="s">
        <v>12</v>
      </c>
      <c r="D365" s="308" t="s">
        <v>13</v>
      </c>
      <c r="E365" s="308" t="s">
        <v>14</v>
      </c>
      <c r="F365" s="310"/>
      <c r="G365" s="310"/>
      <c r="H365" s="310"/>
      <c r="I365" s="310"/>
    </row>
    <row r="366" ht="12.75" customHeight="1" spans="1:9">
      <c r="A366" s="386">
        <v>1</v>
      </c>
      <c r="B366" s="414">
        <v>242510081</v>
      </c>
      <c r="C366" s="485" t="s">
        <v>474</v>
      </c>
      <c r="D366" s="430" t="s">
        <v>475</v>
      </c>
      <c r="E366" s="386" t="s">
        <v>23</v>
      </c>
      <c r="F366" s="486"/>
      <c r="G366" s="318"/>
      <c r="H366" s="318"/>
      <c r="I366" s="318"/>
    </row>
    <row r="367" ht="12.75" customHeight="1" spans="1:9">
      <c r="A367" s="386">
        <v>2</v>
      </c>
      <c r="B367" s="414">
        <v>242510241</v>
      </c>
      <c r="C367" s="487" t="s">
        <v>476</v>
      </c>
      <c r="D367" s="481" t="s">
        <v>477</v>
      </c>
      <c r="E367" s="386" t="s">
        <v>23</v>
      </c>
      <c r="F367" s="486"/>
      <c r="G367" s="318"/>
      <c r="H367" s="318"/>
      <c r="I367" s="318"/>
    </row>
    <row r="368" ht="12.75" customHeight="1" spans="1:9">
      <c r="A368" s="386">
        <v>3</v>
      </c>
      <c r="B368" s="414">
        <v>242510203</v>
      </c>
      <c r="C368" s="485" t="s">
        <v>478</v>
      </c>
      <c r="D368" s="430" t="s">
        <v>479</v>
      </c>
      <c r="E368" s="386" t="s">
        <v>18</v>
      </c>
      <c r="F368" s="486"/>
      <c r="G368" s="318"/>
      <c r="H368" s="318"/>
      <c r="I368" s="318"/>
    </row>
    <row r="369" ht="12.75" customHeight="1" spans="1:9">
      <c r="A369" s="386">
        <v>4</v>
      </c>
      <c r="B369" s="414">
        <v>242510392</v>
      </c>
      <c r="C369" s="487" t="s">
        <v>480</v>
      </c>
      <c r="D369" s="481" t="s">
        <v>481</v>
      </c>
      <c r="E369" s="386" t="s">
        <v>18</v>
      </c>
      <c r="F369" s="486"/>
      <c r="G369" s="318"/>
      <c r="H369" s="318"/>
      <c r="I369" s="318"/>
    </row>
    <row r="370" ht="12.75" customHeight="1" spans="1:9">
      <c r="A370" s="386">
        <v>5</v>
      </c>
      <c r="B370" s="414">
        <v>242510286</v>
      </c>
      <c r="C370" s="485" t="s">
        <v>482</v>
      </c>
      <c r="D370" s="430" t="s">
        <v>483</v>
      </c>
      <c r="E370" s="386" t="s">
        <v>18</v>
      </c>
      <c r="F370" s="486"/>
      <c r="G370" s="318"/>
      <c r="H370" s="318"/>
      <c r="I370" s="318"/>
    </row>
    <row r="371" ht="12.75" customHeight="1" spans="1:9">
      <c r="A371" s="386">
        <v>6</v>
      </c>
      <c r="B371" s="414">
        <v>242510089</v>
      </c>
      <c r="C371" s="487" t="s">
        <v>484</v>
      </c>
      <c r="D371" s="481" t="s">
        <v>485</v>
      </c>
      <c r="E371" s="386" t="s">
        <v>18</v>
      </c>
      <c r="F371" s="486"/>
      <c r="G371" s="318"/>
      <c r="H371" s="318"/>
      <c r="I371" s="318"/>
    </row>
    <row r="372" ht="12.75" customHeight="1" spans="1:9">
      <c r="A372" s="386">
        <v>7</v>
      </c>
      <c r="B372" s="414">
        <v>242510208</v>
      </c>
      <c r="C372" s="485" t="s">
        <v>486</v>
      </c>
      <c r="D372" s="430" t="s">
        <v>487</v>
      </c>
      <c r="E372" s="386" t="s">
        <v>23</v>
      </c>
      <c r="F372" s="486"/>
      <c r="G372" s="318"/>
      <c r="H372" s="318"/>
      <c r="I372" s="318"/>
    </row>
    <row r="373" ht="12.75" customHeight="1" spans="1:9">
      <c r="A373" s="386">
        <v>8</v>
      </c>
      <c r="B373" s="414">
        <v>242510127</v>
      </c>
      <c r="C373" s="487" t="s">
        <v>488</v>
      </c>
      <c r="D373" s="481" t="s">
        <v>489</v>
      </c>
      <c r="E373" s="386" t="s">
        <v>18</v>
      </c>
      <c r="F373" s="486"/>
      <c r="G373" s="318"/>
      <c r="H373" s="318"/>
      <c r="I373" s="318"/>
    </row>
    <row r="374" ht="12.75" customHeight="1" spans="1:9">
      <c r="A374" s="386">
        <v>9</v>
      </c>
      <c r="B374" s="414">
        <v>242510397</v>
      </c>
      <c r="C374" s="485" t="s">
        <v>490</v>
      </c>
      <c r="D374" s="430" t="s">
        <v>491</v>
      </c>
      <c r="E374" s="386" t="s">
        <v>18</v>
      </c>
      <c r="F374" s="486"/>
      <c r="G374" s="318"/>
      <c r="H374" s="318"/>
      <c r="I374" s="318"/>
    </row>
    <row r="375" ht="12.75" customHeight="1" spans="1:9">
      <c r="A375" s="386">
        <v>10</v>
      </c>
      <c r="B375" s="414">
        <v>242510399</v>
      </c>
      <c r="C375" s="487" t="s">
        <v>492</v>
      </c>
      <c r="D375" s="481" t="s">
        <v>493</v>
      </c>
      <c r="E375" s="386" t="s">
        <v>23</v>
      </c>
      <c r="F375" s="486"/>
      <c r="G375" s="318"/>
      <c r="H375" s="318"/>
      <c r="I375" s="318"/>
    </row>
    <row r="376" ht="12.75" customHeight="1" spans="1:9">
      <c r="A376" s="386">
        <v>11</v>
      </c>
      <c r="B376" s="414">
        <v>242510172</v>
      </c>
      <c r="C376" s="485" t="s">
        <v>494</v>
      </c>
      <c r="D376" s="417" t="s">
        <v>495</v>
      </c>
      <c r="E376" s="386" t="s">
        <v>23</v>
      </c>
      <c r="F376" s="486"/>
      <c r="G376" s="318"/>
      <c r="H376" s="318"/>
      <c r="I376" s="318"/>
    </row>
    <row r="377" ht="12.75" customHeight="1" spans="1:9">
      <c r="A377" s="386">
        <v>12</v>
      </c>
      <c r="B377" s="414">
        <v>242510048</v>
      </c>
      <c r="C377" s="487" t="s">
        <v>496</v>
      </c>
      <c r="D377" s="481" t="s">
        <v>497</v>
      </c>
      <c r="E377" s="386" t="s">
        <v>18</v>
      </c>
      <c r="F377" s="486"/>
      <c r="G377" s="318"/>
      <c r="H377" s="318"/>
      <c r="I377" s="318"/>
    </row>
    <row r="378" ht="12.75" customHeight="1" spans="1:9">
      <c r="A378" s="386">
        <v>13</v>
      </c>
      <c r="B378" s="414">
        <v>242510018</v>
      </c>
      <c r="C378" s="485" t="s">
        <v>498</v>
      </c>
      <c r="D378" s="430" t="s">
        <v>499</v>
      </c>
      <c r="E378" s="403" t="s">
        <v>18</v>
      </c>
      <c r="F378" s="486"/>
      <c r="G378" s="318"/>
      <c r="H378" s="318"/>
      <c r="I378" s="318"/>
    </row>
    <row r="379" ht="12.75" customHeight="1" spans="1:9">
      <c r="A379" s="386">
        <v>14</v>
      </c>
      <c r="B379" s="414">
        <v>242510051</v>
      </c>
      <c r="C379" s="487" t="s">
        <v>500</v>
      </c>
      <c r="D379" s="488" t="s">
        <v>501</v>
      </c>
      <c r="E379" s="386" t="s">
        <v>18</v>
      </c>
      <c r="F379" s="486"/>
      <c r="G379" s="318"/>
      <c r="H379" s="318"/>
      <c r="I379" s="318"/>
    </row>
    <row r="380" ht="12.75" customHeight="1" spans="1:9">
      <c r="A380" s="386">
        <v>15</v>
      </c>
      <c r="B380" s="414">
        <v>242510330</v>
      </c>
      <c r="C380" s="485" t="s">
        <v>502</v>
      </c>
      <c r="D380" s="430" t="s">
        <v>503</v>
      </c>
      <c r="E380" s="386" t="s">
        <v>23</v>
      </c>
      <c r="F380" s="486"/>
      <c r="G380" s="318"/>
      <c r="H380" s="318"/>
      <c r="I380" s="318"/>
    </row>
    <row r="381" ht="12.75" customHeight="1" spans="1:9">
      <c r="A381" s="386">
        <v>16</v>
      </c>
      <c r="B381" s="414">
        <v>242510133</v>
      </c>
      <c r="C381" s="487" t="s">
        <v>504</v>
      </c>
      <c r="D381" s="481" t="s">
        <v>505</v>
      </c>
      <c r="E381" s="386" t="s">
        <v>18</v>
      </c>
      <c r="F381" s="486"/>
      <c r="G381" s="318"/>
      <c r="H381" s="318"/>
      <c r="I381" s="318"/>
    </row>
    <row r="382" ht="12.75" customHeight="1" spans="1:9">
      <c r="A382" s="386">
        <v>17</v>
      </c>
      <c r="B382" s="414">
        <v>242510331</v>
      </c>
      <c r="C382" s="485" t="s">
        <v>506</v>
      </c>
      <c r="D382" s="430" t="s">
        <v>507</v>
      </c>
      <c r="E382" s="386" t="s">
        <v>23</v>
      </c>
      <c r="F382" s="486"/>
      <c r="G382" s="318"/>
      <c r="H382" s="318"/>
      <c r="I382" s="318"/>
    </row>
    <row r="383" ht="12.75" customHeight="1" spans="1:9">
      <c r="A383" s="386">
        <v>18</v>
      </c>
      <c r="B383" s="414">
        <v>242510176</v>
      </c>
      <c r="C383" s="487" t="s">
        <v>508</v>
      </c>
      <c r="D383" s="481" t="s">
        <v>509</v>
      </c>
      <c r="E383" s="386" t="s">
        <v>18</v>
      </c>
      <c r="F383" s="486"/>
      <c r="G383" s="318"/>
      <c r="H383" s="318"/>
      <c r="I383" s="318"/>
    </row>
    <row r="384" ht="12.75" customHeight="1" spans="1:9">
      <c r="A384" s="386">
        <v>19</v>
      </c>
      <c r="B384" s="414">
        <v>242510177</v>
      </c>
      <c r="C384" s="485" t="s">
        <v>510</v>
      </c>
      <c r="D384" s="417" t="s">
        <v>511</v>
      </c>
      <c r="E384" s="386" t="s">
        <v>18</v>
      </c>
      <c r="F384" s="486"/>
      <c r="G384" s="318"/>
      <c r="H384" s="318"/>
      <c r="I384" s="318"/>
    </row>
    <row r="385" ht="12.75" customHeight="1" spans="1:9">
      <c r="A385" s="386">
        <v>20</v>
      </c>
      <c r="B385" s="414">
        <v>242510297</v>
      </c>
      <c r="C385" s="487" t="s">
        <v>512</v>
      </c>
      <c r="D385" s="481" t="s">
        <v>513</v>
      </c>
      <c r="E385" s="386" t="s">
        <v>18</v>
      </c>
      <c r="F385" s="486"/>
      <c r="G385" s="318"/>
      <c r="H385" s="318"/>
      <c r="I385" s="318"/>
    </row>
    <row r="386" ht="12.75" customHeight="1" spans="1:9">
      <c r="A386" s="386">
        <v>21</v>
      </c>
      <c r="B386" s="414">
        <v>242510142</v>
      </c>
      <c r="C386" s="485" t="s">
        <v>514</v>
      </c>
      <c r="D386" s="430" t="s">
        <v>515</v>
      </c>
      <c r="E386" s="403" t="s">
        <v>23</v>
      </c>
      <c r="F386" s="486"/>
      <c r="G386" s="318"/>
      <c r="H386" s="318"/>
      <c r="I386" s="318"/>
    </row>
    <row r="387" ht="12.75" customHeight="1" spans="1:9">
      <c r="A387" s="386">
        <v>22</v>
      </c>
      <c r="B387" s="414">
        <v>242510027</v>
      </c>
      <c r="C387" s="487" t="s">
        <v>516</v>
      </c>
      <c r="D387" s="481" t="s">
        <v>517</v>
      </c>
      <c r="E387" s="386" t="s">
        <v>23</v>
      </c>
      <c r="F387" s="486"/>
      <c r="G387" s="318"/>
      <c r="H387" s="318"/>
      <c r="I387" s="318"/>
    </row>
    <row r="388" ht="12.75" customHeight="1" spans="1:9">
      <c r="A388" s="386">
        <v>23</v>
      </c>
      <c r="B388" s="414">
        <v>242510300</v>
      </c>
      <c r="C388" s="485" t="s">
        <v>518</v>
      </c>
      <c r="D388" s="430" t="s">
        <v>519</v>
      </c>
      <c r="E388" s="386" t="s">
        <v>23</v>
      </c>
      <c r="F388" s="486"/>
      <c r="G388" s="318"/>
      <c r="H388" s="318"/>
      <c r="I388" s="318"/>
    </row>
    <row r="389" ht="12.75" customHeight="1" spans="1:9">
      <c r="A389" s="386">
        <v>24</v>
      </c>
      <c r="B389" s="414">
        <v>242510057</v>
      </c>
      <c r="C389" s="487" t="s">
        <v>520</v>
      </c>
      <c r="D389" s="481" t="s">
        <v>521</v>
      </c>
      <c r="E389" s="386" t="s">
        <v>23</v>
      </c>
      <c r="F389" s="486"/>
      <c r="G389" s="318"/>
      <c r="H389" s="318"/>
      <c r="I389" s="318"/>
    </row>
    <row r="390" ht="12.75" customHeight="1" spans="1:9">
      <c r="A390" s="386">
        <v>25</v>
      </c>
      <c r="B390" s="414">
        <v>242510186</v>
      </c>
      <c r="C390" s="485" t="s">
        <v>522</v>
      </c>
      <c r="D390" s="430" t="s">
        <v>523</v>
      </c>
      <c r="E390" s="320" t="s">
        <v>23</v>
      </c>
      <c r="F390" s="486"/>
      <c r="G390" s="318"/>
      <c r="H390" s="318"/>
      <c r="I390" s="318"/>
    </row>
    <row r="391" ht="12.75" customHeight="1" spans="1:9">
      <c r="A391" s="386">
        <v>26</v>
      </c>
      <c r="B391" s="414">
        <v>242510339</v>
      </c>
      <c r="C391" s="487" t="s">
        <v>524</v>
      </c>
      <c r="D391" s="481" t="s">
        <v>525</v>
      </c>
      <c r="E391" s="386" t="s">
        <v>18</v>
      </c>
      <c r="F391" s="486"/>
      <c r="G391" s="318"/>
      <c r="H391" s="318"/>
      <c r="I391" s="318"/>
    </row>
    <row r="392" ht="12.75" customHeight="1" spans="1:9">
      <c r="A392" s="386">
        <v>27</v>
      </c>
      <c r="B392" s="414">
        <v>242510377</v>
      </c>
      <c r="C392" s="485" t="s">
        <v>526</v>
      </c>
      <c r="D392" s="430" t="s">
        <v>527</v>
      </c>
      <c r="E392" s="386" t="s">
        <v>18</v>
      </c>
      <c r="F392" s="486"/>
      <c r="G392" s="318"/>
      <c r="H392" s="318"/>
      <c r="I392" s="318"/>
    </row>
    <row r="393" ht="12.75" customHeight="1" spans="1:9">
      <c r="A393" s="386">
        <v>28</v>
      </c>
      <c r="B393" s="414">
        <v>242510266</v>
      </c>
      <c r="C393" s="487" t="s">
        <v>528</v>
      </c>
      <c r="D393" s="481" t="s">
        <v>529</v>
      </c>
      <c r="E393" s="386" t="s">
        <v>18</v>
      </c>
      <c r="F393" s="486"/>
      <c r="G393" s="318"/>
      <c r="H393" s="318"/>
      <c r="I393" s="318"/>
    </row>
    <row r="394" ht="12.75" customHeight="1" spans="1:9">
      <c r="A394" s="386">
        <v>29</v>
      </c>
      <c r="B394" s="414">
        <v>242510064</v>
      </c>
      <c r="C394" s="489" t="s">
        <v>530</v>
      </c>
      <c r="D394" s="417" t="s">
        <v>531</v>
      </c>
      <c r="E394" s="386" t="s">
        <v>18</v>
      </c>
      <c r="F394" s="486"/>
      <c r="G394" s="318"/>
      <c r="H394" s="318"/>
      <c r="I394" s="318"/>
    </row>
    <row r="395" ht="12.75" customHeight="1" spans="1:9">
      <c r="A395" s="386">
        <v>30</v>
      </c>
      <c r="B395" s="414">
        <v>242510305</v>
      </c>
      <c r="C395" s="487" t="s">
        <v>532</v>
      </c>
      <c r="D395" s="481" t="s">
        <v>533</v>
      </c>
      <c r="E395" s="386" t="s">
        <v>23</v>
      </c>
      <c r="F395" s="486"/>
      <c r="G395" s="318"/>
      <c r="H395" s="318"/>
      <c r="I395" s="318"/>
    </row>
    <row r="396" ht="12.75" customHeight="1" spans="1:9">
      <c r="A396" s="386">
        <v>31</v>
      </c>
      <c r="B396" s="414">
        <v>242510033</v>
      </c>
      <c r="C396" s="485" t="s">
        <v>534</v>
      </c>
      <c r="D396" s="417" t="s">
        <v>535</v>
      </c>
      <c r="E396" s="386" t="s">
        <v>18</v>
      </c>
      <c r="F396" s="486"/>
      <c r="G396" s="318"/>
      <c r="H396" s="318"/>
      <c r="I396" s="318"/>
    </row>
    <row r="397" ht="12.75" customHeight="1" spans="1:9">
      <c r="A397" s="386">
        <v>32</v>
      </c>
      <c r="B397" s="414">
        <v>242510035</v>
      </c>
      <c r="C397" s="487" t="s">
        <v>536</v>
      </c>
      <c r="D397" s="481" t="s">
        <v>537</v>
      </c>
      <c r="E397" s="386" t="s">
        <v>23</v>
      </c>
      <c r="F397" s="486"/>
      <c r="G397" s="318"/>
      <c r="H397" s="318"/>
      <c r="I397" s="318"/>
    </row>
    <row r="398" ht="12.75" customHeight="1" spans="1:9">
      <c r="A398" s="386">
        <v>33</v>
      </c>
      <c r="B398" s="414">
        <v>242510382</v>
      </c>
      <c r="C398" s="485" t="s">
        <v>538</v>
      </c>
      <c r="D398" s="430" t="s">
        <v>539</v>
      </c>
      <c r="E398" s="386" t="s">
        <v>23</v>
      </c>
      <c r="F398" s="486"/>
      <c r="G398" s="318"/>
      <c r="H398" s="318"/>
      <c r="I398" s="318"/>
    </row>
    <row r="399" ht="12.75" customHeight="1" spans="1:9">
      <c r="A399" s="386">
        <v>34</v>
      </c>
      <c r="B399" s="414">
        <v>242510306</v>
      </c>
      <c r="C399" s="490" t="s">
        <v>540</v>
      </c>
      <c r="D399" s="488" t="s">
        <v>541</v>
      </c>
      <c r="E399" s="386" t="s">
        <v>18</v>
      </c>
      <c r="F399" s="486"/>
      <c r="G399" s="318"/>
      <c r="H399" s="318"/>
      <c r="I399" s="318"/>
    </row>
    <row r="400" ht="12.75" customHeight="1" spans="1:9">
      <c r="A400" s="386">
        <v>35</v>
      </c>
      <c r="B400" s="414">
        <v>242510343</v>
      </c>
      <c r="C400" s="485" t="s">
        <v>542</v>
      </c>
      <c r="D400" s="430" t="s">
        <v>543</v>
      </c>
      <c r="E400" s="386" t="s">
        <v>23</v>
      </c>
      <c r="F400" s="486"/>
      <c r="G400" s="318"/>
      <c r="H400" s="318"/>
      <c r="I400" s="318"/>
    </row>
    <row r="401" ht="12.75" customHeight="1" spans="1:9">
      <c r="A401" s="386">
        <v>36</v>
      </c>
      <c r="B401" s="414">
        <v>242510072</v>
      </c>
      <c r="C401" s="487" t="s">
        <v>544</v>
      </c>
      <c r="D401" s="481" t="s">
        <v>545</v>
      </c>
      <c r="E401" s="386" t="s">
        <v>18</v>
      </c>
      <c r="F401" s="486"/>
      <c r="G401" s="318"/>
      <c r="H401" s="318"/>
      <c r="I401" s="318"/>
    </row>
    <row r="402" ht="12.75" customHeight="1" spans="1:9">
      <c r="A402" s="386">
        <v>37</v>
      </c>
      <c r="B402" s="414">
        <v>242510192</v>
      </c>
      <c r="C402" s="485" t="s">
        <v>546</v>
      </c>
      <c r="D402" s="430" t="s">
        <v>547</v>
      </c>
      <c r="E402" s="386" t="s">
        <v>23</v>
      </c>
      <c r="F402" s="318"/>
      <c r="G402" s="318"/>
      <c r="H402" s="318"/>
      <c r="I402" s="318"/>
    </row>
    <row r="403" ht="12.75" customHeight="1" spans="1:9">
      <c r="A403" s="386">
        <v>38</v>
      </c>
      <c r="B403" s="414">
        <v>242510272</v>
      </c>
      <c r="C403" s="487" t="s">
        <v>548</v>
      </c>
      <c r="D403" s="481" t="s">
        <v>549</v>
      </c>
      <c r="E403" s="386" t="s">
        <v>23</v>
      </c>
      <c r="F403" s="318"/>
      <c r="G403" s="318"/>
      <c r="H403" s="318"/>
      <c r="I403" s="318"/>
    </row>
    <row r="404" ht="12.75" customHeight="1" spans="1:9">
      <c r="A404" s="386">
        <v>39</v>
      </c>
      <c r="B404" s="414">
        <v>242510386</v>
      </c>
      <c r="C404" s="485" t="s">
        <v>550</v>
      </c>
      <c r="D404" s="430" t="s">
        <v>551</v>
      </c>
      <c r="E404" s="386" t="s">
        <v>18</v>
      </c>
      <c r="F404" s="318"/>
      <c r="G404" s="318"/>
      <c r="H404" s="318"/>
      <c r="I404" s="318"/>
    </row>
    <row r="405" ht="12.75" customHeight="1" spans="1:9">
      <c r="A405" s="386">
        <v>40</v>
      </c>
      <c r="B405" s="414">
        <v>242510117</v>
      </c>
      <c r="C405" s="487" t="s">
        <v>552</v>
      </c>
      <c r="D405" s="481" t="s">
        <v>553</v>
      </c>
      <c r="E405" s="386" t="s">
        <v>18</v>
      </c>
      <c r="F405" s="318"/>
      <c r="G405" s="318"/>
      <c r="H405" s="318"/>
      <c r="I405" s="318"/>
    </row>
    <row r="406" ht="12.75" customHeight="1" spans="1:9">
      <c r="A406" s="386">
        <v>41</v>
      </c>
      <c r="B406" s="414">
        <v>242510313</v>
      </c>
      <c r="C406" s="485" t="s">
        <v>554</v>
      </c>
      <c r="D406" s="430" t="s">
        <v>555</v>
      </c>
      <c r="E406" s="386" t="s">
        <v>18</v>
      </c>
      <c r="F406" s="318"/>
      <c r="G406" s="318"/>
      <c r="H406" s="318"/>
      <c r="I406" s="318"/>
    </row>
    <row r="407" ht="12.75" customHeight="1" spans="1:9">
      <c r="A407" s="386">
        <v>42</v>
      </c>
      <c r="B407" s="414">
        <v>242510156</v>
      </c>
      <c r="C407" s="487" t="s">
        <v>556</v>
      </c>
      <c r="D407" s="488" t="s">
        <v>557</v>
      </c>
      <c r="E407" s="386" t="s">
        <v>23</v>
      </c>
      <c r="F407" s="318"/>
      <c r="G407" s="318"/>
      <c r="H407" s="318"/>
      <c r="I407" s="318"/>
    </row>
    <row r="408" ht="12.75" customHeight="1" spans="1:9">
      <c r="A408" s="386">
        <v>43</v>
      </c>
      <c r="B408" s="414">
        <v>242510119</v>
      </c>
      <c r="C408" s="485" t="s">
        <v>558</v>
      </c>
      <c r="D408" s="430" t="s">
        <v>559</v>
      </c>
      <c r="E408" s="386" t="s">
        <v>18</v>
      </c>
      <c r="F408" s="318"/>
      <c r="G408" s="318"/>
      <c r="H408" s="318"/>
      <c r="I408" s="318"/>
    </row>
    <row r="409" ht="12.75" customHeight="1" spans="1:9">
      <c r="A409" s="386">
        <v>44</v>
      </c>
      <c r="B409" s="414">
        <v>242510159</v>
      </c>
      <c r="C409" s="487" t="s">
        <v>560</v>
      </c>
      <c r="D409" s="481" t="s">
        <v>561</v>
      </c>
      <c r="E409" s="386" t="s">
        <v>23</v>
      </c>
      <c r="F409" s="318"/>
      <c r="G409" s="318"/>
      <c r="H409" s="318"/>
      <c r="I409" s="318"/>
    </row>
    <row r="410" ht="12.75" customHeight="1" spans="1:9">
      <c r="A410" s="386">
        <v>45</v>
      </c>
      <c r="B410" s="414">
        <v>242510199</v>
      </c>
      <c r="C410" s="485" t="s">
        <v>562</v>
      </c>
      <c r="D410" s="430" t="s">
        <v>563</v>
      </c>
      <c r="E410" s="386" t="s">
        <v>23</v>
      </c>
      <c r="F410" s="318"/>
      <c r="G410" s="318"/>
      <c r="H410" s="318"/>
      <c r="I410" s="318"/>
    </row>
    <row r="411" s="292" customFormat="1" ht="12.75" customHeight="1" spans="1:9">
      <c r="A411" s="390"/>
      <c r="B411" s="394"/>
      <c r="C411" s="447"/>
      <c r="D411" s="473" t="s">
        <v>89</v>
      </c>
      <c r="E411" s="396">
        <f>COUNTIF(E366:E410,"L")</f>
        <v>21</v>
      </c>
    </row>
    <row r="412" s="292" customFormat="1" ht="12.75" customHeight="1" spans="1:9">
      <c r="A412" s="390"/>
      <c r="B412" s="474"/>
      <c r="C412" s="447"/>
      <c r="D412" s="473" t="s">
        <v>90</v>
      </c>
      <c r="E412" s="396">
        <f>COUNTIF(E366:E410,"P")</f>
        <v>24</v>
      </c>
    </row>
    <row r="413" s="292" customFormat="1" ht="12.75" customHeight="1" spans="1:9">
      <c r="A413" s="390"/>
      <c r="B413" s="394"/>
      <c r="C413" s="447"/>
      <c r="D413" s="456"/>
      <c r="E413" s="390"/>
    </row>
    <row r="414" s="292" customFormat="1" ht="12.75" customHeight="1" spans="1:9">
      <c r="A414" s="390"/>
      <c r="B414" s="394" t="s">
        <v>91</v>
      </c>
      <c r="C414" s="447"/>
      <c r="D414" s="456"/>
      <c r="E414" s="390"/>
      <c r="F414" s="292" t="s">
        <v>92</v>
      </c>
    </row>
    <row r="415" s="292" customFormat="1" ht="12.75" customHeight="1" spans="1:9">
      <c r="A415" s="390"/>
      <c r="B415" s="394"/>
      <c r="C415" s="447"/>
      <c r="D415" s="456"/>
      <c r="E415" s="390"/>
    </row>
    <row r="416" s="292" customFormat="1" ht="12.75" customHeight="1" spans="1:9">
      <c r="A416" s="390"/>
      <c r="B416" s="394"/>
      <c r="C416" s="447"/>
      <c r="D416" s="456"/>
      <c r="E416" s="390"/>
    </row>
    <row r="417" s="292" customFormat="1" ht="12.75" customHeight="1" spans="1:9">
      <c r="A417" s="390"/>
      <c r="B417" s="394"/>
      <c r="C417" s="447"/>
      <c r="D417" s="456"/>
      <c r="E417" s="390"/>
    </row>
    <row r="418" s="292" customFormat="1" ht="12.75" customHeight="1" spans="1:9">
      <c r="A418" s="390"/>
      <c r="B418" s="475" t="s">
        <v>93</v>
      </c>
      <c r="C418" s="447"/>
      <c r="D418" s="456"/>
      <c r="E418" s="390"/>
      <c r="F418" s="292" t="s">
        <v>94</v>
      </c>
    </row>
    <row r="419" s="292" customFormat="1" ht="12.75" customHeight="1" spans="1:9">
      <c r="A419" s="390"/>
      <c r="B419" s="475"/>
      <c r="C419" s="447"/>
      <c r="D419" s="456"/>
      <c r="E419" s="390"/>
    </row>
    <row r="420" s="292" customFormat="1" ht="12.75" customHeight="1" spans="1:9">
      <c r="A420" s="390"/>
      <c r="B420" s="475"/>
      <c r="C420" s="447"/>
      <c r="D420" s="456"/>
      <c r="E420" s="390"/>
    </row>
    <row r="421" s="292" customFormat="1" ht="12.75" customHeight="1" spans="1:9">
      <c r="A421" s="390"/>
      <c r="B421" s="398" t="s">
        <v>95</v>
      </c>
      <c r="C421" s="447"/>
      <c r="D421" s="456"/>
      <c r="E421" s="390"/>
    </row>
    <row r="422" s="289" customFormat="1" ht="12.75" customHeight="1" spans="1:9">
      <c r="A422" s="390"/>
      <c r="B422" s="339"/>
      <c r="C422" s="423"/>
      <c r="D422" s="301"/>
      <c r="E422" s="293"/>
    </row>
    <row r="423" ht="12.75" customHeight="1" spans="1:9">
      <c r="A423" s="297" t="s">
        <v>1</v>
      </c>
      <c r="B423" s="297"/>
      <c r="C423" s="297"/>
      <c r="D423" s="297"/>
      <c r="E423" s="297"/>
      <c r="F423" s="297"/>
      <c r="G423" s="297"/>
      <c r="H423" s="297"/>
      <c r="I423" s="297"/>
    </row>
    <row r="424" ht="12.75" customHeight="1" spans="1:9">
      <c r="A424" s="297" t="s">
        <v>2</v>
      </c>
      <c r="B424" s="297"/>
      <c r="C424" s="297"/>
      <c r="D424" s="297"/>
      <c r="E424" s="297"/>
      <c r="F424" s="297"/>
      <c r="G424" s="297"/>
      <c r="H424" s="297"/>
      <c r="I424" s="297"/>
    </row>
    <row r="425" ht="12.75" customHeight="1" spans="1:9">
      <c r="A425" s="297" t="s">
        <v>3</v>
      </c>
      <c r="B425" s="297"/>
      <c r="C425" s="297"/>
      <c r="D425" s="297"/>
      <c r="E425" s="297"/>
      <c r="F425" s="297"/>
      <c r="G425" s="297"/>
      <c r="H425" s="297"/>
      <c r="I425" s="297"/>
    </row>
    <row r="426" s="291" customFormat="1" ht="16.5" customHeight="1" spans="1:9">
      <c r="A426" s="298" t="s">
        <v>4</v>
      </c>
      <c r="B426" s="298"/>
      <c r="C426" s="298"/>
      <c r="D426" s="298"/>
      <c r="E426" s="298"/>
      <c r="F426" s="298"/>
      <c r="G426" s="298"/>
      <c r="H426" s="298"/>
      <c r="I426" s="298"/>
    </row>
    <row r="427" ht="12.75" customHeight="1" spans="1:9">
      <c r="A427" s="299" t="s">
        <v>5</v>
      </c>
      <c r="B427" s="299"/>
      <c r="C427" s="299"/>
      <c r="D427" s="299"/>
      <c r="E427" s="299"/>
      <c r="F427" s="299"/>
      <c r="G427" s="299"/>
      <c r="H427" s="299"/>
      <c r="I427" s="299"/>
    </row>
    <row r="428" customHeight="1" spans="1:9">
      <c r="A428" s="299"/>
      <c r="B428" s="299"/>
      <c r="C428" s="299"/>
      <c r="D428" s="299"/>
      <c r="E428" s="299"/>
      <c r="F428" s="299"/>
      <c r="G428" s="299"/>
      <c r="H428" s="299"/>
      <c r="I428" s="299"/>
    </row>
    <row r="429" ht="12.75" customHeight="1" spans="1:9">
      <c r="A429" s="299"/>
      <c r="B429" s="299"/>
      <c r="C429" s="299"/>
      <c r="D429" s="299"/>
      <c r="E429" s="299"/>
      <c r="F429" s="299"/>
      <c r="G429" s="299"/>
      <c r="H429" s="299"/>
      <c r="I429" s="299"/>
    </row>
    <row r="430" s="289" customFormat="1" ht="12.75" customHeight="1" spans="1:9">
      <c r="A430" s="300" t="s">
        <v>6</v>
      </c>
      <c r="B430" s="300"/>
      <c r="C430" s="300"/>
      <c r="D430" s="300"/>
      <c r="E430" s="300"/>
      <c r="F430" s="300"/>
      <c r="G430" s="300"/>
      <c r="H430" s="300"/>
      <c r="I430" s="300"/>
    </row>
    <row r="431" s="289" customFormat="1" ht="12.75" customHeight="1" spans="1:9">
      <c r="A431" s="300"/>
      <c r="B431" s="300"/>
      <c r="C431" s="300"/>
      <c r="D431" s="300"/>
      <c r="E431" s="300"/>
      <c r="F431" s="300"/>
      <c r="G431" s="300"/>
      <c r="H431" s="300"/>
      <c r="I431" s="300"/>
    </row>
    <row r="432" s="289" customFormat="1" customHeight="1" spans="1:9">
      <c r="A432" s="456"/>
      <c r="B432" s="302" t="s">
        <v>564</v>
      </c>
      <c r="C432" s="406"/>
      <c r="D432" s="301"/>
      <c r="E432" s="407" t="s">
        <v>8</v>
      </c>
      <c r="F432" s="306" t="s">
        <v>565</v>
      </c>
    </row>
    <row r="433" s="290" customFormat="1" ht="24.75" customHeight="1" spans="1:16">
      <c r="A433" s="461" t="s">
        <v>10</v>
      </c>
      <c r="B433" s="308" t="s">
        <v>11</v>
      </c>
      <c r="C433" s="309" t="s">
        <v>12</v>
      </c>
      <c r="D433" s="308" t="s">
        <v>13</v>
      </c>
      <c r="E433" s="308" t="s">
        <v>14</v>
      </c>
      <c r="F433" s="310"/>
      <c r="G433" s="310"/>
      <c r="H433" s="491"/>
      <c r="I433" s="492"/>
    </row>
    <row r="434" ht="12.75" customHeight="1" spans="1:16">
      <c r="A434" s="386">
        <v>1</v>
      </c>
      <c r="B434" s="414">
        <v>242510201</v>
      </c>
      <c r="C434" s="467" t="s">
        <v>566</v>
      </c>
      <c r="D434" s="277" t="s">
        <v>567</v>
      </c>
      <c r="E434" s="386" t="s">
        <v>23</v>
      </c>
      <c r="F434" s="317"/>
      <c r="G434" s="318"/>
      <c r="H434" s="318"/>
      <c r="I434" s="318"/>
    </row>
    <row r="435" ht="12.75" customHeight="1" spans="1:16">
      <c r="A435" s="386">
        <v>2</v>
      </c>
      <c r="B435" s="414">
        <v>242510121</v>
      </c>
      <c r="C435" s="465" t="s">
        <v>568</v>
      </c>
      <c r="D435" s="275" t="s">
        <v>569</v>
      </c>
      <c r="E435" s="386" t="s">
        <v>23</v>
      </c>
      <c r="F435" s="317"/>
      <c r="G435" s="318"/>
      <c r="H435" s="318"/>
      <c r="I435" s="318"/>
    </row>
    <row r="436" ht="12.75" customHeight="1" spans="1:16">
      <c r="A436" s="386">
        <v>3</v>
      </c>
      <c r="B436" s="414">
        <v>242510002</v>
      </c>
      <c r="C436" s="467" t="s">
        <v>570</v>
      </c>
      <c r="D436" s="277" t="s">
        <v>571</v>
      </c>
      <c r="E436" s="386" t="s">
        <v>18</v>
      </c>
      <c r="F436" s="317"/>
      <c r="G436" s="318"/>
      <c r="H436" s="318"/>
      <c r="I436" s="318"/>
    </row>
    <row r="437" ht="12.75" customHeight="1" spans="1:16">
      <c r="A437" s="386">
        <v>4</v>
      </c>
      <c r="B437" s="414">
        <v>242510165</v>
      </c>
      <c r="C437" s="465" t="s">
        <v>572</v>
      </c>
      <c r="D437" s="275" t="s">
        <v>573</v>
      </c>
      <c r="E437" s="386" t="s">
        <v>18</v>
      </c>
      <c r="F437" s="317"/>
      <c r="G437" s="318"/>
      <c r="H437" s="318"/>
      <c r="I437" s="318"/>
    </row>
    <row r="438" ht="12.75" customHeight="1" spans="1:16">
      <c r="A438" s="386">
        <v>5</v>
      </c>
      <c r="B438" s="414">
        <v>242510122</v>
      </c>
      <c r="C438" s="467" t="s">
        <v>574</v>
      </c>
      <c r="D438" s="277" t="s">
        <v>575</v>
      </c>
      <c r="E438" s="386" t="s">
        <v>18</v>
      </c>
      <c r="F438" s="317"/>
      <c r="G438" s="318"/>
      <c r="H438" s="318"/>
      <c r="I438" s="318"/>
    </row>
    <row r="439" ht="12.75" customHeight="1" spans="1:16">
      <c r="A439" s="386">
        <v>6</v>
      </c>
      <c r="B439" s="414">
        <v>242510359</v>
      </c>
      <c r="C439" s="465" t="s">
        <v>576</v>
      </c>
      <c r="D439" s="275" t="s">
        <v>577</v>
      </c>
      <c r="E439" s="386" t="s">
        <v>18</v>
      </c>
      <c r="F439" s="317"/>
      <c r="G439" s="318"/>
      <c r="H439" s="318"/>
      <c r="I439" s="318"/>
    </row>
    <row r="440" ht="12.75" customHeight="1" spans="1:16">
      <c r="A440" s="386">
        <v>7</v>
      </c>
      <c r="B440" s="414">
        <v>242510395</v>
      </c>
      <c r="C440" s="467" t="s">
        <v>578</v>
      </c>
      <c r="D440" s="277" t="s">
        <v>579</v>
      </c>
      <c r="E440" s="386" t="s">
        <v>23</v>
      </c>
      <c r="F440" s="317"/>
      <c r="G440" s="318"/>
      <c r="H440" s="318"/>
      <c r="I440" s="318"/>
    </row>
    <row r="441" ht="12.75" customHeight="1" spans="1:16">
      <c r="A441" s="386">
        <v>8</v>
      </c>
      <c r="B441" s="414">
        <v>242510326</v>
      </c>
      <c r="C441" s="465" t="s">
        <v>580</v>
      </c>
      <c r="D441" s="275" t="s">
        <v>581</v>
      </c>
      <c r="E441" s="386" t="s">
        <v>23</v>
      </c>
      <c r="F441" s="317"/>
      <c r="G441" s="318"/>
      <c r="H441" s="318"/>
      <c r="I441" s="318"/>
    </row>
    <row r="442" ht="12.75" customHeight="1" spans="1:16">
      <c r="A442" s="386">
        <v>9</v>
      </c>
      <c r="B442" s="414">
        <v>242510361</v>
      </c>
      <c r="C442" s="467" t="s">
        <v>582</v>
      </c>
      <c r="D442" s="277" t="s">
        <v>583</v>
      </c>
      <c r="E442" s="442" t="s">
        <v>23</v>
      </c>
      <c r="F442" s="317"/>
      <c r="G442" s="318"/>
      <c r="H442" s="318"/>
      <c r="I442" s="318"/>
      <c r="J442" s="493"/>
      <c r="K442" s="294"/>
      <c r="L442" s="455"/>
      <c r="M442" s="455"/>
      <c r="N442" s="494"/>
      <c r="O442" s="455"/>
      <c r="P442" s="123"/>
    </row>
    <row r="443" ht="12.75" customHeight="1" spans="1:16">
      <c r="A443" s="386">
        <v>10</v>
      </c>
      <c r="B443" s="414">
        <v>242510012</v>
      </c>
      <c r="C443" s="465" t="s">
        <v>584</v>
      </c>
      <c r="D443" s="275" t="s">
        <v>585</v>
      </c>
      <c r="E443" s="386" t="s">
        <v>23</v>
      </c>
      <c r="F443" s="317"/>
      <c r="G443" s="318"/>
      <c r="H443" s="318"/>
      <c r="I443" s="318"/>
    </row>
    <row r="444" ht="12.75" customHeight="1" spans="1:16">
      <c r="A444" s="386">
        <v>11</v>
      </c>
      <c r="B444" s="414">
        <v>242510327</v>
      </c>
      <c r="C444" s="465" t="s">
        <v>586</v>
      </c>
      <c r="D444" s="275" t="s">
        <v>587</v>
      </c>
      <c r="E444" s="386" t="s">
        <v>18</v>
      </c>
      <c r="F444" s="317"/>
      <c r="G444" s="318"/>
      <c r="H444" s="318"/>
      <c r="I444" s="318"/>
    </row>
    <row r="445" ht="12.75" customHeight="1" spans="1:16">
      <c r="A445" s="386">
        <v>12</v>
      </c>
      <c r="B445" s="414">
        <v>242510250</v>
      </c>
      <c r="C445" s="467" t="s">
        <v>588</v>
      </c>
      <c r="D445" s="281" t="s">
        <v>589</v>
      </c>
      <c r="E445" s="386" t="s">
        <v>23</v>
      </c>
      <c r="F445" s="317"/>
      <c r="G445" s="318"/>
      <c r="H445" s="495"/>
      <c r="I445" s="496"/>
    </row>
    <row r="446" ht="12.75" customHeight="1" spans="1:16">
      <c r="A446" s="386">
        <v>13</v>
      </c>
      <c r="B446" s="414">
        <v>242510131</v>
      </c>
      <c r="C446" s="465" t="s">
        <v>590</v>
      </c>
      <c r="D446" s="275" t="s">
        <v>591</v>
      </c>
      <c r="E446" s="386" t="s">
        <v>23</v>
      </c>
      <c r="F446" s="317"/>
      <c r="G446" s="318"/>
      <c r="H446" s="318"/>
      <c r="I446" s="318"/>
    </row>
    <row r="447" ht="12.75" customHeight="1" spans="1:16">
      <c r="A447" s="386">
        <v>14</v>
      </c>
      <c r="B447" s="414">
        <v>242510174</v>
      </c>
      <c r="C447" s="467" t="s">
        <v>592</v>
      </c>
      <c r="D447" s="277" t="s">
        <v>593</v>
      </c>
      <c r="E447" s="386" t="s">
        <v>23</v>
      </c>
      <c r="F447" s="317"/>
      <c r="G447" s="318"/>
      <c r="H447" s="318"/>
      <c r="I447" s="318"/>
    </row>
    <row r="448" ht="12.75" customHeight="1" spans="1:16">
      <c r="A448" s="386">
        <v>15</v>
      </c>
      <c r="B448" s="414">
        <v>242510294</v>
      </c>
      <c r="C448" s="465" t="s">
        <v>594</v>
      </c>
      <c r="D448" s="275" t="s">
        <v>595</v>
      </c>
      <c r="E448" s="386" t="s">
        <v>23</v>
      </c>
      <c r="F448" s="317"/>
      <c r="G448" s="318"/>
      <c r="H448" s="411"/>
      <c r="I448" s="497"/>
    </row>
    <row r="449" ht="12.75" customHeight="1" spans="1:9">
      <c r="A449" s="386">
        <v>16</v>
      </c>
      <c r="B449" s="414">
        <v>242510254</v>
      </c>
      <c r="C449" s="467" t="s">
        <v>596</v>
      </c>
      <c r="D449" s="277" t="s">
        <v>597</v>
      </c>
      <c r="E449" s="386" t="s">
        <v>18</v>
      </c>
      <c r="F449" s="317"/>
      <c r="G449" s="318"/>
      <c r="H449" s="318"/>
      <c r="I449" s="318"/>
    </row>
    <row r="450" ht="12.75" customHeight="1" spans="1:9">
      <c r="A450" s="386">
        <v>17</v>
      </c>
      <c r="B450" s="414">
        <v>242510367</v>
      </c>
      <c r="C450" s="465" t="s">
        <v>598</v>
      </c>
      <c r="D450" s="275" t="s">
        <v>599</v>
      </c>
      <c r="E450" s="386" t="s">
        <v>18</v>
      </c>
      <c r="F450" s="317"/>
      <c r="G450" s="318"/>
      <c r="H450" s="318"/>
      <c r="I450" s="318"/>
    </row>
    <row r="451" ht="12.75" customHeight="1" spans="1:9">
      <c r="A451" s="386">
        <v>18</v>
      </c>
      <c r="B451" s="414">
        <v>242510178</v>
      </c>
      <c r="C451" s="467" t="s">
        <v>600</v>
      </c>
      <c r="D451" s="277" t="s">
        <v>601</v>
      </c>
      <c r="E451" s="386" t="s">
        <v>23</v>
      </c>
      <c r="F451" s="317"/>
      <c r="G451" s="318"/>
      <c r="H451" s="318"/>
      <c r="I451" s="318"/>
    </row>
    <row r="452" ht="12.75" customHeight="1" spans="1:9">
      <c r="A452" s="386">
        <v>19</v>
      </c>
      <c r="B452" s="414">
        <v>242510179</v>
      </c>
      <c r="C452" s="465" t="s">
        <v>602</v>
      </c>
      <c r="D452" s="275" t="s">
        <v>603</v>
      </c>
      <c r="E452" s="386" t="s">
        <v>18</v>
      </c>
      <c r="F452" s="317"/>
      <c r="G452" s="318"/>
      <c r="H452" s="318"/>
      <c r="I452" s="318"/>
    </row>
    <row r="453" ht="12.75" customHeight="1" spans="1:9">
      <c r="A453" s="386">
        <v>20</v>
      </c>
      <c r="B453" s="414">
        <v>242510260</v>
      </c>
      <c r="C453" s="477" t="s">
        <v>604</v>
      </c>
      <c r="D453" s="281" t="s">
        <v>605</v>
      </c>
      <c r="E453" s="386" t="s">
        <v>23</v>
      </c>
      <c r="F453" s="317"/>
      <c r="G453" s="318"/>
      <c r="H453" s="318"/>
      <c r="I453" s="318"/>
    </row>
    <row r="454" ht="12.75" customHeight="1" spans="1:9">
      <c r="A454" s="386">
        <v>21</v>
      </c>
      <c r="B454" s="414">
        <v>242510225</v>
      </c>
      <c r="C454" s="468" t="s">
        <v>606</v>
      </c>
      <c r="D454" s="279" t="s">
        <v>607</v>
      </c>
      <c r="E454" s="386" t="s">
        <v>23</v>
      </c>
      <c r="F454" s="317"/>
      <c r="G454" s="318"/>
      <c r="H454" s="318"/>
      <c r="I454" s="318"/>
    </row>
    <row r="455" ht="12.75" customHeight="1" spans="1:9">
      <c r="A455" s="386">
        <v>22</v>
      </c>
      <c r="B455" s="414">
        <v>242510374</v>
      </c>
      <c r="C455" s="467" t="s">
        <v>608</v>
      </c>
      <c r="D455" s="281" t="s">
        <v>609</v>
      </c>
      <c r="E455" s="386" t="s">
        <v>23</v>
      </c>
      <c r="F455" s="317"/>
      <c r="G455" s="318"/>
      <c r="H455" s="318"/>
      <c r="I455" s="318"/>
    </row>
    <row r="456" ht="12.75" customHeight="1" spans="1:9">
      <c r="A456" s="386">
        <v>23</v>
      </c>
      <c r="B456" s="414">
        <v>242510104</v>
      </c>
      <c r="C456" s="465" t="s">
        <v>610</v>
      </c>
      <c r="D456" s="275" t="s">
        <v>611</v>
      </c>
      <c r="E456" s="386" t="s">
        <v>23</v>
      </c>
      <c r="F456" s="317"/>
      <c r="G456" s="318"/>
      <c r="H456" s="318"/>
      <c r="I456" s="318"/>
    </row>
    <row r="457" ht="12.75" customHeight="1" spans="1:9">
      <c r="A457" s="386">
        <v>24</v>
      </c>
      <c r="B457" s="414">
        <v>242510375</v>
      </c>
      <c r="C457" s="467" t="s">
        <v>612</v>
      </c>
      <c r="D457" s="277" t="s">
        <v>613</v>
      </c>
      <c r="E457" s="386" t="s">
        <v>23</v>
      </c>
      <c r="F457" s="317"/>
      <c r="G457" s="318"/>
      <c r="H457" s="318"/>
      <c r="I457" s="318"/>
    </row>
    <row r="458" ht="12.75" customHeight="1" spans="1:9">
      <c r="A458" s="386">
        <v>25</v>
      </c>
      <c r="B458" s="414">
        <v>242510029</v>
      </c>
      <c r="C458" s="465" t="s">
        <v>614</v>
      </c>
      <c r="D458" s="275" t="s">
        <v>615</v>
      </c>
      <c r="E458" s="386" t="s">
        <v>23</v>
      </c>
      <c r="F458" s="317"/>
      <c r="G458" s="318"/>
      <c r="H458" s="318"/>
      <c r="I458" s="318"/>
    </row>
    <row r="459" ht="12.75" customHeight="1" spans="1:9">
      <c r="A459" s="386">
        <v>26</v>
      </c>
      <c r="B459" s="414">
        <v>242510106</v>
      </c>
      <c r="C459" s="467" t="s">
        <v>616</v>
      </c>
      <c r="D459" s="277" t="s">
        <v>617</v>
      </c>
      <c r="E459" s="386" t="s">
        <v>23</v>
      </c>
      <c r="F459" s="317"/>
      <c r="G459" s="318"/>
      <c r="H459" s="318"/>
      <c r="I459" s="318"/>
    </row>
    <row r="460" ht="12.75" customHeight="1" spans="1:9">
      <c r="A460" s="386">
        <v>27</v>
      </c>
      <c r="B460" s="414">
        <v>242510263</v>
      </c>
      <c r="C460" s="465" t="s">
        <v>618</v>
      </c>
      <c r="D460" s="275" t="s">
        <v>619</v>
      </c>
      <c r="E460" s="386" t="s">
        <v>23</v>
      </c>
      <c r="F460" s="317"/>
      <c r="G460" s="318"/>
      <c r="H460" s="318"/>
      <c r="I460" s="318"/>
    </row>
    <row r="461" ht="12.75" customHeight="1" spans="1:9">
      <c r="A461" s="386">
        <v>28</v>
      </c>
      <c r="B461" s="414">
        <v>242510338</v>
      </c>
      <c r="C461" s="467" t="s">
        <v>620</v>
      </c>
      <c r="D461" s="277" t="s">
        <v>621</v>
      </c>
      <c r="E461" s="386" t="s">
        <v>23</v>
      </c>
      <c r="F461" s="317"/>
      <c r="G461" s="318"/>
      <c r="H461" s="318"/>
      <c r="I461" s="318"/>
    </row>
    <row r="462" ht="12.75" customHeight="1" spans="1:9">
      <c r="A462" s="386">
        <v>29</v>
      </c>
      <c r="B462" s="414">
        <v>242510410</v>
      </c>
      <c r="C462" s="465" t="s">
        <v>622</v>
      </c>
      <c r="D462" s="275" t="s">
        <v>623</v>
      </c>
      <c r="E462" s="403" t="s">
        <v>18</v>
      </c>
      <c r="F462" s="317"/>
      <c r="G462" s="318"/>
      <c r="H462" s="318"/>
      <c r="I462" s="318"/>
    </row>
    <row r="463" ht="12.75" customHeight="1" spans="1:9">
      <c r="A463" s="386">
        <v>30</v>
      </c>
      <c r="B463" s="414">
        <v>242510304</v>
      </c>
      <c r="C463" s="467" t="s">
        <v>624</v>
      </c>
      <c r="D463" s="277" t="s">
        <v>625</v>
      </c>
      <c r="E463" s="386" t="s">
        <v>18</v>
      </c>
      <c r="F463" s="317"/>
      <c r="G463" s="318"/>
      <c r="H463" s="318"/>
      <c r="I463" s="318"/>
    </row>
    <row r="464" ht="12.75" customHeight="1" spans="1:9">
      <c r="A464" s="386">
        <v>31</v>
      </c>
      <c r="B464" s="414">
        <v>242510145</v>
      </c>
      <c r="C464" s="465" t="s">
        <v>626</v>
      </c>
      <c r="D464" s="275" t="s">
        <v>627</v>
      </c>
      <c r="E464" s="386" t="s">
        <v>18</v>
      </c>
      <c r="F464" s="317"/>
      <c r="G464" s="318"/>
      <c r="H464" s="318"/>
      <c r="I464" s="318"/>
    </row>
    <row r="465" ht="12.75" customHeight="1" spans="1:9">
      <c r="A465" s="386">
        <v>32</v>
      </c>
      <c r="B465" s="414">
        <v>242510065</v>
      </c>
      <c r="C465" s="467" t="s">
        <v>628</v>
      </c>
      <c r="D465" s="277" t="s">
        <v>629</v>
      </c>
      <c r="E465" s="386" t="s">
        <v>18</v>
      </c>
      <c r="F465" s="317"/>
      <c r="G465" s="318"/>
      <c r="H465" s="318"/>
      <c r="I465" s="318"/>
    </row>
    <row r="466" ht="12.75" customHeight="1" spans="1:9">
      <c r="A466" s="386">
        <v>33</v>
      </c>
      <c r="B466" s="414">
        <v>242510342</v>
      </c>
      <c r="C466" s="465" t="s">
        <v>630</v>
      </c>
      <c r="D466" s="275" t="s">
        <v>631</v>
      </c>
      <c r="E466" s="386" t="s">
        <v>23</v>
      </c>
      <c r="F466" s="317"/>
      <c r="G466" s="318"/>
      <c r="H466" s="318"/>
      <c r="I466" s="318"/>
    </row>
    <row r="467" ht="12.75" customHeight="1" spans="1:9">
      <c r="A467" s="386">
        <v>34</v>
      </c>
      <c r="B467" s="414">
        <v>242510148</v>
      </c>
      <c r="C467" s="477" t="s">
        <v>632</v>
      </c>
      <c r="D467" s="281" t="s">
        <v>633</v>
      </c>
      <c r="E467" s="403" t="s">
        <v>18</v>
      </c>
      <c r="F467" s="317"/>
      <c r="G467" s="318"/>
      <c r="H467" s="318"/>
      <c r="I467" s="318"/>
    </row>
    <row r="468" ht="12.75" customHeight="1" spans="1:9">
      <c r="A468" s="386">
        <v>35</v>
      </c>
      <c r="B468" s="414">
        <v>242510383</v>
      </c>
      <c r="C468" s="465" t="s">
        <v>634</v>
      </c>
      <c r="D468" s="279" t="s">
        <v>635</v>
      </c>
      <c r="E468" s="386" t="s">
        <v>23</v>
      </c>
      <c r="F468" s="317"/>
      <c r="G468" s="318"/>
      <c r="H468" s="318"/>
      <c r="I468" s="318"/>
    </row>
    <row r="469" ht="12.75" customHeight="1" spans="1:9">
      <c r="A469" s="386">
        <v>36</v>
      </c>
      <c r="B469" s="414">
        <v>242510112</v>
      </c>
      <c r="C469" s="498" t="s">
        <v>636</v>
      </c>
      <c r="D469" s="499" t="s">
        <v>637</v>
      </c>
      <c r="E469" s="479" t="s">
        <v>18</v>
      </c>
      <c r="F469" s="326"/>
      <c r="G469" s="327"/>
      <c r="H469" s="327"/>
      <c r="I469" s="327"/>
    </row>
    <row r="470" ht="12.75" customHeight="1" spans="1:9">
      <c r="A470" s="386">
        <v>37</v>
      </c>
      <c r="B470" s="414">
        <v>242510073</v>
      </c>
      <c r="C470" s="465" t="s">
        <v>638</v>
      </c>
      <c r="D470" s="275" t="s">
        <v>639</v>
      </c>
      <c r="E470" s="386" t="s">
        <v>23</v>
      </c>
      <c r="F470" s="318"/>
      <c r="G470" s="318"/>
      <c r="H470" s="318"/>
      <c r="I470" s="318"/>
    </row>
    <row r="471" ht="12.75" customHeight="1" spans="1:9">
      <c r="A471" s="386">
        <v>38</v>
      </c>
      <c r="B471" s="414">
        <v>242510036</v>
      </c>
      <c r="C471" s="467" t="s">
        <v>640</v>
      </c>
      <c r="D471" s="277" t="s">
        <v>641</v>
      </c>
      <c r="E471" s="386" t="s">
        <v>23</v>
      </c>
      <c r="F471" s="318"/>
      <c r="G471" s="318"/>
      <c r="H471" s="318"/>
      <c r="I471" s="318"/>
    </row>
    <row r="472" ht="12.75" customHeight="1" spans="1:9">
      <c r="A472" s="386">
        <v>39</v>
      </c>
      <c r="B472" s="414">
        <v>242510419</v>
      </c>
      <c r="C472" s="467" t="s">
        <v>642</v>
      </c>
      <c r="D472" s="277" t="s">
        <v>643</v>
      </c>
      <c r="E472" s="386" t="s">
        <v>23</v>
      </c>
      <c r="F472" s="318"/>
      <c r="G472" s="318"/>
      <c r="H472" s="318"/>
      <c r="I472" s="318"/>
    </row>
    <row r="473" ht="12.75" customHeight="1" spans="1:9">
      <c r="A473" s="386">
        <v>40</v>
      </c>
      <c r="B473" s="414">
        <v>242510114</v>
      </c>
      <c r="C473" s="465" t="s">
        <v>644</v>
      </c>
      <c r="D473" s="275" t="s">
        <v>645</v>
      </c>
      <c r="E473" s="386" t="s">
        <v>23</v>
      </c>
      <c r="F473" s="318"/>
      <c r="G473" s="318"/>
      <c r="H473" s="318"/>
      <c r="I473" s="318"/>
    </row>
    <row r="474" ht="12.75" customHeight="1" spans="1:9">
      <c r="A474" s="386">
        <v>41</v>
      </c>
      <c r="B474" s="414">
        <v>242510077</v>
      </c>
      <c r="C474" s="467" t="s">
        <v>646</v>
      </c>
      <c r="D474" s="277" t="s">
        <v>647</v>
      </c>
      <c r="E474" s="386" t="s">
        <v>18</v>
      </c>
      <c r="F474" s="318"/>
      <c r="G474" s="318"/>
      <c r="H474" s="318"/>
      <c r="I474" s="318"/>
    </row>
    <row r="475" ht="12.75" customHeight="1" spans="1:9">
      <c r="A475" s="386">
        <v>42</v>
      </c>
      <c r="B475" s="414">
        <v>242510194</v>
      </c>
      <c r="C475" s="465" t="s">
        <v>648</v>
      </c>
      <c r="D475" s="275" t="s">
        <v>649</v>
      </c>
      <c r="E475" s="386" t="s">
        <v>18</v>
      </c>
      <c r="F475" s="318"/>
      <c r="G475" s="318"/>
      <c r="H475" s="318"/>
      <c r="I475" s="318"/>
    </row>
    <row r="476" ht="12.75" customHeight="1" spans="1:9">
      <c r="A476" s="386">
        <v>43</v>
      </c>
      <c r="B476" s="414">
        <v>242510423</v>
      </c>
      <c r="C476" s="467" t="s">
        <v>650</v>
      </c>
      <c r="D476" s="277" t="s">
        <v>651</v>
      </c>
      <c r="E476" s="386" t="s">
        <v>18</v>
      </c>
      <c r="F476" s="318"/>
      <c r="G476" s="318"/>
      <c r="H476" s="318"/>
      <c r="I476" s="318"/>
    </row>
    <row r="477" ht="12.75" customHeight="1" spans="1:9">
      <c r="A477" s="386">
        <v>44</v>
      </c>
      <c r="B477" s="414">
        <v>242510198</v>
      </c>
      <c r="C477" s="465" t="s">
        <v>652</v>
      </c>
      <c r="D477" s="275" t="s">
        <v>653</v>
      </c>
      <c r="E477" s="386" t="s">
        <v>23</v>
      </c>
      <c r="F477" s="318"/>
      <c r="G477" s="318"/>
      <c r="H477" s="318"/>
      <c r="I477" s="318"/>
    </row>
    <row r="478" s="292" customFormat="1" ht="12.75" customHeight="1" spans="1:9">
      <c r="B478" s="394"/>
      <c r="C478" s="447"/>
      <c r="D478" s="473" t="s">
        <v>89</v>
      </c>
      <c r="E478" s="396">
        <f>COUNTIF(E433:E477,"L")</f>
        <v>27</v>
      </c>
    </row>
    <row r="479" s="292" customFormat="1" ht="12.75" customHeight="1" spans="1:9">
      <c r="B479" s="394"/>
      <c r="C479" s="447"/>
      <c r="D479" s="473" t="s">
        <v>90</v>
      </c>
      <c r="E479" s="396">
        <f>COUNTIF(E433:E477,"P")</f>
        <v>17</v>
      </c>
    </row>
    <row r="480" s="292" customFormat="1" ht="12.75" customHeight="1" spans="1:9">
      <c r="B480" s="394"/>
      <c r="C480" s="447"/>
      <c r="D480" s="456"/>
      <c r="E480" s="390"/>
    </row>
    <row r="481" s="292" customFormat="1" ht="12.75" customHeight="1" spans="1:9">
      <c r="B481" s="394" t="s">
        <v>91</v>
      </c>
      <c r="C481" s="447"/>
      <c r="D481" s="456"/>
      <c r="E481" s="390"/>
      <c r="F481" s="292" t="s">
        <v>92</v>
      </c>
    </row>
    <row r="482" s="292" customFormat="1" ht="12.75" customHeight="1" spans="1:9">
      <c r="B482" s="394"/>
      <c r="C482" s="447"/>
      <c r="D482" s="456"/>
      <c r="E482" s="390"/>
    </row>
    <row r="483" s="292" customFormat="1" ht="12.75" customHeight="1" spans="1:9">
      <c r="B483" s="394"/>
      <c r="C483" s="447"/>
      <c r="D483" s="456"/>
      <c r="E483" s="390"/>
    </row>
    <row r="484" s="292" customFormat="1" ht="12.75" customHeight="1" spans="1:9">
      <c r="B484" s="394"/>
      <c r="C484" s="447"/>
      <c r="D484" s="456"/>
      <c r="E484" s="390"/>
    </row>
    <row r="485" s="292" customFormat="1" ht="12.75" customHeight="1" spans="1:9">
      <c r="B485" s="475" t="s">
        <v>93</v>
      </c>
      <c r="C485" s="447"/>
      <c r="D485" s="456"/>
      <c r="E485" s="390"/>
      <c r="F485" s="292" t="s">
        <v>94</v>
      </c>
    </row>
    <row r="486" s="292" customFormat="1" ht="12.75" customHeight="1" spans="1:9">
      <c r="B486" s="398" t="s">
        <v>95</v>
      </c>
      <c r="C486" s="447"/>
      <c r="D486" s="456"/>
      <c r="E486" s="390"/>
    </row>
    <row r="489" ht="12.75" customHeight="1" spans="1:9">
      <c r="A489" s="297" t="s">
        <v>1</v>
      </c>
      <c r="B489" s="297"/>
      <c r="C489" s="297"/>
      <c r="D489" s="297"/>
      <c r="E489" s="297"/>
      <c r="F489" s="297"/>
      <c r="G489" s="297"/>
      <c r="H489" s="297"/>
      <c r="I489" s="297"/>
    </row>
    <row r="490" ht="12.75" customHeight="1" spans="1:9">
      <c r="A490" s="297" t="s">
        <v>2</v>
      </c>
      <c r="B490" s="297"/>
      <c r="C490" s="297"/>
      <c r="D490" s="297"/>
      <c r="E490" s="297"/>
      <c r="F490" s="297"/>
      <c r="G490" s="297"/>
      <c r="H490" s="297"/>
      <c r="I490" s="297"/>
    </row>
    <row r="491" ht="12.75" customHeight="1" spans="1:9">
      <c r="A491" s="297" t="s">
        <v>3</v>
      </c>
      <c r="B491" s="297"/>
      <c r="C491" s="297"/>
      <c r="D491" s="297"/>
      <c r="E491" s="297"/>
      <c r="F491" s="297"/>
      <c r="G491" s="297"/>
      <c r="H491" s="297"/>
      <c r="I491" s="297"/>
    </row>
    <row r="492" s="291" customFormat="1" ht="16.5" customHeight="1" spans="1:9">
      <c r="A492" s="298" t="s">
        <v>4</v>
      </c>
      <c r="B492" s="298"/>
      <c r="C492" s="298"/>
      <c r="D492" s="298"/>
      <c r="E492" s="298"/>
      <c r="F492" s="298"/>
      <c r="G492" s="298"/>
      <c r="H492" s="298"/>
      <c r="I492" s="298"/>
    </row>
    <row r="493" ht="12.75" customHeight="1" spans="1:9">
      <c r="A493" s="299" t="s">
        <v>5</v>
      </c>
      <c r="B493" s="299"/>
      <c r="C493" s="299"/>
      <c r="D493" s="299"/>
      <c r="E493" s="299"/>
      <c r="F493" s="299"/>
      <c r="G493" s="299"/>
      <c r="H493" s="299"/>
      <c r="I493" s="299"/>
    </row>
    <row r="494" customHeight="1" spans="1:9">
      <c r="A494" s="299"/>
      <c r="B494" s="299"/>
      <c r="C494" s="299"/>
      <c r="D494" s="299"/>
      <c r="E494" s="299"/>
      <c r="F494" s="299"/>
      <c r="G494" s="299"/>
      <c r="H494" s="299"/>
      <c r="I494" s="299"/>
    </row>
    <row r="495" ht="12.75" customHeight="1" spans="1:9">
      <c r="A495" s="299"/>
      <c r="B495" s="299"/>
      <c r="C495" s="299"/>
      <c r="D495" s="299"/>
      <c r="E495" s="299"/>
      <c r="F495" s="299"/>
      <c r="G495" s="299"/>
      <c r="H495" s="299"/>
      <c r="I495" s="299"/>
    </row>
    <row r="496" s="289" customFormat="1" ht="12.75" customHeight="1" spans="1:9">
      <c r="A496" s="300" t="s">
        <v>6</v>
      </c>
      <c r="B496" s="300"/>
      <c r="C496" s="300"/>
      <c r="D496" s="300"/>
      <c r="E496" s="300"/>
      <c r="F496" s="300"/>
      <c r="G496" s="300"/>
      <c r="H496" s="300"/>
      <c r="I496" s="300"/>
    </row>
    <row r="497" s="289" customFormat="1" ht="12.75" customHeight="1" spans="1:9">
      <c r="A497" s="300"/>
      <c r="B497" s="300"/>
      <c r="C497" s="300"/>
      <c r="D497" s="300"/>
      <c r="E497" s="300"/>
      <c r="F497" s="300"/>
      <c r="G497" s="300"/>
      <c r="H497" s="300"/>
      <c r="I497" s="300"/>
    </row>
    <row r="498" s="289" customFormat="1" customHeight="1" spans="1:9">
      <c r="A498" s="456"/>
      <c r="B498" s="302" t="s">
        <v>654</v>
      </c>
      <c r="C498" s="406"/>
      <c r="D498" s="407" t="s">
        <v>8</v>
      </c>
      <c r="E498" s="446" t="s">
        <v>655</v>
      </c>
      <c r="G498" s="500"/>
      <c r="H498" s="500"/>
    </row>
    <row r="499" s="289" customFormat="1" ht="24.75" customHeight="1" spans="1:9">
      <c r="A499" s="461" t="s">
        <v>10</v>
      </c>
      <c r="B499" s="308" t="s">
        <v>11</v>
      </c>
      <c r="C499" s="309" t="s">
        <v>12</v>
      </c>
      <c r="D499" s="308" t="s">
        <v>13</v>
      </c>
      <c r="E499" s="308" t="s">
        <v>14</v>
      </c>
      <c r="F499" s="310"/>
      <c r="G499" s="501"/>
      <c r="H499" s="501"/>
      <c r="I499" s="310"/>
    </row>
    <row r="500" ht="12.75" customHeight="1" spans="1:9">
      <c r="A500" s="386">
        <v>1</v>
      </c>
      <c r="B500" s="414">
        <v>242510001</v>
      </c>
      <c r="C500" s="467" t="s">
        <v>656</v>
      </c>
      <c r="D500" s="277" t="s">
        <v>657</v>
      </c>
      <c r="E500" s="386" t="s">
        <v>23</v>
      </c>
      <c r="F500" s="318"/>
      <c r="G500" s="318"/>
      <c r="H500" s="318"/>
      <c r="I500" s="318"/>
    </row>
    <row r="501" ht="12.75" customHeight="1" spans="1:9">
      <c r="A501" s="386">
        <v>2</v>
      </c>
      <c r="B501" s="414">
        <v>242510085</v>
      </c>
      <c r="C501" s="468" t="s">
        <v>658</v>
      </c>
      <c r="D501" s="279" t="s">
        <v>659</v>
      </c>
      <c r="E501" s="386" t="s">
        <v>18</v>
      </c>
      <c r="F501" s="317"/>
      <c r="G501" s="318"/>
      <c r="H501" s="318"/>
      <c r="I501" s="318"/>
    </row>
    <row r="502" s="291" customFormat="1" ht="12.75" customHeight="1" spans="1:9">
      <c r="A502" s="386">
        <v>3</v>
      </c>
      <c r="B502" s="414">
        <v>242510205</v>
      </c>
      <c r="C502" s="467" t="s">
        <v>660</v>
      </c>
      <c r="D502" s="281" t="s">
        <v>661</v>
      </c>
      <c r="E502" s="386" t="s">
        <v>23</v>
      </c>
      <c r="F502" s="317"/>
      <c r="G502" s="318"/>
      <c r="H502" s="318"/>
      <c r="I502" s="318"/>
    </row>
    <row r="503" ht="12.75" customHeight="1" spans="1:9">
      <c r="A503" s="386">
        <v>4</v>
      </c>
      <c r="B503" s="414">
        <v>242510283</v>
      </c>
      <c r="C503" s="465" t="s">
        <v>662</v>
      </c>
      <c r="D503" s="275" t="s">
        <v>663</v>
      </c>
      <c r="E503" s="386" t="s">
        <v>23</v>
      </c>
      <c r="F503" s="317"/>
      <c r="G503" s="318"/>
      <c r="H503" s="318"/>
      <c r="I503" s="318"/>
    </row>
    <row r="504" ht="12.75" customHeight="1" spans="1:9">
      <c r="A504" s="386">
        <v>5</v>
      </c>
      <c r="B504" s="414">
        <v>242510003</v>
      </c>
      <c r="C504" s="467" t="s">
        <v>664</v>
      </c>
      <c r="D504" s="277" t="s">
        <v>665</v>
      </c>
      <c r="E504" s="386" t="s">
        <v>18</v>
      </c>
      <c r="F504" s="317"/>
      <c r="G504" s="318"/>
      <c r="H504" s="318"/>
      <c r="I504" s="318"/>
    </row>
    <row r="505" ht="12.75" customHeight="1" spans="1:9">
      <c r="A505" s="386">
        <v>6</v>
      </c>
      <c r="B505" s="414">
        <v>242510285</v>
      </c>
      <c r="C505" s="465" t="s">
        <v>666</v>
      </c>
      <c r="D505" s="275" t="s">
        <v>667</v>
      </c>
      <c r="E505" s="386" t="s">
        <v>23</v>
      </c>
      <c r="F505" s="317"/>
      <c r="G505" s="318"/>
      <c r="H505" s="318"/>
      <c r="I505" s="318"/>
    </row>
    <row r="506" ht="12.75" customHeight="1" spans="1:9">
      <c r="A506" s="386">
        <v>7</v>
      </c>
      <c r="B506" s="414">
        <v>242510320</v>
      </c>
      <c r="C506" s="467" t="s">
        <v>668</v>
      </c>
      <c r="D506" s="277" t="s">
        <v>669</v>
      </c>
      <c r="E506" s="386" t="s">
        <v>23</v>
      </c>
      <c r="F506" s="317"/>
      <c r="G506" s="318"/>
      <c r="H506" s="318"/>
      <c r="I506" s="318"/>
    </row>
    <row r="507" ht="12.75" customHeight="1" spans="1:9">
      <c r="A507" s="386">
        <v>8</v>
      </c>
      <c r="B507" s="414">
        <v>242510044</v>
      </c>
      <c r="C507" s="467" t="s">
        <v>670</v>
      </c>
      <c r="D507" s="277" t="s">
        <v>671</v>
      </c>
      <c r="E507" s="386" t="s">
        <v>18</v>
      </c>
      <c r="F507" s="317"/>
      <c r="G507" s="318"/>
      <c r="H507" s="318"/>
      <c r="I507" s="318"/>
    </row>
    <row r="508" ht="12.75" customHeight="1" spans="1:9">
      <c r="A508" s="386">
        <v>9</v>
      </c>
      <c r="B508" s="414">
        <v>242510360</v>
      </c>
      <c r="C508" s="465" t="s">
        <v>672</v>
      </c>
      <c r="D508" s="275" t="s">
        <v>673</v>
      </c>
      <c r="E508" s="386" t="s">
        <v>23</v>
      </c>
      <c r="F508" s="317"/>
      <c r="G508" s="318"/>
      <c r="H508" s="318"/>
      <c r="I508" s="318"/>
    </row>
    <row r="509" ht="12.75" customHeight="1" spans="1:9">
      <c r="A509" s="386">
        <v>10</v>
      </c>
      <c r="B509" s="414">
        <v>242510130</v>
      </c>
      <c r="C509" s="467" t="s">
        <v>674</v>
      </c>
      <c r="D509" s="277" t="s">
        <v>675</v>
      </c>
      <c r="E509" s="386" t="s">
        <v>18</v>
      </c>
      <c r="F509" s="317"/>
      <c r="G509" s="318"/>
      <c r="H509" s="318"/>
      <c r="I509" s="318"/>
    </row>
    <row r="510" ht="12.75" customHeight="1" spans="1:9">
      <c r="A510" s="386">
        <v>11</v>
      </c>
      <c r="B510" s="414">
        <v>252611431</v>
      </c>
      <c r="C510" s="465" t="s">
        <v>676</v>
      </c>
      <c r="D510" s="275" t="s">
        <v>677</v>
      </c>
      <c r="E510" s="386" t="s">
        <v>23</v>
      </c>
      <c r="F510" s="317"/>
      <c r="G510" s="318"/>
      <c r="H510" s="318"/>
      <c r="I510" s="318"/>
    </row>
    <row r="511" ht="12.75" customHeight="1" spans="1:9">
      <c r="A511" s="386">
        <v>12</v>
      </c>
      <c r="B511" s="414">
        <v>242510217</v>
      </c>
      <c r="C511" s="477" t="s">
        <v>678</v>
      </c>
      <c r="D511" s="281" t="s">
        <v>679</v>
      </c>
      <c r="E511" s="386" t="s">
        <v>23</v>
      </c>
      <c r="F511" s="317"/>
      <c r="G511" s="318"/>
      <c r="H511" s="318"/>
      <c r="I511" s="318"/>
    </row>
    <row r="512" ht="12.75" customHeight="1" spans="1:9">
      <c r="A512" s="386">
        <v>13</v>
      </c>
      <c r="B512" s="414">
        <v>242510052</v>
      </c>
      <c r="C512" s="465" t="s">
        <v>680</v>
      </c>
      <c r="D512" s="275" t="s">
        <v>681</v>
      </c>
      <c r="E512" s="386" t="s">
        <v>23</v>
      </c>
      <c r="F512" s="317"/>
      <c r="G512" s="318"/>
      <c r="H512" s="318"/>
      <c r="I512" s="318"/>
    </row>
    <row r="513" ht="12.75" customHeight="1" spans="1:9">
      <c r="A513" s="386">
        <v>14</v>
      </c>
      <c r="B513" s="414">
        <v>242510098</v>
      </c>
      <c r="C513" s="467" t="s">
        <v>682</v>
      </c>
      <c r="D513" s="277" t="s">
        <v>683</v>
      </c>
      <c r="E513" s="386" t="s">
        <v>18</v>
      </c>
      <c r="F513" s="317"/>
      <c r="G513" s="318"/>
      <c r="H513" s="318"/>
      <c r="I513" s="318"/>
    </row>
    <row r="514" ht="12.75" customHeight="1" spans="1:9">
      <c r="A514" s="386">
        <v>15</v>
      </c>
      <c r="B514" s="414">
        <v>242510218</v>
      </c>
      <c r="C514" s="465" t="s">
        <v>684</v>
      </c>
      <c r="D514" s="275" t="s">
        <v>685</v>
      </c>
      <c r="E514" s="386" t="s">
        <v>18</v>
      </c>
      <c r="F514" s="317"/>
      <c r="G514" s="318"/>
      <c r="H514" s="318"/>
      <c r="I514" s="318"/>
    </row>
    <row r="515" ht="12.75" customHeight="1" spans="1:9">
      <c r="A515" s="386">
        <v>16</v>
      </c>
      <c r="B515" s="414">
        <v>242510402</v>
      </c>
      <c r="C515" s="467" t="s">
        <v>686</v>
      </c>
      <c r="D515" s="277" t="s">
        <v>687</v>
      </c>
      <c r="E515" s="386" t="s">
        <v>23</v>
      </c>
      <c r="F515" s="317"/>
      <c r="G515" s="318"/>
      <c r="H515" s="318"/>
      <c r="I515" s="318"/>
    </row>
    <row r="516" ht="12.75" customHeight="1" spans="1:9">
      <c r="A516" s="386">
        <v>17</v>
      </c>
      <c r="B516" s="414">
        <v>242510257</v>
      </c>
      <c r="C516" s="468" t="s">
        <v>688</v>
      </c>
      <c r="D516" s="279" t="s">
        <v>689</v>
      </c>
      <c r="E516" s="386" t="s">
        <v>18</v>
      </c>
      <c r="F516" s="317"/>
      <c r="G516" s="318"/>
      <c r="H516" s="318"/>
      <c r="I516" s="318"/>
    </row>
    <row r="517" ht="12.75" customHeight="1" spans="1:9">
      <c r="A517" s="386">
        <v>18</v>
      </c>
      <c r="B517" s="414">
        <v>242510405</v>
      </c>
      <c r="C517" s="467" t="s">
        <v>690</v>
      </c>
      <c r="D517" s="277" t="s">
        <v>691</v>
      </c>
      <c r="E517" s="386" t="s">
        <v>23</v>
      </c>
      <c r="F517" s="317"/>
      <c r="G517" s="318"/>
      <c r="H517" s="318"/>
      <c r="I517" s="318"/>
    </row>
    <row r="518" ht="12.75" customHeight="1" spans="1:9">
      <c r="A518" s="386">
        <v>19</v>
      </c>
      <c r="B518" s="414">
        <v>242510371</v>
      </c>
      <c r="C518" s="465" t="s">
        <v>692</v>
      </c>
      <c r="D518" s="275" t="s">
        <v>693</v>
      </c>
      <c r="E518" s="386" t="s">
        <v>23</v>
      </c>
      <c r="F518" s="317"/>
      <c r="G518" s="318"/>
      <c r="H518" s="318"/>
      <c r="I518" s="318"/>
    </row>
    <row r="519" ht="12.75" customHeight="1" spans="1:9">
      <c r="A519" s="386">
        <v>20</v>
      </c>
      <c r="B519" s="414">
        <v>242510184</v>
      </c>
      <c r="C519" s="465" t="s">
        <v>694</v>
      </c>
      <c r="D519" s="275" t="s">
        <v>695</v>
      </c>
      <c r="E519" s="386" t="s">
        <v>23</v>
      </c>
      <c r="F519" s="317"/>
      <c r="G519" s="318"/>
      <c r="H519" s="318"/>
      <c r="I519" s="318"/>
    </row>
    <row r="520" ht="12.75" customHeight="1" spans="1:9">
      <c r="A520" s="386">
        <v>21</v>
      </c>
      <c r="B520" s="414">
        <v>242510301</v>
      </c>
      <c r="C520" s="467" t="s">
        <v>696</v>
      </c>
      <c r="D520" s="277" t="s">
        <v>697</v>
      </c>
      <c r="E520" s="386" t="s">
        <v>23</v>
      </c>
      <c r="F520" s="317"/>
      <c r="G520" s="318"/>
      <c r="H520" s="318"/>
      <c r="I520" s="318"/>
    </row>
    <row r="521" ht="12.75" customHeight="1" spans="1:9">
      <c r="A521" s="386">
        <v>22</v>
      </c>
      <c r="B521" s="414">
        <v>242510407</v>
      </c>
      <c r="C521" s="465" t="s">
        <v>698</v>
      </c>
      <c r="D521" s="275" t="s">
        <v>699</v>
      </c>
      <c r="E521" s="386" t="s">
        <v>23</v>
      </c>
      <c r="F521" s="317"/>
      <c r="G521" s="318"/>
      <c r="H521" s="318"/>
      <c r="I521" s="318"/>
    </row>
    <row r="522" ht="12.75" customHeight="1" spans="1:9">
      <c r="A522" s="386">
        <v>23</v>
      </c>
      <c r="B522" s="414">
        <v>242510302</v>
      </c>
      <c r="C522" s="467" t="s">
        <v>700</v>
      </c>
      <c r="D522" s="277" t="s">
        <v>701</v>
      </c>
      <c r="E522" s="386" t="s">
        <v>23</v>
      </c>
      <c r="F522" s="317"/>
      <c r="G522" s="318"/>
      <c r="H522" s="318"/>
      <c r="I522" s="318"/>
    </row>
    <row r="523" ht="12.75" customHeight="1" spans="1:9">
      <c r="A523" s="386">
        <v>24</v>
      </c>
      <c r="B523" s="414">
        <v>242510059</v>
      </c>
      <c r="C523" s="465" t="s">
        <v>702</v>
      </c>
      <c r="D523" s="279" t="s">
        <v>703</v>
      </c>
      <c r="E523" s="386" t="s">
        <v>18</v>
      </c>
      <c r="F523" s="317"/>
      <c r="G523" s="318"/>
      <c r="H523" s="318"/>
      <c r="I523" s="318"/>
    </row>
    <row r="524" ht="12.75" customHeight="1" spans="1:9">
      <c r="A524" s="386">
        <v>25</v>
      </c>
      <c r="B524" s="414">
        <v>242510187</v>
      </c>
      <c r="C524" s="467" t="s">
        <v>704</v>
      </c>
      <c r="D524" s="277" t="s">
        <v>705</v>
      </c>
      <c r="E524" s="403" t="s">
        <v>18</v>
      </c>
      <c r="F524" s="317"/>
      <c r="G524" s="318"/>
      <c r="H524" s="318"/>
      <c r="I524" s="318"/>
    </row>
    <row r="525" ht="12.75" customHeight="1" spans="1:9">
      <c r="A525" s="386">
        <v>26</v>
      </c>
      <c r="B525" s="414">
        <v>242510379</v>
      </c>
      <c r="C525" s="465" t="s">
        <v>706</v>
      </c>
      <c r="D525" s="275" t="s">
        <v>707</v>
      </c>
      <c r="E525" s="386" t="s">
        <v>18</v>
      </c>
      <c r="F525" s="317"/>
      <c r="G525" s="318"/>
      <c r="H525" s="318"/>
      <c r="I525" s="318"/>
    </row>
    <row r="526" ht="12.75" customHeight="1" spans="1:9">
      <c r="A526" s="386">
        <v>27</v>
      </c>
      <c r="B526" s="414">
        <v>242510034</v>
      </c>
      <c r="C526" s="467" t="s">
        <v>708</v>
      </c>
      <c r="D526" s="277" t="s">
        <v>709</v>
      </c>
      <c r="E526" s="386" t="s">
        <v>18</v>
      </c>
      <c r="F526" s="317"/>
      <c r="G526" s="318"/>
      <c r="H526" s="318"/>
      <c r="I526" s="318"/>
    </row>
    <row r="527" ht="12.75" customHeight="1" spans="1:9">
      <c r="A527" s="386">
        <v>28</v>
      </c>
      <c r="B527" s="414">
        <v>242510190</v>
      </c>
      <c r="C527" s="465" t="s">
        <v>710</v>
      </c>
      <c r="D527" s="275" t="s">
        <v>711</v>
      </c>
      <c r="E527" s="386" t="s">
        <v>23</v>
      </c>
      <c r="F527" s="317"/>
      <c r="G527" s="318"/>
      <c r="H527" s="318"/>
      <c r="I527" s="318"/>
    </row>
    <row r="528" ht="12.75" customHeight="1" spans="1:9">
      <c r="A528" s="386">
        <v>29</v>
      </c>
      <c r="B528" s="414">
        <v>242510069</v>
      </c>
      <c r="C528" s="467" t="s">
        <v>712</v>
      </c>
      <c r="D528" s="281" t="s">
        <v>713</v>
      </c>
      <c r="E528" s="386" t="s">
        <v>18</v>
      </c>
      <c r="F528" s="317"/>
      <c r="G528" s="318"/>
      <c r="H528" s="318"/>
      <c r="I528" s="318"/>
    </row>
    <row r="529" ht="12.75" customHeight="1" spans="1:9">
      <c r="A529" s="386">
        <v>30</v>
      </c>
      <c r="B529" s="414">
        <v>242510270</v>
      </c>
      <c r="C529" s="465" t="s">
        <v>714</v>
      </c>
      <c r="D529" s="275" t="s">
        <v>715</v>
      </c>
      <c r="E529" s="386" t="s">
        <v>18</v>
      </c>
      <c r="F529" s="317"/>
      <c r="G529" s="318"/>
      <c r="H529" s="318"/>
      <c r="I529" s="318"/>
    </row>
    <row r="530" ht="12.75" customHeight="1" spans="1:9">
      <c r="A530" s="386">
        <v>31</v>
      </c>
      <c r="B530" s="414">
        <v>242510233</v>
      </c>
      <c r="C530" s="477" t="s">
        <v>716</v>
      </c>
      <c r="D530" s="281" t="s">
        <v>717</v>
      </c>
      <c r="E530" s="386" t="s">
        <v>23</v>
      </c>
      <c r="F530" s="317"/>
      <c r="G530" s="318"/>
      <c r="H530" s="318"/>
      <c r="I530" s="318"/>
    </row>
    <row r="531" ht="12.75" customHeight="1" spans="1:9">
      <c r="A531" s="386">
        <v>32</v>
      </c>
      <c r="B531" s="414">
        <v>242510415</v>
      </c>
      <c r="C531" s="465" t="s">
        <v>718</v>
      </c>
      <c r="D531" s="275" t="s">
        <v>719</v>
      </c>
      <c r="E531" s="386" t="s">
        <v>23</v>
      </c>
      <c r="F531" s="317"/>
      <c r="G531" s="318"/>
      <c r="H531" s="318"/>
      <c r="I531" s="318"/>
    </row>
    <row r="532" ht="12.75" customHeight="1" spans="1:9">
      <c r="A532" s="386">
        <v>33</v>
      </c>
      <c r="B532" s="414">
        <v>242510074</v>
      </c>
      <c r="C532" s="467" t="s">
        <v>720</v>
      </c>
      <c r="D532" s="277" t="s">
        <v>721</v>
      </c>
      <c r="E532" s="386" t="s">
        <v>18</v>
      </c>
      <c r="F532" s="317"/>
      <c r="G532" s="318"/>
      <c r="H532" s="318"/>
      <c r="I532" s="318"/>
    </row>
    <row r="533" ht="12.75" customHeight="1" spans="1:9">
      <c r="A533" s="386">
        <v>34</v>
      </c>
      <c r="B533" s="414">
        <v>242510076</v>
      </c>
      <c r="C533" s="482" t="s">
        <v>722</v>
      </c>
      <c r="D533" s="483" t="s">
        <v>723</v>
      </c>
      <c r="E533" s="320" t="s">
        <v>23</v>
      </c>
      <c r="F533" s="317"/>
      <c r="G533" s="318"/>
      <c r="H533" s="318"/>
      <c r="I533" s="318"/>
    </row>
    <row r="534" ht="12.75" customHeight="1" spans="1:9">
      <c r="A534" s="386">
        <v>35</v>
      </c>
      <c r="B534" s="414">
        <v>242510038</v>
      </c>
      <c r="C534" s="465" t="s">
        <v>724</v>
      </c>
      <c r="D534" s="275" t="s">
        <v>725</v>
      </c>
      <c r="E534" s="386" t="s">
        <v>18</v>
      </c>
      <c r="F534" s="317"/>
      <c r="G534" s="318"/>
      <c r="H534" s="318"/>
      <c r="I534" s="318"/>
    </row>
    <row r="535" ht="12.75" customHeight="1" spans="1:9">
      <c r="A535" s="386">
        <v>36</v>
      </c>
      <c r="B535" s="414">
        <v>242510154</v>
      </c>
      <c r="C535" s="467" t="s">
        <v>726</v>
      </c>
      <c r="D535" s="277" t="s">
        <v>727</v>
      </c>
      <c r="E535" s="479" t="s">
        <v>18</v>
      </c>
      <c r="F535" s="326"/>
      <c r="G535" s="327"/>
      <c r="H535" s="327"/>
      <c r="I535" s="327"/>
    </row>
    <row r="536" ht="12.75" customHeight="1" spans="1:9">
      <c r="A536" s="386">
        <v>37</v>
      </c>
      <c r="B536" s="414">
        <v>242510420</v>
      </c>
      <c r="C536" s="465" t="s">
        <v>728</v>
      </c>
      <c r="D536" s="275" t="s">
        <v>729</v>
      </c>
      <c r="E536" s="386" t="s">
        <v>18</v>
      </c>
      <c r="F536" s="317"/>
      <c r="G536" s="318"/>
      <c r="H536" s="318"/>
      <c r="I536" s="318"/>
    </row>
    <row r="537" ht="12.75" customHeight="1" spans="1:9">
      <c r="A537" s="386">
        <v>38</v>
      </c>
      <c r="B537" s="414">
        <v>242510155</v>
      </c>
      <c r="C537" s="467" t="s">
        <v>730</v>
      </c>
      <c r="D537" s="277" t="s">
        <v>731</v>
      </c>
      <c r="E537" s="386" t="s">
        <v>23</v>
      </c>
      <c r="F537" s="317"/>
      <c r="G537" s="318"/>
      <c r="H537" s="318"/>
      <c r="I537" s="318"/>
    </row>
    <row r="538" ht="12.75" customHeight="1" spans="1:9">
      <c r="A538" s="386">
        <v>39</v>
      </c>
      <c r="B538" s="414">
        <v>242510118</v>
      </c>
      <c r="C538" s="465" t="s">
        <v>732</v>
      </c>
      <c r="D538" s="275" t="s">
        <v>733</v>
      </c>
      <c r="E538" s="386" t="s">
        <v>18</v>
      </c>
      <c r="F538" s="317"/>
      <c r="G538" s="318"/>
      <c r="H538" s="318"/>
      <c r="I538" s="318"/>
    </row>
    <row r="539" ht="12.75" customHeight="1" spans="1:9">
      <c r="A539" s="386">
        <v>40</v>
      </c>
      <c r="B539" s="414">
        <v>252611430</v>
      </c>
      <c r="C539" s="467" t="s">
        <v>734</v>
      </c>
      <c r="D539" s="281" t="s">
        <v>735</v>
      </c>
      <c r="E539" s="386" t="s">
        <v>18</v>
      </c>
      <c r="F539" s="317"/>
      <c r="G539" s="318"/>
      <c r="H539" s="318"/>
      <c r="I539" s="318"/>
    </row>
    <row r="540" ht="12.75" customHeight="1" spans="1:9">
      <c r="A540" s="386">
        <v>41</v>
      </c>
      <c r="B540" s="414">
        <v>242510389</v>
      </c>
      <c r="C540" s="465" t="s">
        <v>736</v>
      </c>
      <c r="D540" s="279" t="s">
        <v>737</v>
      </c>
      <c r="E540" s="386" t="s">
        <v>18</v>
      </c>
      <c r="F540" s="317"/>
      <c r="G540" s="318"/>
      <c r="H540" s="318"/>
      <c r="I540" s="318"/>
    </row>
    <row r="541" ht="12.75" customHeight="1" spans="1:9">
      <c r="A541" s="386">
        <v>42</v>
      </c>
      <c r="B541" s="414">
        <v>242510426</v>
      </c>
      <c r="C541" s="467" t="s">
        <v>738</v>
      </c>
      <c r="D541" s="277" t="s">
        <v>739</v>
      </c>
      <c r="E541" s="386" t="s">
        <v>23</v>
      </c>
      <c r="F541" s="317"/>
      <c r="G541" s="318"/>
      <c r="H541" s="318"/>
      <c r="I541" s="318"/>
    </row>
    <row r="542" s="292" customFormat="1" ht="12.75" customHeight="1" spans="1:9">
      <c r="B542" s="394"/>
      <c r="C542" s="447"/>
      <c r="D542" s="473" t="s">
        <v>89</v>
      </c>
      <c r="E542" s="396">
        <f>COUNTIF(E500:E541,"L")</f>
        <v>22</v>
      </c>
      <c r="F542" s="484"/>
    </row>
    <row r="543" s="292" customFormat="1" ht="12.75" customHeight="1" spans="1:9">
      <c r="B543" s="474"/>
      <c r="C543" s="447"/>
      <c r="D543" s="473" t="s">
        <v>90</v>
      </c>
      <c r="E543" s="396">
        <f>COUNTIF(E500:E541,"P")</f>
        <v>20</v>
      </c>
    </row>
    <row r="544" s="292" customFormat="1" ht="12.75" customHeight="1" spans="1:9">
      <c r="B544" s="502"/>
      <c r="C544" s="447"/>
      <c r="D544" s="456"/>
      <c r="E544" s="390"/>
    </row>
    <row r="545" s="292" customFormat="1" ht="12.75" customHeight="1" spans="1:9">
      <c r="B545" s="502" t="s">
        <v>91</v>
      </c>
      <c r="C545" s="447"/>
      <c r="D545" s="456"/>
      <c r="E545" s="390"/>
      <c r="F545" s="292" t="s">
        <v>92</v>
      </c>
    </row>
    <row r="546" s="292" customFormat="1" ht="12.75" customHeight="1" spans="1:9">
      <c r="B546" s="394"/>
      <c r="C546" s="447"/>
      <c r="D546" s="456"/>
      <c r="E546" s="390"/>
    </row>
    <row r="547" s="292" customFormat="1" ht="12.75" customHeight="1" spans="1:9">
      <c r="B547" s="394"/>
      <c r="C547" s="447"/>
      <c r="D547" s="456"/>
      <c r="E547" s="390"/>
    </row>
    <row r="548" s="292" customFormat="1" ht="12.75" customHeight="1" spans="1:9">
      <c r="B548" s="394"/>
      <c r="C548" s="447"/>
      <c r="D548" s="456"/>
      <c r="E548" s="390"/>
    </row>
    <row r="549" s="292" customFormat="1" ht="12.75" customHeight="1" spans="1:9">
      <c r="B549" s="475" t="s">
        <v>93</v>
      </c>
      <c r="C549" s="447"/>
      <c r="D549" s="456"/>
      <c r="E549" s="390"/>
      <c r="F549" s="292" t="s">
        <v>94</v>
      </c>
    </row>
    <row r="550" s="292" customFormat="1" ht="12.75" customHeight="1" spans="1:9">
      <c r="B550" s="398" t="s">
        <v>95</v>
      </c>
      <c r="C550" s="447"/>
      <c r="D550" s="456"/>
      <c r="E550" s="390"/>
    </row>
    <row r="551" ht="12.75" customHeight="1" spans="1:9">
      <c r="B551" s="348"/>
    </row>
    <row r="552" ht="12.75" customHeight="1"/>
    <row r="553" ht="12.75" customHeight="1"/>
    <row r="554" ht="12.75" customHeight="1"/>
    <row r="555" ht="12.75" customHeight="1" spans="1:9">
      <c r="A555" s="297" t="s">
        <v>1</v>
      </c>
      <c r="B555" s="297"/>
      <c r="C555" s="297"/>
      <c r="D555" s="297"/>
      <c r="E555" s="297"/>
      <c r="F555" s="297"/>
      <c r="G555" s="297"/>
      <c r="H555" s="297"/>
      <c r="I555" s="297"/>
    </row>
    <row r="556" ht="12.75" customHeight="1" spans="1:9">
      <c r="A556" s="297" t="s">
        <v>2</v>
      </c>
      <c r="B556" s="297"/>
      <c r="C556" s="297"/>
      <c r="D556" s="297"/>
      <c r="E556" s="297"/>
      <c r="F556" s="297"/>
      <c r="G556" s="297"/>
      <c r="H556" s="297"/>
      <c r="I556" s="297"/>
    </row>
    <row r="557" ht="12.75" customHeight="1" spans="1:9">
      <c r="A557" s="297" t="s">
        <v>3</v>
      </c>
      <c r="B557" s="297"/>
      <c r="C557" s="297"/>
      <c r="D557" s="297"/>
      <c r="E557" s="297"/>
      <c r="F557" s="297"/>
      <c r="G557" s="297"/>
      <c r="H557" s="297"/>
      <c r="I557" s="297"/>
    </row>
    <row r="558" s="291" customFormat="1" ht="16.5" customHeight="1" spans="1:9">
      <c r="A558" s="298" t="s">
        <v>4</v>
      </c>
      <c r="B558" s="298"/>
      <c r="C558" s="298"/>
      <c r="D558" s="298"/>
      <c r="E558" s="298"/>
      <c r="F558" s="298"/>
      <c r="G558" s="298"/>
      <c r="H558" s="298"/>
      <c r="I558" s="298"/>
    </row>
    <row r="559" ht="12.75" customHeight="1" spans="1:9">
      <c r="A559" s="299" t="s">
        <v>5</v>
      </c>
      <c r="B559" s="299"/>
      <c r="C559" s="299"/>
      <c r="D559" s="299"/>
      <c r="E559" s="299"/>
      <c r="F559" s="299"/>
      <c r="G559" s="299"/>
      <c r="H559" s="299"/>
      <c r="I559" s="299"/>
    </row>
    <row r="560" customHeight="1" spans="1:9">
      <c r="A560" s="299"/>
      <c r="B560" s="299"/>
      <c r="C560" s="299"/>
      <c r="D560" s="299"/>
      <c r="E560" s="299"/>
      <c r="F560" s="299"/>
      <c r="G560" s="299"/>
      <c r="H560" s="299"/>
      <c r="I560" s="299"/>
    </row>
    <row r="561" ht="12.75" customHeight="1" spans="1:9">
      <c r="A561" s="299"/>
      <c r="B561" s="299"/>
      <c r="C561" s="299"/>
      <c r="D561" s="299"/>
      <c r="E561" s="299"/>
      <c r="F561" s="299"/>
      <c r="G561" s="299"/>
      <c r="H561" s="299"/>
      <c r="I561" s="299"/>
    </row>
    <row r="562" s="289" customFormat="1" ht="12.75" customHeight="1" spans="1:9">
      <c r="A562" s="300" t="s">
        <v>6</v>
      </c>
      <c r="B562" s="300"/>
      <c r="C562" s="300"/>
      <c r="D562" s="300"/>
      <c r="E562" s="300"/>
      <c r="F562" s="300"/>
      <c r="G562" s="300"/>
      <c r="H562" s="300"/>
      <c r="I562" s="300"/>
    </row>
    <row r="563" s="289" customFormat="1" ht="12.75" customHeight="1" spans="1:9">
      <c r="A563" s="300"/>
      <c r="B563" s="300"/>
      <c r="C563" s="300"/>
      <c r="D563" s="300"/>
      <c r="E563" s="300"/>
      <c r="F563" s="300"/>
      <c r="G563" s="300"/>
      <c r="H563" s="300"/>
      <c r="I563" s="300"/>
    </row>
    <row r="564" s="289" customFormat="1" customHeight="1" spans="1:9">
      <c r="A564" s="456"/>
      <c r="B564" s="302" t="s">
        <v>740</v>
      </c>
      <c r="C564" s="406"/>
      <c r="E564" s="407" t="s">
        <v>8</v>
      </c>
      <c r="F564" s="306" t="s">
        <v>741</v>
      </c>
      <c r="G564" s="503"/>
      <c r="H564" s="503"/>
      <c r="I564" s="504"/>
    </row>
    <row r="565" s="289" customFormat="1" ht="24.75" customHeight="1" spans="1:9">
      <c r="A565" s="461" t="s">
        <v>10</v>
      </c>
      <c r="B565" s="308" t="s">
        <v>11</v>
      </c>
      <c r="C565" s="309" t="s">
        <v>12</v>
      </c>
      <c r="D565" s="308" t="s">
        <v>13</v>
      </c>
      <c r="E565" s="308" t="s">
        <v>14</v>
      </c>
      <c r="F565" s="310"/>
      <c r="G565" s="501"/>
      <c r="H565" s="501"/>
      <c r="I565" s="501"/>
    </row>
    <row r="566" customHeight="1" spans="1:9">
      <c r="A566" s="386">
        <v>1</v>
      </c>
      <c r="B566" s="414">
        <v>242510083</v>
      </c>
      <c r="C566" s="465" t="s">
        <v>742</v>
      </c>
      <c r="D566" s="275" t="s">
        <v>743</v>
      </c>
      <c r="E566" s="386" t="s">
        <v>23</v>
      </c>
      <c r="F566" s="317"/>
      <c r="G566" s="318"/>
      <c r="H566" s="318"/>
      <c r="I566" s="318"/>
    </row>
    <row r="567" ht="12.75" customHeight="1" spans="1:9">
      <c r="A567" s="386">
        <v>2</v>
      </c>
      <c r="B567" s="414">
        <v>242510202</v>
      </c>
      <c r="C567" s="477" t="s">
        <v>744</v>
      </c>
      <c r="D567" s="281" t="s">
        <v>745</v>
      </c>
      <c r="E567" s="386" t="s">
        <v>23</v>
      </c>
      <c r="F567" s="317"/>
      <c r="G567" s="318"/>
      <c r="H567" s="318"/>
      <c r="I567" s="318"/>
    </row>
    <row r="568" ht="12.75" customHeight="1" spans="1:9">
      <c r="A568" s="386">
        <v>3</v>
      </c>
      <c r="B568" s="414">
        <v>242510354</v>
      </c>
      <c r="C568" s="465" t="s">
        <v>746</v>
      </c>
      <c r="D568" s="275" t="s">
        <v>747</v>
      </c>
      <c r="E568" s="386" t="s">
        <v>18</v>
      </c>
      <c r="F568" s="317"/>
      <c r="G568" s="318"/>
      <c r="H568" s="318"/>
      <c r="I568" s="318"/>
    </row>
    <row r="569" ht="12.75" customHeight="1" spans="1:9">
      <c r="A569" s="386">
        <v>4</v>
      </c>
      <c r="B569" s="414">
        <v>242510245</v>
      </c>
      <c r="C569" s="467" t="s">
        <v>748</v>
      </c>
      <c r="D569" s="277" t="s">
        <v>749</v>
      </c>
      <c r="E569" s="403" t="s">
        <v>23</v>
      </c>
      <c r="F569" s="317"/>
      <c r="G569" s="318"/>
      <c r="H569" s="318"/>
      <c r="I569" s="318"/>
    </row>
    <row r="570" s="291" customFormat="1" ht="12.75" customHeight="1" spans="1:9">
      <c r="A570" s="386">
        <v>5</v>
      </c>
      <c r="B570" s="414">
        <v>252611432</v>
      </c>
      <c r="C570" s="465" t="s">
        <v>750</v>
      </c>
      <c r="D570" s="275" t="s">
        <v>751</v>
      </c>
      <c r="E570" s="386" t="s">
        <v>23</v>
      </c>
      <c r="F570" s="317"/>
      <c r="G570" s="318"/>
      <c r="H570" s="318"/>
      <c r="I570" s="318"/>
    </row>
    <row r="571" ht="12.75" customHeight="1" spans="1:9">
      <c r="A571" s="386">
        <v>6</v>
      </c>
      <c r="B571" s="414">
        <v>242510391</v>
      </c>
      <c r="C571" s="467" t="s">
        <v>752</v>
      </c>
      <c r="D571" s="277" t="s">
        <v>753</v>
      </c>
      <c r="E571" s="386" t="s">
        <v>23</v>
      </c>
      <c r="F571" s="317"/>
      <c r="G571" s="318"/>
      <c r="H571" s="318"/>
      <c r="I571" s="318"/>
    </row>
    <row r="572" ht="12.75" customHeight="1" spans="1:9">
      <c r="A572" s="386">
        <v>7</v>
      </c>
      <c r="B572" s="414">
        <v>242510318</v>
      </c>
      <c r="C572" s="465" t="s">
        <v>754</v>
      </c>
      <c r="D572" s="275" t="s">
        <v>755</v>
      </c>
      <c r="E572" s="386" t="s">
        <v>18</v>
      </c>
      <c r="F572" s="317"/>
      <c r="G572" s="318"/>
      <c r="H572" s="318"/>
      <c r="I572" s="318"/>
    </row>
    <row r="573" ht="12.75" customHeight="1" spans="1:9">
      <c r="A573" s="386">
        <v>8</v>
      </c>
      <c r="B573" s="414">
        <v>242510358</v>
      </c>
      <c r="C573" s="467" t="s">
        <v>756</v>
      </c>
      <c r="D573" s="277" t="s">
        <v>757</v>
      </c>
      <c r="E573" s="386" t="s">
        <v>23</v>
      </c>
      <c r="F573" s="317"/>
      <c r="G573" s="318"/>
      <c r="H573" s="318"/>
      <c r="I573" s="318"/>
    </row>
    <row r="574" ht="12.75" customHeight="1" spans="1:9">
      <c r="A574" s="386">
        <v>9</v>
      </c>
      <c r="B574" s="414">
        <v>242510045</v>
      </c>
      <c r="C574" s="465" t="s">
        <v>758</v>
      </c>
      <c r="D574" s="275" t="s">
        <v>759</v>
      </c>
      <c r="E574" s="386" t="s">
        <v>23</v>
      </c>
      <c r="F574" s="317"/>
      <c r="G574" s="318"/>
      <c r="H574" s="318"/>
      <c r="I574" s="318"/>
    </row>
    <row r="575" ht="12.75" customHeight="1" spans="1:9">
      <c r="A575" s="386">
        <v>10</v>
      </c>
      <c r="B575" s="414">
        <v>242510249</v>
      </c>
      <c r="C575" s="467" t="s">
        <v>760</v>
      </c>
      <c r="D575" s="277" t="s">
        <v>761</v>
      </c>
      <c r="E575" s="386" t="s">
        <v>18</v>
      </c>
      <c r="F575" s="317"/>
      <c r="G575" s="318"/>
      <c r="H575" s="318"/>
      <c r="I575" s="318"/>
    </row>
    <row r="576" ht="12.75" customHeight="1" spans="1:9">
      <c r="A576" s="386">
        <v>11</v>
      </c>
      <c r="B576" s="414">
        <v>252611433</v>
      </c>
      <c r="C576" s="465" t="s">
        <v>762</v>
      </c>
      <c r="D576" s="275" t="s">
        <v>763</v>
      </c>
      <c r="E576" s="386" t="s">
        <v>23</v>
      </c>
      <c r="F576" s="317"/>
      <c r="G576" s="318"/>
      <c r="H576" s="318"/>
      <c r="I576" s="318"/>
    </row>
    <row r="577" ht="12.75" customHeight="1" spans="1:9">
      <c r="A577" s="386">
        <v>12</v>
      </c>
      <c r="B577" s="414">
        <v>242510171</v>
      </c>
      <c r="C577" s="467" t="s">
        <v>764</v>
      </c>
      <c r="D577" s="277" t="s">
        <v>765</v>
      </c>
      <c r="E577" s="386" t="s">
        <v>18</v>
      </c>
      <c r="F577" s="317"/>
      <c r="G577" s="318"/>
      <c r="H577" s="318"/>
      <c r="I577" s="318"/>
    </row>
    <row r="578" ht="12.75" customHeight="1" spans="1:9">
      <c r="A578" s="386">
        <v>13</v>
      </c>
      <c r="B578" s="414">
        <v>242510129</v>
      </c>
      <c r="C578" s="465" t="s">
        <v>766</v>
      </c>
      <c r="D578" s="275" t="s">
        <v>767</v>
      </c>
      <c r="E578" s="386" t="s">
        <v>23</v>
      </c>
      <c r="F578" s="317"/>
      <c r="G578" s="318"/>
      <c r="H578" s="318"/>
      <c r="I578" s="318"/>
    </row>
    <row r="579" ht="12.75" customHeight="1" spans="1:9">
      <c r="A579" s="386">
        <v>14</v>
      </c>
      <c r="B579" s="414">
        <v>242510290</v>
      </c>
      <c r="C579" s="467" t="s">
        <v>768</v>
      </c>
      <c r="D579" s="277" t="s">
        <v>769</v>
      </c>
      <c r="E579" s="386" t="s">
        <v>23</v>
      </c>
      <c r="F579" s="317"/>
      <c r="G579" s="318"/>
      <c r="H579" s="318"/>
      <c r="I579" s="318"/>
    </row>
    <row r="580" ht="12.75" customHeight="1" spans="1:9">
      <c r="A580" s="386">
        <v>15</v>
      </c>
      <c r="B580" s="414">
        <v>242510094</v>
      </c>
      <c r="C580" s="465" t="s">
        <v>770</v>
      </c>
      <c r="D580" s="275" t="s">
        <v>771</v>
      </c>
      <c r="E580" s="386" t="s">
        <v>18</v>
      </c>
      <c r="F580" s="317"/>
      <c r="G580" s="318"/>
      <c r="H580" s="318"/>
      <c r="I580" s="318"/>
    </row>
    <row r="581" ht="12.75" customHeight="1" spans="1:9">
      <c r="A581" s="386">
        <v>16</v>
      </c>
      <c r="B581" s="414">
        <v>242510251</v>
      </c>
      <c r="C581" s="467" t="s">
        <v>772</v>
      </c>
      <c r="D581" s="277" t="s">
        <v>773</v>
      </c>
      <c r="E581" s="386" t="s">
        <v>18</v>
      </c>
      <c r="F581" s="317"/>
      <c r="G581" s="318"/>
      <c r="H581" s="318"/>
      <c r="I581" s="318"/>
    </row>
    <row r="582" ht="12.75" customHeight="1" spans="1:9">
      <c r="A582" s="386">
        <v>17</v>
      </c>
      <c r="B582" s="414">
        <v>242510173</v>
      </c>
      <c r="C582" s="465" t="s">
        <v>774</v>
      </c>
      <c r="D582" s="275" t="s">
        <v>775</v>
      </c>
      <c r="E582" s="386" t="s">
        <v>23</v>
      </c>
      <c r="F582" s="317"/>
      <c r="G582" s="318"/>
      <c r="H582" s="318"/>
      <c r="I582" s="318"/>
    </row>
    <row r="583" ht="12.75" customHeight="1" spans="1:9">
      <c r="A583" s="386">
        <v>18</v>
      </c>
      <c r="B583" s="414">
        <v>242510019</v>
      </c>
      <c r="C583" s="477" t="s">
        <v>776</v>
      </c>
      <c r="D583" s="281" t="s">
        <v>777</v>
      </c>
      <c r="E583" s="386" t="s">
        <v>23</v>
      </c>
      <c r="F583" s="317"/>
      <c r="G583" s="318"/>
      <c r="H583" s="318"/>
      <c r="I583" s="318"/>
    </row>
    <row r="584" ht="12.75" customHeight="1" spans="1:9">
      <c r="A584" s="386">
        <v>19</v>
      </c>
      <c r="B584" s="414">
        <v>242510366</v>
      </c>
      <c r="C584" s="465" t="s">
        <v>778</v>
      </c>
      <c r="D584" s="275" t="s">
        <v>779</v>
      </c>
      <c r="E584" s="386" t="s">
        <v>23</v>
      </c>
      <c r="F584" s="317"/>
      <c r="G584" s="318"/>
      <c r="H584" s="318"/>
      <c r="I584" s="318"/>
    </row>
    <row r="585" ht="12.75" customHeight="1" spans="1:9">
      <c r="A585" s="386">
        <v>20</v>
      </c>
      <c r="B585" s="414">
        <v>242510100</v>
      </c>
      <c r="C585" s="467" t="s">
        <v>780</v>
      </c>
      <c r="D585" s="277" t="s">
        <v>781</v>
      </c>
      <c r="E585" s="386" t="s">
        <v>18</v>
      </c>
      <c r="F585" s="317"/>
      <c r="G585" s="318"/>
      <c r="H585" s="318"/>
      <c r="I585" s="318"/>
    </row>
    <row r="586" ht="12.75" customHeight="1" spans="1:9">
      <c r="A586" s="386">
        <v>21</v>
      </c>
      <c r="B586" s="414">
        <v>242510255</v>
      </c>
      <c r="C586" s="465" t="s">
        <v>782</v>
      </c>
      <c r="D586" s="275" t="s">
        <v>783</v>
      </c>
      <c r="E586" s="386" t="s">
        <v>18</v>
      </c>
      <c r="F586" s="317"/>
      <c r="G586" s="318"/>
      <c r="H586" s="318"/>
      <c r="I586" s="318"/>
    </row>
    <row r="587" ht="12.75" customHeight="1" spans="1:9">
      <c r="A587" s="386">
        <v>22</v>
      </c>
      <c r="B587" s="414">
        <v>242510368</v>
      </c>
      <c r="C587" s="467" t="s">
        <v>784</v>
      </c>
      <c r="D587" s="277" t="s">
        <v>785</v>
      </c>
      <c r="E587" s="386" t="s">
        <v>18</v>
      </c>
      <c r="F587" s="317"/>
      <c r="G587" s="318"/>
      <c r="H587" s="318"/>
      <c r="I587" s="318"/>
    </row>
    <row r="588" ht="12.75" customHeight="1" spans="1:9">
      <c r="A588" s="386">
        <v>23</v>
      </c>
      <c r="B588" s="414">
        <v>242510054</v>
      </c>
      <c r="C588" s="465" t="s">
        <v>786</v>
      </c>
      <c r="D588" s="275" t="s">
        <v>787</v>
      </c>
      <c r="E588" s="386" t="s">
        <v>23</v>
      </c>
      <c r="F588" s="317"/>
      <c r="G588" s="318"/>
      <c r="H588" s="318"/>
      <c r="I588" s="318"/>
    </row>
    <row r="589" ht="12.75" customHeight="1" spans="1:9">
      <c r="A589" s="386">
        <v>24</v>
      </c>
      <c r="B589" s="414">
        <v>242510296</v>
      </c>
      <c r="C589" s="467" t="s">
        <v>788</v>
      </c>
      <c r="D589" s="277" t="s">
        <v>789</v>
      </c>
      <c r="E589" s="386" t="s">
        <v>18</v>
      </c>
      <c r="F589" s="317"/>
      <c r="G589" s="318"/>
      <c r="H589" s="318"/>
      <c r="I589" s="318"/>
    </row>
    <row r="590" ht="12.75" customHeight="1" spans="1:9">
      <c r="A590" s="386">
        <v>25</v>
      </c>
      <c r="B590" s="414">
        <v>242510021</v>
      </c>
      <c r="C590" s="465" t="s">
        <v>790</v>
      </c>
      <c r="D590" s="275" t="s">
        <v>791</v>
      </c>
      <c r="E590" s="386" t="s">
        <v>18</v>
      </c>
      <c r="F590" s="317"/>
      <c r="G590" s="318"/>
      <c r="H590" s="318"/>
      <c r="I590" s="318"/>
    </row>
    <row r="591" ht="12.75" customHeight="1" spans="1:9">
      <c r="A591" s="386">
        <v>26</v>
      </c>
      <c r="B591" s="414">
        <v>242510335</v>
      </c>
      <c r="C591" s="477" t="s">
        <v>792</v>
      </c>
      <c r="D591" s="281" t="s">
        <v>793</v>
      </c>
      <c r="E591" s="386" t="s">
        <v>18</v>
      </c>
      <c r="F591" s="317"/>
      <c r="G591" s="318"/>
      <c r="H591" s="318"/>
      <c r="I591" s="318"/>
    </row>
    <row r="592" ht="12.75" customHeight="1" spans="1:9">
      <c r="A592" s="386">
        <v>27</v>
      </c>
      <c r="B592" s="414">
        <v>242510180</v>
      </c>
      <c r="C592" s="465" t="s">
        <v>794</v>
      </c>
      <c r="D592" s="275" t="s">
        <v>795</v>
      </c>
      <c r="E592" s="386" t="s">
        <v>18</v>
      </c>
      <c r="F592" s="317"/>
      <c r="G592" s="318"/>
      <c r="H592" s="318"/>
      <c r="I592" s="318"/>
    </row>
    <row r="593" ht="12.75" customHeight="1" spans="1:9">
      <c r="A593" s="386">
        <v>28</v>
      </c>
      <c r="B593" s="414">
        <v>242510299</v>
      </c>
      <c r="C593" s="467" t="s">
        <v>796</v>
      </c>
      <c r="D593" s="277" t="s">
        <v>797</v>
      </c>
      <c r="E593" s="386" t="s">
        <v>18</v>
      </c>
      <c r="F593" s="317"/>
      <c r="G593" s="318"/>
      <c r="H593" s="318"/>
      <c r="I593" s="318"/>
    </row>
    <row r="594" ht="12.75" customHeight="1" spans="1:9">
      <c r="A594" s="386">
        <v>29</v>
      </c>
      <c r="B594" s="414">
        <v>242510025</v>
      </c>
      <c r="C594" s="465" t="s">
        <v>798</v>
      </c>
      <c r="D594" s="275" t="s">
        <v>799</v>
      </c>
      <c r="E594" s="403" t="s">
        <v>18</v>
      </c>
      <c r="F594" s="317"/>
      <c r="G594" s="318"/>
      <c r="H594" s="318"/>
      <c r="I594" s="318"/>
    </row>
    <row r="595" ht="12.75" customHeight="1" spans="1:9">
      <c r="A595" s="386">
        <v>30</v>
      </c>
      <c r="B595" s="414">
        <v>242510223</v>
      </c>
      <c r="C595" s="467" t="s">
        <v>800</v>
      </c>
      <c r="D595" s="281" t="s">
        <v>801</v>
      </c>
      <c r="E595" s="386" t="s">
        <v>23</v>
      </c>
      <c r="F595" s="317"/>
      <c r="G595" s="318"/>
      <c r="H595" s="318"/>
      <c r="I595" s="318"/>
    </row>
    <row r="596" ht="12.75" customHeight="1" spans="1:9">
      <c r="A596" s="386">
        <v>31</v>
      </c>
      <c r="B596" s="414">
        <v>242510144</v>
      </c>
      <c r="C596" s="465" t="s">
        <v>802</v>
      </c>
      <c r="D596" s="275" t="s">
        <v>803</v>
      </c>
      <c r="E596" s="386" t="s">
        <v>18</v>
      </c>
      <c r="F596" s="317"/>
      <c r="G596" s="318"/>
      <c r="H596" s="318"/>
      <c r="I596" s="318"/>
    </row>
    <row r="597" ht="12.75" customHeight="1" spans="1:9">
      <c r="A597" s="386">
        <v>32</v>
      </c>
      <c r="B597" s="414">
        <v>242510412</v>
      </c>
      <c r="C597" s="498" t="s">
        <v>804</v>
      </c>
      <c r="D597" s="505" t="s">
        <v>805</v>
      </c>
      <c r="E597" s="479" t="s">
        <v>18</v>
      </c>
      <c r="F597" s="326"/>
      <c r="G597" s="327"/>
      <c r="H597" s="327"/>
      <c r="I597" s="327"/>
    </row>
    <row r="598" ht="12.75" customHeight="1" spans="1:9">
      <c r="A598" s="386">
        <v>33</v>
      </c>
      <c r="B598" s="414">
        <v>242510068</v>
      </c>
      <c r="C598" s="468" t="s">
        <v>806</v>
      </c>
      <c r="D598" s="279" t="s">
        <v>807</v>
      </c>
      <c r="E598" s="386" t="s">
        <v>18</v>
      </c>
      <c r="F598" s="317"/>
      <c r="G598" s="318"/>
      <c r="H598" s="318"/>
      <c r="I598" s="318"/>
    </row>
    <row r="599" ht="12.75" customHeight="1" spans="1:9">
      <c r="A599" s="386">
        <v>34</v>
      </c>
      <c r="B599" s="414">
        <v>242510111</v>
      </c>
      <c r="C599" s="467" t="s">
        <v>808</v>
      </c>
      <c r="D599" s="277" t="s">
        <v>809</v>
      </c>
      <c r="E599" s="386" t="s">
        <v>18</v>
      </c>
      <c r="F599" s="317"/>
      <c r="G599" s="318"/>
      <c r="H599" s="318"/>
      <c r="I599" s="318"/>
    </row>
    <row r="600" ht="12.75" customHeight="1" spans="1:9">
      <c r="A600" s="386">
        <v>35</v>
      </c>
      <c r="B600" s="414">
        <v>242510149</v>
      </c>
      <c r="C600" s="468" t="s">
        <v>810</v>
      </c>
      <c r="D600" s="279" t="s">
        <v>811</v>
      </c>
      <c r="E600" s="386" t="s">
        <v>23</v>
      </c>
      <c r="F600" s="317"/>
      <c r="G600" s="318"/>
      <c r="H600" s="318"/>
      <c r="I600" s="318"/>
    </row>
    <row r="601" ht="12.75" customHeight="1" spans="1:9">
      <c r="A601" s="386">
        <v>36</v>
      </c>
      <c r="B601" s="414">
        <v>242510309</v>
      </c>
      <c r="C601" s="467" t="s">
        <v>812</v>
      </c>
      <c r="D601" s="281" t="s">
        <v>813</v>
      </c>
      <c r="E601" s="386" t="s">
        <v>23</v>
      </c>
      <c r="F601" s="317"/>
      <c r="G601" s="318"/>
      <c r="H601" s="318"/>
      <c r="I601" s="318"/>
    </row>
    <row r="602" ht="12.75" customHeight="1" spans="1:9">
      <c r="A602" s="386">
        <v>37</v>
      </c>
      <c r="B602" s="414">
        <v>242510417</v>
      </c>
      <c r="C602" s="465" t="s">
        <v>814</v>
      </c>
      <c r="D602" s="275" t="s">
        <v>815</v>
      </c>
      <c r="E602" s="386" t="s">
        <v>18</v>
      </c>
      <c r="F602" s="317"/>
      <c r="G602" s="318"/>
      <c r="H602" s="318"/>
      <c r="I602" s="318"/>
    </row>
    <row r="603" ht="12.75" customHeight="1" spans="1:9">
      <c r="A603" s="386">
        <v>38</v>
      </c>
      <c r="B603" s="414">
        <v>242510418</v>
      </c>
      <c r="C603" s="477" t="s">
        <v>816</v>
      </c>
      <c r="D603" s="281" t="s">
        <v>817</v>
      </c>
      <c r="E603" s="386" t="s">
        <v>23</v>
      </c>
      <c r="F603" s="317"/>
      <c r="G603" s="318"/>
      <c r="H603" s="318"/>
      <c r="I603" s="318"/>
    </row>
    <row r="604" ht="12.75" customHeight="1" spans="1:9">
      <c r="A604" s="386">
        <v>39</v>
      </c>
      <c r="B604" s="414">
        <v>242510115</v>
      </c>
      <c r="C604" s="465" t="s">
        <v>818</v>
      </c>
      <c r="D604" s="275" t="s">
        <v>819</v>
      </c>
      <c r="E604" s="386" t="s">
        <v>23</v>
      </c>
      <c r="F604" s="317"/>
      <c r="G604" s="318"/>
      <c r="H604" s="318"/>
      <c r="I604" s="318"/>
    </row>
    <row r="605" ht="12.75" customHeight="1" spans="1:9">
      <c r="A605" s="386">
        <v>40</v>
      </c>
      <c r="B605" s="414">
        <v>242510193</v>
      </c>
      <c r="C605" s="467" t="s">
        <v>820</v>
      </c>
      <c r="D605" s="277" t="s">
        <v>821</v>
      </c>
      <c r="E605" s="386" t="s">
        <v>18</v>
      </c>
      <c r="F605" s="317"/>
      <c r="G605" s="318"/>
      <c r="H605" s="318"/>
      <c r="I605" s="318"/>
    </row>
    <row r="606" ht="12.75" customHeight="1" spans="1:9">
      <c r="A606" s="386">
        <v>41</v>
      </c>
      <c r="B606" s="414">
        <v>242510348</v>
      </c>
      <c r="C606" s="482" t="s">
        <v>822</v>
      </c>
      <c r="D606" s="483" t="s">
        <v>823</v>
      </c>
      <c r="E606" s="479" t="s">
        <v>18</v>
      </c>
      <c r="F606" s="326"/>
      <c r="G606" s="327"/>
      <c r="H606" s="327"/>
      <c r="I606" s="327"/>
    </row>
    <row r="607" s="292" customFormat="1" ht="12.75" customHeight="1" spans="1:9">
      <c r="A607" s="506"/>
      <c r="B607" s="507"/>
      <c r="C607" s="508"/>
      <c r="D607" s="509" t="s">
        <v>89</v>
      </c>
      <c r="E607" s="510">
        <f>COUNTIF(E566:E606,"L")</f>
        <v>19</v>
      </c>
      <c r="F607" s="511"/>
      <c r="G607" s="512"/>
      <c r="H607" s="512"/>
      <c r="I607" s="512"/>
    </row>
    <row r="608" s="292" customFormat="1" ht="12.75" customHeight="1" spans="1:9">
      <c r="B608" s="474"/>
      <c r="C608" s="447"/>
      <c r="D608" s="473" t="s">
        <v>90</v>
      </c>
      <c r="E608" s="396">
        <f>COUNTIF(E566:E606,"P")</f>
        <v>22</v>
      </c>
      <c r="F608" s="484"/>
    </row>
    <row r="609" s="292" customFormat="1" ht="12.75" customHeight="1" spans="1:9">
      <c r="B609" s="394"/>
      <c r="C609" s="447"/>
      <c r="D609" s="456"/>
      <c r="E609" s="390"/>
    </row>
    <row r="610" s="292" customFormat="1" ht="12.75" customHeight="1" spans="1:9">
      <c r="B610" s="394" t="s">
        <v>91</v>
      </c>
      <c r="C610" s="447"/>
      <c r="D610" s="456"/>
      <c r="E610" s="390"/>
      <c r="F610" s="292" t="s">
        <v>92</v>
      </c>
    </row>
    <row r="611" s="292" customFormat="1" ht="12.75" customHeight="1" spans="1:9">
      <c r="B611" s="394"/>
      <c r="C611" s="447"/>
      <c r="D611" s="456"/>
      <c r="E611" s="390"/>
    </row>
    <row r="612" s="292" customFormat="1" ht="12.75" customHeight="1" spans="1:9">
      <c r="B612" s="394"/>
      <c r="C612" s="447"/>
      <c r="D612" s="456"/>
      <c r="E612" s="390"/>
    </row>
    <row r="613" s="292" customFormat="1" ht="12.75" customHeight="1" spans="1:9">
      <c r="B613" s="394"/>
      <c r="C613" s="447"/>
      <c r="D613" s="456"/>
      <c r="E613" s="390"/>
    </row>
    <row r="614" s="292" customFormat="1" ht="12.75" customHeight="1" spans="1:9">
      <c r="B614" s="475" t="s">
        <v>93</v>
      </c>
      <c r="C614" s="447"/>
      <c r="D614" s="456"/>
      <c r="E614" s="390"/>
      <c r="F614" s="292" t="s">
        <v>94</v>
      </c>
    </row>
    <row r="615" s="292" customFormat="1" ht="12.75" customHeight="1" spans="1:9">
      <c r="B615" s="398" t="s">
        <v>95</v>
      </c>
      <c r="C615" s="447"/>
      <c r="D615" s="456"/>
      <c r="E615" s="390"/>
    </row>
    <row r="616" ht="12.75" customHeight="1"/>
    <row r="617" ht="12.75" customHeight="1"/>
    <row r="621" ht="12.75" customHeight="1" spans="1:9">
      <c r="A621" s="297" t="s">
        <v>1</v>
      </c>
      <c r="B621" s="297"/>
      <c r="C621" s="297"/>
      <c r="D621" s="297"/>
      <c r="E621" s="297"/>
      <c r="F621" s="297"/>
      <c r="G621" s="297"/>
      <c r="H621" s="297"/>
      <c r="I621" s="297"/>
    </row>
    <row r="622" ht="12.75" customHeight="1" spans="1:9">
      <c r="A622" s="297" t="s">
        <v>2</v>
      </c>
      <c r="B622" s="297"/>
      <c r="C622" s="297"/>
      <c r="D622" s="297"/>
      <c r="E622" s="297"/>
      <c r="F622" s="297"/>
      <c r="G622" s="297"/>
      <c r="H622" s="297"/>
      <c r="I622" s="297"/>
    </row>
    <row r="623" ht="12.75" customHeight="1" spans="1:9">
      <c r="A623" s="297" t="s">
        <v>3</v>
      </c>
      <c r="B623" s="297"/>
      <c r="C623" s="297"/>
      <c r="D623" s="297"/>
      <c r="E623" s="297"/>
      <c r="F623" s="297"/>
      <c r="G623" s="297"/>
      <c r="H623" s="297"/>
      <c r="I623" s="297"/>
    </row>
    <row r="624" s="291" customFormat="1" ht="16.5" customHeight="1" spans="1:9">
      <c r="A624" s="298" t="s">
        <v>4</v>
      </c>
      <c r="B624" s="298"/>
      <c r="C624" s="298"/>
      <c r="D624" s="298"/>
      <c r="E624" s="298"/>
      <c r="F624" s="298"/>
      <c r="G624" s="298"/>
      <c r="H624" s="298"/>
      <c r="I624" s="298"/>
    </row>
    <row r="625" ht="12.75" customHeight="1" spans="1:9">
      <c r="A625" s="299" t="s">
        <v>5</v>
      </c>
      <c r="B625" s="299"/>
      <c r="C625" s="299"/>
      <c r="D625" s="299"/>
      <c r="E625" s="299"/>
      <c r="F625" s="299"/>
      <c r="G625" s="299"/>
      <c r="H625" s="299"/>
      <c r="I625" s="299"/>
    </row>
    <row r="626" customHeight="1" spans="1:9">
      <c r="A626" s="299"/>
      <c r="B626" s="299"/>
      <c r="C626" s="299"/>
      <c r="D626" s="299"/>
      <c r="E626" s="299"/>
      <c r="F626" s="299"/>
      <c r="G626" s="299"/>
      <c r="H626" s="299"/>
      <c r="I626" s="299"/>
    </row>
    <row r="627" ht="12.75" customHeight="1" spans="1:9">
      <c r="A627" s="299"/>
      <c r="B627" s="299"/>
      <c r="C627" s="299"/>
      <c r="D627" s="299"/>
      <c r="E627" s="299"/>
      <c r="F627" s="299"/>
      <c r="G627" s="299"/>
      <c r="H627" s="299"/>
      <c r="I627" s="299"/>
    </row>
    <row r="628" s="289" customFormat="1" ht="12.75" customHeight="1" spans="1:9">
      <c r="A628" s="300" t="s">
        <v>6</v>
      </c>
      <c r="B628" s="300"/>
      <c r="C628" s="300"/>
      <c r="D628" s="300"/>
      <c r="E628" s="300"/>
      <c r="F628" s="300"/>
      <c r="G628" s="300"/>
      <c r="H628" s="300"/>
      <c r="I628" s="300"/>
    </row>
    <row r="629" s="289" customFormat="1" ht="12.75" customHeight="1" spans="1:9">
      <c r="A629" s="300"/>
      <c r="B629" s="300"/>
      <c r="C629" s="300"/>
      <c r="D629" s="300"/>
      <c r="E629" s="300"/>
      <c r="F629" s="300"/>
      <c r="G629" s="300"/>
      <c r="H629" s="300"/>
      <c r="I629" s="300"/>
    </row>
    <row r="630" s="289" customFormat="1" customHeight="1" spans="1:9">
      <c r="A630" s="456"/>
      <c r="B630" s="302" t="s">
        <v>824</v>
      </c>
      <c r="C630" s="406"/>
      <c r="E630" s="407" t="s">
        <v>8</v>
      </c>
      <c r="F630" s="306" t="s">
        <v>825</v>
      </c>
      <c r="H630" s="503"/>
      <c r="I630" s="504"/>
    </row>
    <row r="631" s="289" customFormat="1" ht="24.75" customHeight="1" spans="1:9">
      <c r="A631" s="461" t="s">
        <v>10</v>
      </c>
      <c r="B631" s="308" t="s">
        <v>11</v>
      </c>
      <c r="C631" s="309" t="s">
        <v>12</v>
      </c>
      <c r="D631" s="308" t="s">
        <v>13</v>
      </c>
      <c r="E631" s="308" t="s">
        <v>14</v>
      </c>
      <c r="F631" s="310"/>
      <c r="G631" s="310"/>
      <c r="H631" s="501"/>
      <c r="I631" s="501"/>
    </row>
    <row r="632" customHeight="1" spans="1:9">
      <c r="A632" s="386">
        <v>1</v>
      </c>
      <c r="B632" s="414">
        <v>242510163</v>
      </c>
      <c r="C632" s="467" t="s">
        <v>826</v>
      </c>
      <c r="D632" s="277" t="s">
        <v>827</v>
      </c>
      <c r="E632" s="386" t="s">
        <v>23</v>
      </c>
      <c r="F632" s="317"/>
      <c r="G632" s="318"/>
      <c r="H632" s="318"/>
      <c r="I632" s="318"/>
    </row>
    <row r="633" ht="12.75" customHeight="1" spans="1:9">
      <c r="A633" s="386">
        <v>2</v>
      </c>
      <c r="B633" s="414">
        <v>242510280</v>
      </c>
      <c r="C633" s="465" t="s">
        <v>828</v>
      </c>
      <c r="D633" s="275" t="s">
        <v>829</v>
      </c>
      <c r="E633" s="386" t="s">
        <v>18</v>
      </c>
      <c r="F633" s="317"/>
      <c r="G633" s="318"/>
      <c r="H633" s="318"/>
      <c r="I633" s="318"/>
    </row>
    <row r="634" ht="12.75" customHeight="1" spans="1:9">
      <c r="A634" s="386">
        <v>3</v>
      </c>
      <c r="B634" s="414">
        <v>242510287</v>
      </c>
      <c r="C634" s="467" t="s">
        <v>830</v>
      </c>
      <c r="D634" s="277" t="s">
        <v>831</v>
      </c>
      <c r="E634" s="386" t="s">
        <v>23</v>
      </c>
      <c r="F634" s="317"/>
      <c r="G634" s="318"/>
      <c r="H634" s="318"/>
      <c r="I634" s="318"/>
    </row>
    <row r="635" ht="12.75" customHeight="1" spans="1:9">
      <c r="A635" s="386">
        <v>4</v>
      </c>
      <c r="B635" s="414">
        <v>242510323</v>
      </c>
      <c r="C635" s="465" t="s">
        <v>832</v>
      </c>
      <c r="D635" s="275" t="s">
        <v>833</v>
      </c>
      <c r="E635" s="403" t="s">
        <v>23</v>
      </c>
      <c r="F635" s="317"/>
      <c r="G635" s="318"/>
      <c r="H635" s="318"/>
      <c r="I635" s="318"/>
    </row>
    <row r="636" s="291" customFormat="1" ht="12.75" customHeight="1" spans="1:9">
      <c r="A636" s="386">
        <v>5</v>
      </c>
      <c r="B636" s="414">
        <v>242510090</v>
      </c>
      <c r="C636" s="467" t="s">
        <v>834</v>
      </c>
      <c r="D636" s="277" t="s">
        <v>835</v>
      </c>
      <c r="E636" s="386" t="s">
        <v>23</v>
      </c>
      <c r="F636" s="317"/>
      <c r="G636" s="318"/>
      <c r="H636" s="318"/>
      <c r="I636" s="318"/>
    </row>
    <row r="637" ht="12.75" customHeight="1" spans="1:9">
      <c r="A637" s="386">
        <v>6</v>
      </c>
      <c r="B637" s="414">
        <v>242510091</v>
      </c>
      <c r="C637" s="465" t="s">
        <v>836</v>
      </c>
      <c r="D637" s="275" t="s">
        <v>837</v>
      </c>
      <c r="E637" s="386" t="s">
        <v>18</v>
      </c>
      <c r="F637" s="317"/>
      <c r="G637" s="318"/>
      <c r="H637" s="318"/>
      <c r="I637" s="318"/>
    </row>
    <row r="638" ht="12.75" customHeight="1" spans="1:9">
      <c r="A638" s="386">
        <v>7</v>
      </c>
      <c r="B638" s="414">
        <v>242510325</v>
      </c>
      <c r="C638" s="467" t="s">
        <v>838</v>
      </c>
      <c r="D638" s="277" t="s">
        <v>839</v>
      </c>
      <c r="E638" s="386" t="s">
        <v>18</v>
      </c>
      <c r="F638" s="317"/>
      <c r="G638" s="318"/>
      <c r="H638" s="318"/>
      <c r="I638" s="318"/>
    </row>
    <row r="639" ht="12.75" customHeight="1" spans="1:9">
      <c r="A639" s="386">
        <v>8</v>
      </c>
      <c r="B639" s="414">
        <v>242510092</v>
      </c>
      <c r="C639" s="465" t="s">
        <v>840</v>
      </c>
      <c r="D639" s="275" t="s">
        <v>841</v>
      </c>
      <c r="E639" s="386" t="s">
        <v>23</v>
      </c>
      <c r="F639" s="317"/>
      <c r="G639" s="318"/>
      <c r="H639" s="318"/>
      <c r="I639" s="318"/>
    </row>
    <row r="640" ht="12.75" customHeight="1" spans="1:9">
      <c r="A640" s="386">
        <v>9</v>
      </c>
      <c r="B640" s="414">
        <v>252611434</v>
      </c>
      <c r="C640" s="467" t="s">
        <v>842</v>
      </c>
      <c r="D640" s="277" t="s">
        <v>843</v>
      </c>
      <c r="E640" s="386" t="s">
        <v>18</v>
      </c>
      <c r="F640" s="317"/>
      <c r="G640" s="318"/>
      <c r="H640" s="318"/>
      <c r="I640" s="318"/>
    </row>
    <row r="641" s="291" customFormat="1" ht="12.75" customHeight="1" spans="1:9">
      <c r="A641" s="386">
        <v>10</v>
      </c>
      <c r="B641" s="414">
        <v>242510362</v>
      </c>
      <c r="C641" s="465" t="s">
        <v>844</v>
      </c>
      <c r="D641" s="275" t="s">
        <v>845</v>
      </c>
      <c r="E641" s="386" t="s">
        <v>18</v>
      </c>
      <c r="F641" s="317"/>
      <c r="G641" s="318"/>
      <c r="H641" s="318"/>
      <c r="I641" s="318"/>
    </row>
    <row r="642" ht="12.75" customHeight="1" spans="1:9">
      <c r="A642" s="386">
        <v>11</v>
      </c>
      <c r="B642" s="414">
        <v>242510128</v>
      </c>
      <c r="C642" s="467" t="s">
        <v>846</v>
      </c>
      <c r="D642" s="277" t="s">
        <v>847</v>
      </c>
      <c r="E642" s="386" t="s">
        <v>23</v>
      </c>
      <c r="F642" s="317"/>
      <c r="G642" s="318"/>
      <c r="H642" s="318"/>
      <c r="I642" s="318"/>
    </row>
    <row r="643" ht="12.75" customHeight="1" spans="1:9">
      <c r="A643" s="386">
        <v>12</v>
      </c>
      <c r="B643" s="414">
        <v>242510014</v>
      </c>
      <c r="C643" s="465" t="s">
        <v>848</v>
      </c>
      <c r="D643" s="275" t="s">
        <v>849</v>
      </c>
      <c r="E643" s="386" t="s">
        <v>23</v>
      </c>
      <c r="F643" s="317"/>
      <c r="G643" s="318"/>
      <c r="H643" s="318"/>
      <c r="I643" s="318"/>
    </row>
    <row r="644" ht="12.75" customHeight="1" spans="1:9">
      <c r="A644" s="386">
        <v>13</v>
      </c>
      <c r="B644" s="414">
        <v>252611435</v>
      </c>
      <c r="C644" s="467" t="s">
        <v>850</v>
      </c>
      <c r="D644" s="281" t="s">
        <v>851</v>
      </c>
      <c r="E644" s="386" t="s">
        <v>23</v>
      </c>
      <c r="F644" s="317"/>
      <c r="G644" s="318"/>
      <c r="H644" s="318"/>
      <c r="I644" s="318"/>
    </row>
    <row r="645" ht="12.75" customHeight="1" spans="1:9">
      <c r="A645" s="386">
        <v>14</v>
      </c>
      <c r="B645" s="414">
        <v>242510253</v>
      </c>
      <c r="C645" s="465" t="s">
        <v>852</v>
      </c>
      <c r="D645" s="279" t="s">
        <v>853</v>
      </c>
      <c r="E645" s="386" t="s">
        <v>23</v>
      </c>
      <c r="F645" s="317"/>
      <c r="G645" s="318"/>
      <c r="H645" s="318"/>
      <c r="I645" s="318"/>
    </row>
    <row r="646" ht="12.75" customHeight="1" spans="1:9">
      <c r="A646" s="386">
        <v>15</v>
      </c>
      <c r="B646" s="414">
        <v>242510365</v>
      </c>
      <c r="C646" s="477" t="s">
        <v>854</v>
      </c>
      <c r="D646" s="281" t="s">
        <v>855</v>
      </c>
      <c r="E646" s="386" t="s">
        <v>18</v>
      </c>
      <c r="F646" s="317"/>
      <c r="G646" s="318"/>
      <c r="H646" s="318"/>
      <c r="I646" s="318"/>
    </row>
    <row r="647" ht="12.75" customHeight="1" spans="1:9">
      <c r="A647" s="386">
        <v>16</v>
      </c>
      <c r="B647" s="414">
        <v>242510099</v>
      </c>
      <c r="C647" s="465" t="s">
        <v>856</v>
      </c>
      <c r="D647" s="275" t="s">
        <v>857</v>
      </c>
      <c r="E647" s="386" t="s">
        <v>23</v>
      </c>
      <c r="F647" s="317"/>
      <c r="G647" s="318"/>
      <c r="H647" s="318"/>
      <c r="I647" s="318"/>
    </row>
    <row r="648" ht="12.75" customHeight="1" spans="1:9">
      <c r="A648" s="386">
        <v>17</v>
      </c>
      <c r="B648" s="414">
        <v>242510139</v>
      </c>
      <c r="C648" s="467" t="s">
        <v>858</v>
      </c>
      <c r="D648" s="277" t="s">
        <v>859</v>
      </c>
      <c r="E648" s="386" t="s">
        <v>23</v>
      </c>
      <c r="F648" s="317"/>
      <c r="G648" s="318"/>
      <c r="H648" s="318"/>
      <c r="I648" s="318"/>
    </row>
    <row r="649" ht="12.75" customHeight="1" spans="1:9">
      <c r="A649" s="386">
        <v>18</v>
      </c>
      <c r="B649" s="414">
        <v>242510181</v>
      </c>
      <c r="C649" s="465" t="s">
        <v>860</v>
      </c>
      <c r="D649" s="275" t="s">
        <v>861</v>
      </c>
      <c r="E649" s="386" t="s">
        <v>18</v>
      </c>
      <c r="F649" s="317"/>
      <c r="G649" s="318"/>
      <c r="H649" s="318"/>
      <c r="I649" s="318"/>
    </row>
    <row r="650" ht="12.75" customHeight="1" spans="1:9">
      <c r="A650" s="386">
        <v>19</v>
      </c>
      <c r="B650" s="414">
        <v>242510141</v>
      </c>
      <c r="C650" s="467" t="s">
        <v>862</v>
      </c>
      <c r="D650" s="277" t="s">
        <v>863</v>
      </c>
      <c r="E650" s="386" t="s">
        <v>18</v>
      </c>
      <c r="F650" s="317"/>
      <c r="G650" s="318"/>
      <c r="H650" s="318"/>
      <c r="I650" s="318"/>
    </row>
    <row r="651" ht="12.75" customHeight="1" spans="1:9">
      <c r="A651" s="386">
        <v>20</v>
      </c>
      <c r="B651" s="414">
        <v>242510224</v>
      </c>
      <c r="C651" s="465" t="s">
        <v>864</v>
      </c>
      <c r="D651" s="275" t="s">
        <v>865</v>
      </c>
      <c r="E651" s="386" t="s">
        <v>23</v>
      </c>
      <c r="F651" s="317"/>
      <c r="G651" s="318"/>
      <c r="H651" s="318"/>
      <c r="I651" s="318"/>
    </row>
    <row r="652" ht="12.75" customHeight="1" spans="1:9">
      <c r="A652" s="386">
        <v>21</v>
      </c>
      <c r="B652" s="414">
        <v>242510372</v>
      </c>
      <c r="C652" s="467" t="s">
        <v>866</v>
      </c>
      <c r="D652" s="277" t="s">
        <v>867</v>
      </c>
      <c r="E652" s="386" t="s">
        <v>23</v>
      </c>
      <c r="F652" s="317"/>
      <c r="G652" s="318"/>
      <c r="H652" s="318"/>
      <c r="I652" s="318"/>
    </row>
    <row r="653" ht="12.75" customHeight="1" spans="1:9">
      <c r="A653" s="386">
        <v>22</v>
      </c>
      <c r="B653" s="414">
        <v>242510336</v>
      </c>
      <c r="C653" s="465" t="s">
        <v>868</v>
      </c>
      <c r="D653" s="275" t="s">
        <v>869</v>
      </c>
      <c r="E653" s="386" t="s">
        <v>23</v>
      </c>
      <c r="F653" s="317"/>
      <c r="G653" s="318"/>
      <c r="H653" s="318"/>
      <c r="I653" s="318"/>
    </row>
    <row r="654" ht="12.75" customHeight="1" spans="1:9">
      <c r="A654" s="386">
        <v>23</v>
      </c>
      <c r="B654" s="414">
        <v>242510337</v>
      </c>
      <c r="C654" s="467" t="s">
        <v>870</v>
      </c>
      <c r="D654" s="277" t="s">
        <v>871</v>
      </c>
      <c r="E654" s="386" t="s">
        <v>23</v>
      </c>
      <c r="F654" s="317"/>
      <c r="G654" s="318"/>
      <c r="H654" s="318"/>
      <c r="I654" s="318"/>
    </row>
    <row r="655" ht="12.75" customHeight="1" spans="1:9">
      <c r="A655" s="386">
        <v>24</v>
      </c>
      <c r="B655" s="414">
        <v>242510143</v>
      </c>
      <c r="C655" s="465" t="s">
        <v>872</v>
      </c>
      <c r="D655" s="430" t="s">
        <v>873</v>
      </c>
      <c r="E655" s="386" t="s">
        <v>23</v>
      </c>
      <c r="F655" s="317"/>
      <c r="G655" s="318"/>
      <c r="H655" s="318"/>
      <c r="I655" s="318"/>
    </row>
    <row r="656" ht="12.75" customHeight="1" spans="1:9">
      <c r="A656" s="386">
        <v>25</v>
      </c>
      <c r="B656" s="414">
        <v>252611436</v>
      </c>
      <c r="C656" s="467" t="s">
        <v>874</v>
      </c>
      <c r="D656" s="277" t="s">
        <v>875</v>
      </c>
      <c r="E656" s="386" t="s">
        <v>23</v>
      </c>
      <c r="F656" s="317"/>
      <c r="G656" s="318"/>
      <c r="H656" s="318"/>
      <c r="I656" s="318"/>
    </row>
    <row r="657" ht="12.75" customHeight="1" spans="1:9">
      <c r="A657" s="386">
        <v>26</v>
      </c>
      <c r="B657" s="414">
        <v>242510030</v>
      </c>
      <c r="C657" s="465" t="s">
        <v>876</v>
      </c>
      <c r="D657" s="275" t="s">
        <v>877</v>
      </c>
      <c r="E657" s="386" t="s">
        <v>23</v>
      </c>
      <c r="F657" s="317"/>
      <c r="G657" s="318"/>
      <c r="H657" s="318"/>
      <c r="I657" s="318"/>
    </row>
    <row r="658" ht="12.75" customHeight="1" spans="1:9">
      <c r="A658" s="386">
        <v>27</v>
      </c>
      <c r="B658" s="414">
        <v>242510408</v>
      </c>
      <c r="C658" s="467" t="s">
        <v>878</v>
      </c>
      <c r="D658" s="277" t="s">
        <v>879</v>
      </c>
      <c r="E658" s="386" t="s">
        <v>23</v>
      </c>
      <c r="F658" s="317"/>
      <c r="G658" s="318"/>
      <c r="H658" s="318"/>
      <c r="I658" s="318"/>
    </row>
    <row r="659" ht="12.75" customHeight="1" spans="1:9">
      <c r="A659" s="386">
        <v>28</v>
      </c>
      <c r="B659" s="414">
        <v>242510189</v>
      </c>
      <c r="C659" s="465" t="s">
        <v>880</v>
      </c>
      <c r="D659" s="275" t="s">
        <v>881</v>
      </c>
      <c r="E659" s="386" t="s">
        <v>18</v>
      </c>
      <c r="F659" s="317"/>
      <c r="G659" s="318"/>
      <c r="H659" s="318"/>
      <c r="I659" s="318"/>
    </row>
    <row r="660" ht="12.75" customHeight="1" spans="1:9">
      <c r="A660" s="386">
        <v>29</v>
      </c>
      <c r="B660" s="414">
        <v>242510231</v>
      </c>
      <c r="C660" s="467" t="s">
        <v>882</v>
      </c>
      <c r="D660" s="281" t="s">
        <v>883</v>
      </c>
      <c r="E660" s="403" t="s">
        <v>23</v>
      </c>
      <c r="F660" s="317"/>
      <c r="G660" s="318"/>
      <c r="H660" s="318"/>
      <c r="I660" s="318"/>
    </row>
    <row r="661" ht="12.75" customHeight="1" spans="1:9">
      <c r="A661" s="386">
        <v>30</v>
      </c>
      <c r="B661" s="414">
        <v>242510384</v>
      </c>
      <c r="C661" s="465" t="s">
        <v>884</v>
      </c>
      <c r="D661" s="275" t="s">
        <v>885</v>
      </c>
      <c r="E661" s="386" t="s">
        <v>23</v>
      </c>
      <c r="F661" s="317"/>
      <c r="G661" s="318"/>
      <c r="H661" s="318"/>
      <c r="I661" s="318"/>
    </row>
    <row r="662" ht="12.75" customHeight="1" spans="1:9">
      <c r="A662" s="386">
        <v>31</v>
      </c>
      <c r="B662" s="414">
        <v>242510150</v>
      </c>
      <c r="C662" s="465" t="s">
        <v>886</v>
      </c>
      <c r="D662" s="275" t="s">
        <v>887</v>
      </c>
      <c r="E662" s="479" t="s">
        <v>18</v>
      </c>
      <c r="F662" s="326"/>
      <c r="G662" s="327"/>
      <c r="H662" s="327"/>
      <c r="I662" s="327"/>
    </row>
    <row r="663" ht="12.75" customHeight="1" spans="1:9">
      <c r="A663" s="386">
        <v>32</v>
      </c>
      <c r="B663" s="414">
        <v>242510039</v>
      </c>
      <c r="C663" s="467" t="s">
        <v>888</v>
      </c>
      <c r="D663" s="277" t="s">
        <v>889</v>
      </c>
      <c r="E663" s="386" t="s">
        <v>23</v>
      </c>
      <c r="F663" s="317"/>
      <c r="G663" s="318"/>
      <c r="H663" s="318"/>
      <c r="I663" s="318"/>
    </row>
    <row r="664" ht="12.75" customHeight="1" spans="1:9">
      <c r="A664" s="386">
        <v>33</v>
      </c>
      <c r="B664" s="414">
        <v>242510152</v>
      </c>
      <c r="C664" s="465" t="s">
        <v>890</v>
      </c>
      <c r="D664" s="275" t="s">
        <v>891</v>
      </c>
      <c r="E664" s="386" t="s">
        <v>18</v>
      </c>
      <c r="F664" s="317"/>
      <c r="G664" s="318"/>
      <c r="H664" s="318"/>
      <c r="I664" s="318"/>
    </row>
    <row r="665" ht="12.75" customHeight="1" spans="1:9">
      <c r="A665" s="386">
        <v>34</v>
      </c>
      <c r="B665" s="414">
        <v>242510195</v>
      </c>
      <c r="C665" s="467" t="s">
        <v>892</v>
      </c>
      <c r="D665" s="277" t="s">
        <v>893</v>
      </c>
      <c r="E665" s="386" t="s">
        <v>18</v>
      </c>
      <c r="F665" s="317"/>
      <c r="G665" s="318"/>
      <c r="H665" s="318"/>
      <c r="I665" s="318"/>
    </row>
    <row r="666" ht="12.75" customHeight="1" spans="1:9">
      <c r="A666" s="386">
        <v>35</v>
      </c>
      <c r="B666" s="414">
        <v>242510312</v>
      </c>
      <c r="C666" s="465" t="s">
        <v>894</v>
      </c>
      <c r="D666" s="275" t="s">
        <v>895</v>
      </c>
      <c r="E666" s="386" t="s">
        <v>18</v>
      </c>
      <c r="F666" s="317"/>
      <c r="G666" s="318"/>
      <c r="H666" s="318"/>
      <c r="I666" s="318"/>
    </row>
    <row r="667" ht="12.75" customHeight="1" spans="1:9">
      <c r="A667" s="386">
        <v>36</v>
      </c>
      <c r="B667" s="414">
        <v>242510349</v>
      </c>
      <c r="C667" s="467" t="s">
        <v>896</v>
      </c>
      <c r="D667" s="277" t="s">
        <v>897</v>
      </c>
      <c r="E667" s="386" t="s">
        <v>18</v>
      </c>
      <c r="F667" s="317"/>
      <c r="G667" s="318"/>
      <c r="H667" s="318"/>
      <c r="I667" s="318"/>
    </row>
    <row r="668" ht="12.75" customHeight="1" spans="1:9">
      <c r="A668" s="386">
        <v>37</v>
      </c>
      <c r="B668" s="414">
        <v>242510421</v>
      </c>
      <c r="C668" s="465" t="s">
        <v>898</v>
      </c>
      <c r="D668" s="275" t="s">
        <v>899</v>
      </c>
      <c r="E668" s="386" t="s">
        <v>18</v>
      </c>
      <c r="F668" s="317"/>
      <c r="G668" s="318"/>
      <c r="H668" s="318"/>
      <c r="I668" s="318"/>
    </row>
    <row r="669" ht="12.75" customHeight="1" spans="1:9">
      <c r="A669" s="386">
        <v>38</v>
      </c>
      <c r="B669" s="414">
        <v>242510388</v>
      </c>
      <c r="C669" s="477" t="s">
        <v>900</v>
      </c>
      <c r="D669" s="281" t="s">
        <v>901</v>
      </c>
      <c r="E669" s="386" t="s">
        <v>18</v>
      </c>
      <c r="F669" s="317"/>
      <c r="G669" s="318"/>
      <c r="H669" s="318"/>
      <c r="I669" s="318"/>
    </row>
    <row r="670" ht="12.75" customHeight="1" spans="1:9">
      <c r="A670" s="386">
        <v>39</v>
      </c>
      <c r="B670" s="414">
        <v>242510427</v>
      </c>
      <c r="C670" s="465" t="s">
        <v>902</v>
      </c>
      <c r="D670" s="275" t="s">
        <v>903</v>
      </c>
      <c r="E670" s="386" t="s">
        <v>23</v>
      </c>
      <c r="F670" s="317"/>
      <c r="G670" s="318"/>
      <c r="H670" s="318"/>
      <c r="I670" s="318"/>
    </row>
    <row r="671" ht="12.75" customHeight="1" spans="1:9">
      <c r="A671" s="386">
        <v>40</v>
      </c>
      <c r="B671" s="414">
        <v>242510352</v>
      </c>
      <c r="C671" s="467" t="s">
        <v>904</v>
      </c>
      <c r="D671" s="277" t="s">
        <v>905</v>
      </c>
      <c r="E671" s="479" t="s">
        <v>18</v>
      </c>
      <c r="F671" s="326"/>
      <c r="G671" s="327"/>
      <c r="H671" s="327"/>
      <c r="I671" s="327"/>
    </row>
    <row r="672" s="292" customFormat="1" ht="12.75" customHeight="1" spans="1:9">
      <c r="A672" s="506"/>
      <c r="B672" s="507"/>
      <c r="C672" s="508"/>
      <c r="D672" s="509" t="s">
        <v>89</v>
      </c>
      <c r="E672" s="510">
        <f>COUNTIF(E632:E671,"L")</f>
        <v>23</v>
      </c>
      <c r="F672" s="511"/>
      <c r="G672" s="512"/>
      <c r="H672" s="512"/>
      <c r="I672" s="512"/>
    </row>
    <row r="673" s="292" customFormat="1" ht="12.75" customHeight="1" spans="2:6">
      <c r="B673" s="474"/>
      <c r="C673" s="447"/>
      <c r="D673" s="473" t="s">
        <v>90</v>
      </c>
      <c r="E673" s="396">
        <f>COUNTIF(E632:E671,"P")</f>
        <v>17</v>
      </c>
      <c r="F673" s="484"/>
    </row>
    <row r="674" s="292" customFormat="1" ht="12.75" customHeight="1" spans="2:6">
      <c r="B674" s="394"/>
      <c r="C674" s="447"/>
      <c r="D674" s="456"/>
      <c r="E674" s="390"/>
    </row>
    <row r="675" s="292" customFormat="1" ht="12.75" customHeight="1" spans="2:6">
      <c r="B675" s="394" t="s">
        <v>91</v>
      </c>
      <c r="C675" s="447"/>
      <c r="D675" s="456"/>
      <c r="E675" s="390"/>
      <c r="F675" s="292" t="s">
        <v>92</v>
      </c>
    </row>
    <row r="676" s="292" customFormat="1" ht="12.75" customHeight="1" spans="2:6">
      <c r="B676" s="394"/>
      <c r="C676" s="447"/>
      <c r="D676" s="456"/>
      <c r="E676" s="390"/>
    </row>
    <row r="677" s="292" customFormat="1" ht="12.75" customHeight="1" spans="2:6">
      <c r="B677" s="394"/>
      <c r="C677" s="447"/>
      <c r="D677" s="456"/>
      <c r="E677" s="390"/>
    </row>
    <row r="678" s="292" customFormat="1" ht="12.75" customHeight="1" spans="2:6">
      <c r="B678" s="394"/>
      <c r="C678" s="447"/>
      <c r="D678" s="456"/>
      <c r="E678" s="390"/>
    </row>
    <row r="679" s="292" customFormat="1" ht="12.75" customHeight="1" spans="2:6">
      <c r="B679" s="475" t="s">
        <v>93</v>
      </c>
      <c r="C679" s="447"/>
      <c r="D679" s="456"/>
      <c r="E679" s="390"/>
      <c r="F679" s="292" t="s">
        <v>94</v>
      </c>
    </row>
    <row r="680" s="292" customFormat="1" ht="12.75" customHeight="1" spans="2:6">
      <c r="B680" s="398" t="s">
        <v>95</v>
      </c>
      <c r="C680" s="447"/>
      <c r="D680" s="456"/>
      <c r="E680" s="390"/>
    </row>
    <row r="681" ht="12.75" customHeight="1"/>
    <row r="682" ht="12.75" customHeight="1"/>
  </sheetData>
  <autoFilter xmlns:etc="http://www.wps.cn/officeDocument/2017/etCustomData" ref="A12:E110" etc:filterBottomFollowUsedRange="0">
    <extLst/>
  </autoFilter>
  <mergeCells count="66">
    <mergeCell ref="A2:I2"/>
    <mergeCell ref="A3:I3"/>
    <mergeCell ref="A4:I4"/>
    <mergeCell ref="A5:I5"/>
    <mergeCell ref="A61:I61"/>
    <mergeCell ref="A62:I62"/>
    <mergeCell ref="A63:I63"/>
    <mergeCell ref="A64:I64"/>
    <mergeCell ref="A119:I119"/>
    <mergeCell ref="A120:I120"/>
    <mergeCell ref="A121:I121"/>
    <mergeCell ref="A122:I122"/>
    <mergeCell ref="A179:I179"/>
    <mergeCell ref="A180:I180"/>
    <mergeCell ref="A181:I181"/>
    <mergeCell ref="A182:I182"/>
    <mergeCell ref="A238:I238"/>
    <mergeCell ref="A239:I239"/>
    <mergeCell ref="A240:I240"/>
    <mergeCell ref="A241:I241"/>
    <mergeCell ref="A297:I297"/>
    <mergeCell ref="A298:I298"/>
    <mergeCell ref="A299:I299"/>
    <mergeCell ref="A300:I300"/>
    <mergeCell ref="A355:I355"/>
    <mergeCell ref="A356:I356"/>
    <mergeCell ref="A357:I357"/>
    <mergeCell ref="A358:I358"/>
    <mergeCell ref="A423:I423"/>
    <mergeCell ref="A424:I424"/>
    <mergeCell ref="A425:I425"/>
    <mergeCell ref="A426:I426"/>
    <mergeCell ref="A489:I489"/>
    <mergeCell ref="A490:I490"/>
    <mergeCell ref="A491:I491"/>
    <mergeCell ref="A492:I492"/>
    <mergeCell ref="A555:I555"/>
    <mergeCell ref="A556:I556"/>
    <mergeCell ref="A557:I557"/>
    <mergeCell ref="A558:I558"/>
    <mergeCell ref="A621:I621"/>
    <mergeCell ref="A622:I622"/>
    <mergeCell ref="A623:I623"/>
    <mergeCell ref="A624:I624"/>
    <mergeCell ref="A6:I8"/>
    <mergeCell ref="A9:I10"/>
    <mergeCell ref="A65:I67"/>
    <mergeCell ref="A68:I69"/>
    <mergeCell ref="A123:I125"/>
    <mergeCell ref="A126:I127"/>
    <mergeCell ref="A183:I185"/>
    <mergeCell ref="A186:I187"/>
    <mergeCell ref="A242:I244"/>
    <mergeCell ref="A245:I246"/>
    <mergeCell ref="A301:I303"/>
    <mergeCell ref="A304:I305"/>
    <mergeCell ref="A359:I361"/>
    <mergeCell ref="A362:I363"/>
    <mergeCell ref="A427:I429"/>
    <mergeCell ref="A430:I431"/>
    <mergeCell ref="A493:I495"/>
    <mergeCell ref="A496:I497"/>
    <mergeCell ref="A559:I561"/>
    <mergeCell ref="A562:I563"/>
    <mergeCell ref="A625:I627"/>
    <mergeCell ref="A628:I629"/>
  </mergeCells>
  <conditionalFormatting sqref="K41">
    <cfRule type="expression" dxfId="0" priority="2">
      <formula>COUNTIF(K:K,K41)&gt;1</formula>
    </cfRule>
  </conditionalFormatting>
  <conditionalFormatting sqref="D149">
    <cfRule type="expression" dxfId="0" priority="11">
      <formula>COUNTIF(D:D,D149)&gt;1</formula>
    </cfRule>
  </conditionalFormatting>
  <conditionalFormatting sqref="D392">
    <cfRule type="expression" dxfId="0" priority="7">
      <formula>COUNTIF(D:D,D392)&gt;1</formula>
    </cfRule>
  </conditionalFormatting>
  <conditionalFormatting sqref="D442">
    <cfRule type="expression" dxfId="0" priority="10">
      <formula>COUNTIF(D:D,D442)&gt;1</formula>
    </cfRule>
  </conditionalFormatting>
  <conditionalFormatting sqref="B446">
    <cfRule type="expression" dxfId="0" priority="9">
      <formula>COUNTIF(B:B,B446)&gt;1</formula>
    </cfRule>
  </conditionalFormatting>
  <conditionalFormatting sqref="D531">
    <cfRule type="expression" dxfId="0" priority="8">
      <formula>COUNTIF(D:D,D531)&gt;1</formula>
    </cfRule>
  </conditionalFormatting>
  <conditionalFormatting sqref="D72:D78 D80:D81 D83:D106 D197">
    <cfRule type="expression" dxfId="0" priority="6">
      <formula>COUNTIF(D:D,D72)&gt;1</formula>
    </cfRule>
  </conditionalFormatting>
  <conditionalFormatting sqref="D82 D190:D196 D198:D211 D213:D214 D216:D221 D223:D226">
    <cfRule type="expression" dxfId="0" priority="4">
      <formula>COUNTIF(D:D,D82)&gt;1</formula>
    </cfRule>
  </conditionalFormatting>
  <conditionalFormatting sqref="D130:D148 D150 D152:D168 D261">
    <cfRule type="expression" dxfId="0" priority="5">
      <formula>COUNTIF(D:D,D130)&gt;1</formula>
    </cfRule>
  </conditionalFormatting>
  <conditionalFormatting sqref="D249:D260 D262:D267 D269:D283 D441">
    <cfRule type="expression" dxfId="0" priority="3">
      <formula>COUNTIF(D:D,D249)&gt;1</formula>
    </cfRule>
  </conditionalFormatting>
  <pageMargins left="0.66875" right="0.156944444444444" top="0.275" bottom="0.786805555555556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04"/>
  <sheetViews>
    <sheetView showGridLines="0" zoomScale="140" zoomScaleNormal="140" topLeftCell="A105" workbookViewId="0">
      <selection activeCell="O79" sqref="O79"/>
    </sheetView>
  </sheetViews>
  <sheetFormatPr defaultColWidth="11.5333333333333" defaultRowHeight="15" customHeight="1"/>
  <cols>
    <col min="1" max="1" width="4.51666666666667" style="293" customWidth="1"/>
    <col min="2" max="2" width="13.1416666666667" style="294" customWidth="1"/>
    <col min="3" max="3" width="13.2916666666667" style="404" hidden="1" customWidth="1"/>
    <col min="4" max="4" width="37.0083333333333" style="295" customWidth="1"/>
    <col min="5" max="5" width="5.70833333333333" style="405" customWidth="1"/>
    <col min="6" max="6" width="5.175" style="296" customWidth="1"/>
    <col min="7" max="9" width="5.70833333333333" style="296" customWidth="1"/>
    <col min="10" max="10" width="5.175" style="296" customWidth="1"/>
    <col min="11" max="11" width="8.74166666666667" style="296" customWidth="1"/>
    <col min="12" max="12" width="13.3916666666667" style="296" customWidth="1"/>
    <col min="13" max="14" width="11.5333333333333" style="296"/>
    <col min="15" max="15" width="7.375" style="296" customWidth="1"/>
    <col min="16" max="18" width="11.5333333333333" style="296"/>
    <col min="19" max="19" width="15.4333333333333" style="296" customWidth="1"/>
    <col min="20" max="16384" width="11.5333333333333" style="296"/>
  </cols>
  <sheetData>
    <row r="2" ht="12.75" customHeight="1" spans="1:13">
      <c r="A2" s="297" t="s">
        <v>1</v>
      </c>
      <c r="B2" s="297"/>
      <c r="C2" s="297"/>
      <c r="D2" s="297"/>
      <c r="E2" s="297"/>
      <c r="F2" s="297"/>
      <c r="G2" s="297"/>
      <c r="H2" s="297"/>
      <c r="I2" s="297"/>
    </row>
    <row r="3" ht="12.75" customHeight="1" spans="1:13">
      <c r="A3" s="297" t="s">
        <v>2</v>
      </c>
      <c r="B3" s="297"/>
      <c r="C3" s="297"/>
      <c r="D3" s="297"/>
      <c r="E3" s="297"/>
      <c r="F3" s="297"/>
      <c r="G3" s="297"/>
      <c r="H3" s="297"/>
      <c r="I3" s="297"/>
    </row>
    <row r="4" ht="12.75" customHeight="1" spans="1:13">
      <c r="A4" s="297" t="s">
        <v>3</v>
      </c>
      <c r="B4" s="297"/>
      <c r="C4" s="297"/>
      <c r="D4" s="297"/>
      <c r="E4" s="297"/>
      <c r="F4" s="297"/>
      <c r="G4" s="297"/>
      <c r="H4" s="297"/>
      <c r="I4" s="297"/>
    </row>
    <row r="5" s="291" customFormat="1" ht="16.5" customHeight="1" spans="1:13">
      <c r="A5" s="298" t="s">
        <v>4</v>
      </c>
      <c r="B5" s="298"/>
      <c r="C5" s="298"/>
      <c r="D5" s="298"/>
      <c r="E5" s="298"/>
      <c r="F5" s="298"/>
      <c r="G5" s="298"/>
      <c r="H5" s="298"/>
      <c r="I5" s="298"/>
    </row>
    <row r="6" ht="12.75" customHeight="1" spans="1:13">
      <c r="A6" s="299" t="s">
        <v>5</v>
      </c>
      <c r="B6" s="299"/>
      <c r="C6" s="299"/>
      <c r="D6" s="299"/>
      <c r="E6" s="299"/>
      <c r="F6" s="299"/>
      <c r="G6" s="299"/>
      <c r="H6" s="299"/>
      <c r="I6" s="299"/>
    </row>
    <row r="7" customHeight="1" spans="1:13">
      <c r="A7" s="299"/>
      <c r="B7" s="299"/>
      <c r="C7" s="299"/>
      <c r="D7" s="299"/>
      <c r="E7" s="299"/>
      <c r="F7" s="299"/>
      <c r="G7" s="299"/>
      <c r="H7" s="299"/>
      <c r="I7" s="299"/>
    </row>
    <row r="8" ht="12.75" customHeight="1" spans="1:13">
      <c r="A8" s="299"/>
      <c r="B8" s="299"/>
      <c r="C8" s="299"/>
      <c r="D8" s="299"/>
      <c r="E8" s="299"/>
      <c r="F8" s="299"/>
      <c r="G8" s="299"/>
      <c r="H8" s="299"/>
      <c r="I8" s="299"/>
    </row>
    <row r="9" s="289" customFormat="1" ht="12.75" customHeight="1" spans="1:13">
      <c r="A9" s="300" t="s">
        <v>6</v>
      </c>
      <c r="B9" s="300"/>
      <c r="C9" s="300"/>
      <c r="D9" s="300"/>
      <c r="E9" s="300"/>
      <c r="F9" s="300"/>
      <c r="G9" s="300"/>
      <c r="H9" s="300"/>
      <c r="I9" s="300"/>
    </row>
    <row r="10" s="289" customFormat="1" ht="12.75" customHeight="1" spans="1:13">
      <c r="A10" s="300"/>
      <c r="B10" s="300"/>
      <c r="C10" s="300"/>
      <c r="D10" s="300"/>
      <c r="E10" s="300"/>
      <c r="F10" s="300"/>
      <c r="G10" s="300"/>
      <c r="H10" s="300"/>
      <c r="I10" s="300"/>
    </row>
    <row r="11" s="289" customFormat="1" ht="12.75" customHeight="1" spans="1:13">
      <c r="A11" s="301"/>
      <c r="B11" s="302" t="s">
        <v>906</v>
      </c>
      <c r="C11" s="406"/>
      <c r="D11" s="304"/>
      <c r="E11" s="407" t="s">
        <v>8</v>
      </c>
      <c r="F11" s="306" t="s">
        <v>907</v>
      </c>
    </row>
    <row r="12" s="290" customFormat="1" ht="19.5" customHeight="1" spans="1:13">
      <c r="A12" s="307" t="s">
        <v>10</v>
      </c>
      <c r="B12" s="308" t="s">
        <v>11</v>
      </c>
      <c r="C12" s="309" t="s">
        <v>12</v>
      </c>
      <c r="D12" s="308" t="s">
        <v>13</v>
      </c>
      <c r="E12" s="308" t="s">
        <v>14</v>
      </c>
      <c r="F12" s="311">
        <v>46364</v>
      </c>
      <c r="G12" s="310" t="s">
        <v>908</v>
      </c>
      <c r="H12" s="408"/>
      <c r="I12" s="310" t="s">
        <v>909</v>
      </c>
      <c r="J12" s="310" t="s">
        <v>908</v>
      </c>
      <c r="K12" s="311">
        <v>46267</v>
      </c>
      <c r="L12" s="310" t="s">
        <v>908</v>
      </c>
      <c r="M12" s="409">
        <v>46274</v>
      </c>
    </row>
    <row r="13" ht="12.75" customHeight="1" spans="1:13">
      <c r="A13" s="314">
        <v>1</v>
      </c>
      <c r="B13" s="266">
        <v>252610147</v>
      </c>
      <c r="C13" s="315" t="s">
        <v>910</v>
      </c>
      <c r="D13" s="410" t="s">
        <v>911</v>
      </c>
      <c r="E13" s="314" t="s">
        <v>18</v>
      </c>
      <c r="F13" s="317">
        <v>1</v>
      </c>
      <c r="G13" s="318">
        <v>1</v>
      </c>
      <c r="H13" s="411"/>
      <c r="I13" s="318">
        <v>1</v>
      </c>
      <c r="J13" s="318"/>
      <c r="K13" s="318">
        <v>1</v>
      </c>
      <c r="L13" s="318"/>
      <c r="M13" s="296">
        <v>1</v>
      </c>
    </row>
    <row r="14" ht="12.75" customHeight="1" spans="1:13">
      <c r="A14" s="314">
        <v>2</v>
      </c>
      <c r="B14" s="269">
        <v>252610245</v>
      </c>
      <c r="C14" s="315" t="s">
        <v>912</v>
      </c>
      <c r="D14" s="412" t="s">
        <v>913</v>
      </c>
      <c r="E14" s="314" t="s">
        <v>18</v>
      </c>
      <c r="F14" s="317">
        <v>1</v>
      </c>
      <c r="G14" s="318">
        <v>1</v>
      </c>
      <c r="H14" s="411"/>
      <c r="I14" s="318">
        <v>1</v>
      </c>
      <c r="J14" s="318"/>
      <c r="K14" s="318">
        <v>1</v>
      </c>
      <c r="L14" s="318"/>
      <c r="M14" s="296">
        <v>1</v>
      </c>
    </row>
    <row r="15" ht="12.75" customHeight="1" spans="1:13">
      <c r="A15" s="314">
        <v>3</v>
      </c>
      <c r="B15" s="266">
        <v>252610195</v>
      </c>
      <c r="C15" s="315" t="s">
        <v>914</v>
      </c>
      <c r="D15" s="410" t="s">
        <v>915</v>
      </c>
      <c r="E15" s="314" t="s">
        <v>18</v>
      </c>
      <c r="F15" s="317">
        <v>1</v>
      </c>
      <c r="G15" s="318">
        <v>1</v>
      </c>
      <c r="H15" s="411"/>
      <c r="I15" s="318">
        <v>1</v>
      </c>
      <c r="J15" s="318"/>
      <c r="K15" s="318">
        <v>1</v>
      </c>
      <c r="L15" s="318"/>
      <c r="M15" s="296">
        <v>1</v>
      </c>
    </row>
    <row r="16" ht="12.75" customHeight="1" spans="1:13">
      <c r="A16" s="314">
        <v>4</v>
      </c>
      <c r="B16" s="269">
        <v>252610291</v>
      </c>
      <c r="C16" s="315" t="s">
        <v>916</v>
      </c>
      <c r="D16" s="412" t="s">
        <v>917</v>
      </c>
      <c r="E16" s="314" t="s">
        <v>18</v>
      </c>
      <c r="F16" s="317">
        <v>1</v>
      </c>
      <c r="G16" s="318">
        <v>1</v>
      </c>
      <c r="H16" s="411"/>
      <c r="I16" s="318">
        <v>1</v>
      </c>
      <c r="J16" s="318"/>
      <c r="K16" s="318">
        <v>1</v>
      </c>
      <c r="L16" s="318"/>
      <c r="M16" s="296">
        <v>1</v>
      </c>
    </row>
    <row r="17" ht="12.75" customHeight="1" spans="1:13">
      <c r="A17" s="314">
        <v>5</v>
      </c>
      <c r="B17" s="413">
        <v>252610008</v>
      </c>
      <c r="C17" s="414" t="s">
        <v>918</v>
      </c>
      <c r="D17" s="415" t="s">
        <v>919</v>
      </c>
      <c r="E17" s="314" t="s">
        <v>18</v>
      </c>
      <c r="F17" s="317">
        <v>1</v>
      </c>
      <c r="G17" s="318">
        <v>1</v>
      </c>
      <c r="H17" s="411"/>
      <c r="I17" s="318">
        <v>1</v>
      </c>
      <c r="J17" s="318"/>
      <c r="K17" s="318">
        <v>1</v>
      </c>
      <c r="L17" s="318"/>
      <c r="M17" s="296">
        <v>1</v>
      </c>
    </row>
    <row r="18" ht="12.75" customHeight="1" spans="1:13">
      <c r="A18" s="314">
        <v>6</v>
      </c>
      <c r="B18" s="269">
        <v>252610149</v>
      </c>
      <c r="C18" s="315" t="s">
        <v>920</v>
      </c>
      <c r="D18" s="412" t="s">
        <v>921</v>
      </c>
      <c r="E18" s="314" t="s">
        <v>23</v>
      </c>
      <c r="F18" s="317">
        <v>1</v>
      </c>
      <c r="G18" s="318">
        <v>1</v>
      </c>
      <c r="H18" s="411"/>
      <c r="I18" s="318">
        <v>1</v>
      </c>
      <c r="J18" s="318"/>
      <c r="K18" s="318">
        <v>1</v>
      </c>
      <c r="L18" s="318"/>
      <c r="M18" s="296">
        <v>1</v>
      </c>
    </row>
    <row r="19" ht="12.75" customHeight="1" spans="1:13">
      <c r="A19" s="314">
        <v>7</v>
      </c>
      <c r="B19" s="266">
        <v>252610340</v>
      </c>
      <c r="C19" s="315" t="s">
        <v>922</v>
      </c>
      <c r="D19" s="416" t="s">
        <v>923</v>
      </c>
      <c r="E19" s="314" t="s">
        <v>18</v>
      </c>
      <c r="F19" s="317">
        <v>1</v>
      </c>
      <c r="G19" s="318">
        <v>1</v>
      </c>
      <c r="H19" s="411"/>
      <c r="I19" s="318">
        <v>1</v>
      </c>
      <c r="J19" s="318">
        <v>0</v>
      </c>
      <c r="K19" s="318">
        <v>1</v>
      </c>
      <c r="L19" s="318"/>
      <c r="M19" s="296">
        <v>1</v>
      </c>
    </row>
    <row r="20" ht="12.75" customHeight="1" spans="1:13">
      <c r="A20" s="314">
        <v>8</v>
      </c>
      <c r="B20" s="269">
        <v>252610054</v>
      </c>
      <c r="C20" s="315" t="s">
        <v>924</v>
      </c>
      <c r="D20" s="412" t="s">
        <v>925</v>
      </c>
      <c r="E20" s="314" t="s">
        <v>18</v>
      </c>
      <c r="F20" s="317">
        <v>1</v>
      </c>
      <c r="G20" s="318">
        <v>1</v>
      </c>
      <c r="H20" s="411"/>
      <c r="I20" s="318">
        <v>1</v>
      </c>
      <c r="J20" s="318"/>
      <c r="K20" s="318">
        <v>1</v>
      </c>
      <c r="L20" s="318"/>
      <c r="M20" s="296">
        <v>1</v>
      </c>
    </row>
    <row r="21" ht="12.75" customHeight="1" spans="1:13">
      <c r="A21" s="314">
        <v>9</v>
      </c>
      <c r="B21" s="266">
        <v>252610102</v>
      </c>
      <c r="C21" s="321" t="s">
        <v>926</v>
      </c>
      <c r="D21" s="410" t="s">
        <v>927</v>
      </c>
      <c r="E21" s="314" t="s">
        <v>18</v>
      </c>
      <c r="F21" s="317">
        <v>1</v>
      </c>
      <c r="G21" s="318">
        <v>0</v>
      </c>
      <c r="H21" s="411"/>
      <c r="I21" s="318">
        <v>1</v>
      </c>
      <c r="J21" s="318"/>
      <c r="K21" s="318">
        <v>1</v>
      </c>
      <c r="L21" s="318"/>
      <c r="M21" s="296">
        <v>1</v>
      </c>
    </row>
    <row r="22" ht="12.75" customHeight="1" spans="1:13">
      <c r="A22" s="314">
        <v>10</v>
      </c>
      <c r="B22" s="269">
        <v>252610538</v>
      </c>
      <c r="C22" s="315" t="s">
        <v>928</v>
      </c>
      <c r="D22" s="412" t="s">
        <v>929</v>
      </c>
      <c r="E22" s="314" t="s">
        <v>18</v>
      </c>
      <c r="F22" s="317">
        <v>1</v>
      </c>
      <c r="G22" s="318">
        <v>1</v>
      </c>
      <c r="H22" s="411"/>
      <c r="I22" s="318">
        <v>1</v>
      </c>
      <c r="J22" s="318"/>
      <c r="K22" s="318">
        <v>1</v>
      </c>
      <c r="L22" s="318"/>
      <c r="M22" s="296">
        <v>1</v>
      </c>
    </row>
    <row r="23" ht="12.75" customHeight="1" spans="1:13">
      <c r="A23" s="314">
        <v>11</v>
      </c>
      <c r="B23" s="284">
        <v>252610014</v>
      </c>
      <c r="C23" s="414" t="s">
        <v>930</v>
      </c>
      <c r="D23" s="417" t="s">
        <v>931</v>
      </c>
      <c r="E23" s="314" t="s">
        <v>18</v>
      </c>
      <c r="F23" s="317">
        <v>1</v>
      </c>
      <c r="G23" s="318">
        <v>0</v>
      </c>
      <c r="H23" s="411"/>
      <c r="I23" s="318">
        <v>1</v>
      </c>
      <c r="J23" s="318"/>
      <c r="K23" s="318">
        <v>1</v>
      </c>
      <c r="L23" s="318"/>
      <c r="M23" s="296">
        <v>1</v>
      </c>
    </row>
    <row r="24" ht="12.75" customHeight="1" spans="1:13">
      <c r="A24" s="314">
        <v>12</v>
      </c>
      <c r="B24" s="266">
        <v>252610110</v>
      </c>
      <c r="C24" s="414"/>
      <c r="D24" s="410" t="s">
        <v>932</v>
      </c>
      <c r="E24" s="314" t="s">
        <v>18</v>
      </c>
      <c r="F24" s="317">
        <v>1</v>
      </c>
      <c r="G24" s="318">
        <v>1</v>
      </c>
      <c r="H24" s="411"/>
      <c r="I24" s="318">
        <v>1</v>
      </c>
      <c r="J24" s="318"/>
      <c r="K24" s="318">
        <v>1</v>
      </c>
      <c r="L24" s="318"/>
      <c r="M24" s="296">
        <v>1</v>
      </c>
    </row>
    <row r="25" ht="12.75" customHeight="1" spans="1:13">
      <c r="A25" s="314">
        <v>13</v>
      </c>
      <c r="B25" s="269">
        <v>252610063</v>
      </c>
      <c r="C25" s="321" t="s">
        <v>933</v>
      </c>
      <c r="D25" s="412" t="s">
        <v>934</v>
      </c>
      <c r="E25" s="314" t="s">
        <v>18</v>
      </c>
      <c r="F25" s="317">
        <v>1</v>
      </c>
      <c r="G25" s="318">
        <v>1</v>
      </c>
      <c r="H25" s="411"/>
      <c r="I25" s="318">
        <v>1</v>
      </c>
      <c r="J25" s="318"/>
      <c r="K25" s="318">
        <v>1</v>
      </c>
      <c r="L25" s="318"/>
      <c r="M25" s="296">
        <v>1</v>
      </c>
    </row>
    <row r="26" ht="12.75" customHeight="1" spans="1:13">
      <c r="A26" s="314">
        <v>14</v>
      </c>
      <c r="B26" s="266">
        <v>252610208</v>
      </c>
      <c r="C26" s="315" t="s">
        <v>935</v>
      </c>
      <c r="D26" s="410" t="s">
        <v>936</v>
      </c>
      <c r="E26" s="323" t="s">
        <v>18</v>
      </c>
      <c r="F26" s="317">
        <v>1</v>
      </c>
      <c r="G26" s="318">
        <v>1</v>
      </c>
      <c r="H26" s="411"/>
      <c r="I26" s="318">
        <v>1</v>
      </c>
      <c r="J26" s="318"/>
      <c r="K26" s="318">
        <v>1</v>
      </c>
      <c r="L26" s="318"/>
      <c r="M26" s="296">
        <v>1</v>
      </c>
    </row>
    <row r="27" ht="12.75" customHeight="1" spans="1:13">
      <c r="A27" s="314">
        <v>15</v>
      </c>
      <c r="B27" s="269">
        <v>252610401</v>
      </c>
      <c r="C27" s="315" t="s">
        <v>937</v>
      </c>
      <c r="D27" s="418" t="s">
        <v>938</v>
      </c>
      <c r="E27" s="314" t="s">
        <v>18</v>
      </c>
      <c r="F27" s="317">
        <v>1</v>
      </c>
      <c r="G27" s="318">
        <v>1</v>
      </c>
      <c r="H27" s="411"/>
      <c r="I27" s="318">
        <v>1</v>
      </c>
      <c r="J27" s="318"/>
      <c r="K27" s="318" t="s">
        <v>939</v>
      </c>
      <c r="L27" s="318"/>
      <c r="M27" s="296">
        <v>1</v>
      </c>
    </row>
    <row r="28" ht="12.75" customHeight="1" spans="1:13">
      <c r="A28" s="314">
        <v>16</v>
      </c>
      <c r="B28" s="266">
        <v>252610259</v>
      </c>
      <c r="C28" s="315" t="s">
        <v>940</v>
      </c>
      <c r="D28" s="410" t="s">
        <v>941</v>
      </c>
      <c r="E28" s="314" t="s">
        <v>18</v>
      </c>
      <c r="F28" s="317">
        <v>1</v>
      </c>
      <c r="G28" s="318">
        <v>0</v>
      </c>
      <c r="H28" s="411"/>
      <c r="I28" s="318">
        <v>1</v>
      </c>
      <c r="J28" s="318"/>
      <c r="K28" s="318">
        <v>1</v>
      </c>
      <c r="L28" s="318"/>
      <c r="M28" s="296">
        <v>1</v>
      </c>
    </row>
    <row r="29" ht="12.75" customHeight="1" spans="1:13">
      <c r="A29" s="314">
        <v>17</v>
      </c>
      <c r="B29" s="269">
        <v>252610404</v>
      </c>
      <c r="C29" s="315" t="s">
        <v>942</v>
      </c>
      <c r="D29" s="418" t="s">
        <v>943</v>
      </c>
      <c r="E29" s="314" t="s">
        <v>18</v>
      </c>
      <c r="F29" s="317">
        <v>1</v>
      </c>
      <c r="G29" s="318">
        <v>1</v>
      </c>
      <c r="H29" s="411"/>
      <c r="I29" s="318">
        <v>1</v>
      </c>
      <c r="J29" s="318"/>
      <c r="K29" s="318">
        <v>1</v>
      </c>
      <c r="L29" s="318"/>
      <c r="M29" s="296">
        <v>1</v>
      </c>
    </row>
    <row r="30" ht="12.75" customHeight="1" spans="1:13">
      <c r="A30" s="314">
        <v>18</v>
      </c>
      <c r="B30" s="266">
        <v>252610358</v>
      </c>
      <c r="C30" s="321" t="s">
        <v>944</v>
      </c>
      <c r="D30" s="410" t="s">
        <v>945</v>
      </c>
      <c r="E30" s="314" t="s">
        <v>23</v>
      </c>
      <c r="F30" s="317">
        <v>1</v>
      </c>
      <c r="G30" s="318">
        <v>1</v>
      </c>
      <c r="H30" s="411"/>
      <c r="I30" s="318">
        <v>1</v>
      </c>
      <c r="J30" s="318"/>
      <c r="K30" s="318">
        <v>1</v>
      </c>
      <c r="L30" s="318"/>
      <c r="M30" s="296">
        <v>1</v>
      </c>
    </row>
    <row r="31" ht="12.75" customHeight="1" spans="1:13">
      <c r="A31" s="314">
        <v>19</v>
      </c>
      <c r="B31" s="419">
        <v>252610027</v>
      </c>
      <c r="C31" s="414" t="s">
        <v>946</v>
      </c>
      <c r="D31" s="418" t="s">
        <v>947</v>
      </c>
      <c r="E31" s="324" t="s">
        <v>23</v>
      </c>
      <c r="F31" s="317">
        <v>1</v>
      </c>
      <c r="G31" s="318">
        <v>0</v>
      </c>
      <c r="H31" s="411"/>
      <c r="I31" s="318">
        <v>1</v>
      </c>
      <c r="J31" s="318"/>
      <c r="K31" s="318">
        <v>1</v>
      </c>
      <c r="L31" s="318"/>
      <c r="M31" s="296">
        <v>1</v>
      </c>
    </row>
    <row r="32" ht="12.75" customHeight="1" spans="1:13">
      <c r="A32" s="314">
        <v>20</v>
      </c>
      <c r="B32" s="266">
        <v>252610453</v>
      </c>
      <c r="C32" s="315" t="s">
        <v>948</v>
      </c>
      <c r="D32" s="410" t="s">
        <v>949</v>
      </c>
      <c r="E32" s="314" t="s">
        <v>18</v>
      </c>
      <c r="F32" s="317">
        <v>1</v>
      </c>
      <c r="G32" s="318">
        <v>1</v>
      </c>
      <c r="H32" s="411"/>
      <c r="I32" s="318">
        <v>1</v>
      </c>
      <c r="J32" s="318"/>
      <c r="K32" s="318">
        <v>1</v>
      </c>
      <c r="L32" s="318"/>
      <c r="M32" s="296">
        <v>1</v>
      </c>
    </row>
    <row r="33" ht="12.75" customHeight="1" spans="1:13">
      <c r="A33" s="314">
        <v>21</v>
      </c>
      <c r="B33" s="266">
        <v>252610409</v>
      </c>
      <c r="C33" s="315" t="s">
        <v>950</v>
      </c>
      <c r="D33" s="415" t="s">
        <v>951</v>
      </c>
      <c r="E33" s="314" t="s">
        <v>23</v>
      </c>
      <c r="F33" s="318">
        <v>1</v>
      </c>
      <c r="G33" s="318">
        <v>0</v>
      </c>
      <c r="H33" s="411"/>
      <c r="I33" s="318">
        <v>1</v>
      </c>
      <c r="J33" s="318"/>
      <c r="K33" s="318">
        <v>1</v>
      </c>
      <c r="L33" s="318"/>
      <c r="M33" s="296">
        <v>1</v>
      </c>
    </row>
    <row r="34" ht="12.75" customHeight="1" spans="1:13">
      <c r="A34" s="314">
        <v>22</v>
      </c>
      <c r="B34" s="269">
        <v>252610501</v>
      </c>
      <c r="C34" s="315" t="s">
        <v>952</v>
      </c>
      <c r="D34" s="412" t="s">
        <v>953</v>
      </c>
      <c r="E34" s="314" t="s">
        <v>23</v>
      </c>
      <c r="F34" s="317">
        <v>1</v>
      </c>
      <c r="G34" s="318">
        <v>1</v>
      </c>
      <c r="H34" s="411"/>
      <c r="I34" s="318">
        <v>1</v>
      </c>
      <c r="J34" s="318"/>
      <c r="K34" s="318">
        <v>1</v>
      </c>
      <c r="L34" s="318"/>
      <c r="M34" s="296">
        <v>1</v>
      </c>
    </row>
    <row r="35" ht="12.75" customHeight="1" spans="1:13">
      <c r="A35" s="314">
        <v>23</v>
      </c>
      <c r="B35" s="266">
        <v>252610123</v>
      </c>
      <c r="C35" s="315" t="s">
        <v>954</v>
      </c>
      <c r="D35" s="420" t="s">
        <v>955</v>
      </c>
      <c r="E35" s="314" t="s">
        <v>23</v>
      </c>
      <c r="F35" s="317">
        <v>1</v>
      </c>
      <c r="G35" s="318">
        <v>1</v>
      </c>
      <c r="H35" s="411"/>
      <c r="I35" s="318">
        <v>1</v>
      </c>
      <c r="J35" s="318"/>
      <c r="K35" s="318">
        <v>1</v>
      </c>
      <c r="L35" s="318"/>
      <c r="M35" s="296">
        <v>1</v>
      </c>
    </row>
    <row r="36" ht="12.75" customHeight="1" spans="1:13">
      <c r="A36" s="314">
        <v>24</v>
      </c>
      <c r="B36" s="269">
        <v>252610172</v>
      </c>
      <c r="C36" s="315" t="s">
        <v>956</v>
      </c>
      <c r="D36" s="412" t="s">
        <v>957</v>
      </c>
      <c r="E36" s="314" t="s">
        <v>23</v>
      </c>
      <c r="F36" s="317">
        <v>1</v>
      </c>
      <c r="G36" s="318">
        <v>1</v>
      </c>
      <c r="H36" s="411"/>
      <c r="I36" s="318">
        <v>1</v>
      </c>
      <c r="J36" s="318"/>
      <c r="K36" s="318">
        <v>1</v>
      </c>
      <c r="L36" s="318"/>
      <c r="M36" s="296">
        <v>1</v>
      </c>
    </row>
    <row r="37" ht="12.75" customHeight="1" spans="1:13">
      <c r="A37" s="314">
        <v>25</v>
      </c>
      <c r="B37" s="266">
        <v>252610075</v>
      </c>
      <c r="C37" s="315" t="s">
        <v>958</v>
      </c>
      <c r="D37" s="410" t="s">
        <v>959</v>
      </c>
      <c r="E37" s="314" t="s">
        <v>18</v>
      </c>
      <c r="F37" s="317">
        <v>1</v>
      </c>
      <c r="G37" s="318">
        <v>0</v>
      </c>
      <c r="H37" s="411"/>
      <c r="I37" s="318">
        <v>1</v>
      </c>
      <c r="J37" s="318"/>
      <c r="K37" s="318">
        <v>1</v>
      </c>
      <c r="L37" s="318"/>
      <c r="M37" s="296">
        <v>1</v>
      </c>
    </row>
    <row r="38" ht="12.75" customHeight="1" spans="1:13">
      <c r="A38" s="314">
        <v>26</v>
      </c>
      <c r="B38" s="269">
        <v>252610316</v>
      </c>
      <c r="C38" s="315" t="s">
        <v>960</v>
      </c>
      <c r="D38" s="412" t="s">
        <v>961</v>
      </c>
      <c r="E38" s="314" t="s">
        <v>18</v>
      </c>
      <c r="F38" s="317">
        <v>1</v>
      </c>
      <c r="G38" s="318">
        <v>0</v>
      </c>
      <c r="H38" s="411"/>
      <c r="I38" s="318">
        <v>1</v>
      </c>
      <c r="J38" s="318"/>
      <c r="K38" s="318">
        <v>1</v>
      </c>
      <c r="L38" s="318"/>
      <c r="M38" s="296">
        <v>1</v>
      </c>
    </row>
    <row r="39" ht="12.75" customHeight="1" spans="1:13">
      <c r="A39" s="314">
        <v>27</v>
      </c>
      <c r="B39" s="266">
        <v>252610270</v>
      </c>
      <c r="C39" s="315" t="s">
        <v>962</v>
      </c>
      <c r="D39" s="410" t="s">
        <v>963</v>
      </c>
      <c r="E39" s="314" t="s">
        <v>18</v>
      </c>
      <c r="F39" s="317">
        <v>1</v>
      </c>
      <c r="G39" s="318">
        <v>1</v>
      </c>
      <c r="H39" s="411"/>
      <c r="I39" s="318">
        <v>1</v>
      </c>
      <c r="J39" s="318"/>
      <c r="K39" s="318">
        <v>1</v>
      </c>
      <c r="L39" s="318"/>
      <c r="M39" s="296">
        <v>1</v>
      </c>
    </row>
    <row r="40" ht="12.75" customHeight="1" spans="1:13">
      <c r="A40" s="314">
        <v>28</v>
      </c>
      <c r="B40" s="269">
        <v>252610317</v>
      </c>
      <c r="C40" s="315" t="s">
        <v>964</v>
      </c>
      <c r="D40" s="412" t="s">
        <v>965</v>
      </c>
      <c r="E40" s="314" t="s">
        <v>18</v>
      </c>
      <c r="F40" s="317">
        <v>1</v>
      </c>
      <c r="G40" s="318">
        <v>0</v>
      </c>
      <c r="H40" s="411"/>
      <c r="I40" s="318">
        <v>1</v>
      </c>
      <c r="J40" s="318"/>
      <c r="K40" s="318">
        <v>1</v>
      </c>
      <c r="L40" s="318"/>
      <c r="M40" s="296">
        <v>1</v>
      </c>
    </row>
    <row r="41" ht="12.75" customHeight="1" spans="1:13">
      <c r="A41" s="314">
        <v>29</v>
      </c>
      <c r="B41" s="266">
        <v>252610461</v>
      </c>
      <c r="C41" s="315" t="s">
        <v>966</v>
      </c>
      <c r="D41" s="410" t="s">
        <v>967</v>
      </c>
      <c r="E41" s="314" t="s">
        <v>18</v>
      </c>
      <c r="F41" s="317">
        <v>1</v>
      </c>
      <c r="G41" s="318">
        <v>1</v>
      </c>
      <c r="H41" s="411"/>
      <c r="I41" s="318">
        <v>1</v>
      </c>
      <c r="J41" s="318"/>
      <c r="K41" s="318">
        <v>1</v>
      </c>
      <c r="L41" s="318"/>
      <c r="M41" s="296">
        <v>1</v>
      </c>
    </row>
    <row r="42" ht="12.75" customHeight="1" spans="1:13">
      <c r="A42" s="314">
        <v>30</v>
      </c>
      <c r="B42" s="269">
        <v>252610510</v>
      </c>
      <c r="C42" s="315" t="s">
        <v>968</v>
      </c>
      <c r="D42" s="412" t="s">
        <v>969</v>
      </c>
      <c r="E42" s="314" t="s">
        <v>18</v>
      </c>
      <c r="F42" s="317">
        <v>1</v>
      </c>
      <c r="G42" s="318">
        <v>1</v>
      </c>
      <c r="H42" s="411"/>
      <c r="I42" s="318">
        <v>1</v>
      </c>
      <c r="J42" s="318"/>
      <c r="K42" s="318">
        <v>1</v>
      </c>
      <c r="L42" s="318"/>
      <c r="M42" s="296">
        <v>1</v>
      </c>
    </row>
    <row r="43" ht="12.75" customHeight="1" spans="1:13">
      <c r="A43" s="314">
        <v>31</v>
      </c>
      <c r="B43" s="266">
        <v>252610561</v>
      </c>
      <c r="C43" s="315" t="s">
        <v>970</v>
      </c>
      <c r="D43" s="410" t="s">
        <v>971</v>
      </c>
      <c r="E43" s="314" t="s">
        <v>18</v>
      </c>
      <c r="F43" s="317">
        <v>1</v>
      </c>
      <c r="G43" s="318">
        <v>0</v>
      </c>
      <c r="H43" s="411"/>
      <c r="I43" s="318">
        <v>1</v>
      </c>
      <c r="J43" s="318"/>
      <c r="K43" s="318">
        <v>1</v>
      </c>
      <c r="L43" s="318"/>
      <c r="M43" s="296">
        <v>1</v>
      </c>
    </row>
    <row r="44" ht="12.75" customHeight="1" spans="1:13">
      <c r="A44" s="314">
        <v>32</v>
      </c>
      <c r="B44" s="269">
        <v>252610511</v>
      </c>
      <c r="C44" s="315" t="s">
        <v>972</v>
      </c>
      <c r="D44" s="412" t="s">
        <v>973</v>
      </c>
      <c r="E44" s="314" t="s">
        <v>18</v>
      </c>
      <c r="F44" s="317">
        <v>1</v>
      </c>
      <c r="G44" s="318">
        <v>1</v>
      </c>
      <c r="H44" s="411"/>
      <c r="I44" s="318">
        <v>1</v>
      </c>
      <c r="J44" s="318"/>
      <c r="K44" s="318">
        <v>1</v>
      </c>
      <c r="L44" s="318"/>
      <c r="M44" s="296">
        <v>1</v>
      </c>
    </row>
    <row r="45" ht="12.75" customHeight="1" spans="1:13">
      <c r="A45" s="314">
        <v>33</v>
      </c>
      <c r="B45" s="413">
        <v>252610036</v>
      </c>
      <c r="C45" s="414" t="s">
        <v>974</v>
      </c>
      <c r="D45" s="421" t="s">
        <v>975</v>
      </c>
      <c r="E45" s="314" t="s">
        <v>18</v>
      </c>
      <c r="F45" s="317">
        <v>1</v>
      </c>
      <c r="G45" s="318">
        <v>0</v>
      </c>
      <c r="H45" s="411"/>
      <c r="I45" s="318">
        <v>1</v>
      </c>
      <c r="J45" s="318"/>
      <c r="K45" s="318">
        <v>1</v>
      </c>
      <c r="L45" s="318"/>
      <c r="M45" s="296">
        <v>1</v>
      </c>
    </row>
    <row r="46" ht="12.75" customHeight="1" spans="1:13">
      <c r="A46" s="314">
        <v>34</v>
      </c>
      <c r="B46" s="269">
        <v>252610130</v>
      </c>
      <c r="C46" s="315" t="s">
        <v>976</v>
      </c>
      <c r="D46" s="412" t="s">
        <v>977</v>
      </c>
      <c r="E46" s="314" t="s">
        <v>18</v>
      </c>
      <c r="F46" s="317" t="s">
        <v>978</v>
      </c>
      <c r="G46" s="318"/>
      <c r="H46" s="411"/>
      <c r="I46" s="318">
        <v>1</v>
      </c>
      <c r="J46" s="318">
        <v>1</v>
      </c>
      <c r="K46" s="318">
        <v>1</v>
      </c>
      <c r="L46" s="318"/>
      <c r="M46" s="296">
        <v>1</v>
      </c>
    </row>
    <row r="47" ht="12.75" customHeight="1" spans="1:13">
      <c r="A47" s="314">
        <v>35</v>
      </c>
      <c r="B47" s="266">
        <v>252610514</v>
      </c>
      <c r="C47" s="315" t="s">
        <v>979</v>
      </c>
      <c r="D47" s="410" t="s">
        <v>980</v>
      </c>
      <c r="E47" s="314" t="s">
        <v>23</v>
      </c>
      <c r="F47" s="317">
        <v>1</v>
      </c>
      <c r="G47" s="318">
        <v>0</v>
      </c>
      <c r="H47" s="411"/>
      <c r="I47" s="318">
        <v>1</v>
      </c>
      <c r="J47" s="318"/>
      <c r="K47" s="318">
        <v>1</v>
      </c>
      <c r="L47" s="318"/>
      <c r="M47" s="296">
        <v>1</v>
      </c>
    </row>
    <row r="48" ht="12.75" customHeight="1" spans="1:13">
      <c r="A48" s="314">
        <v>36</v>
      </c>
      <c r="B48" s="269">
        <v>252610567</v>
      </c>
      <c r="C48" s="315" t="s">
        <v>981</v>
      </c>
      <c r="D48" s="412" t="s">
        <v>982</v>
      </c>
      <c r="E48" s="314" t="s">
        <v>18</v>
      </c>
      <c r="F48" s="317">
        <v>1</v>
      </c>
      <c r="G48" s="318">
        <v>1</v>
      </c>
      <c r="H48" s="411"/>
      <c r="I48" s="318">
        <v>1</v>
      </c>
      <c r="J48" s="318"/>
      <c r="K48" s="318">
        <v>1</v>
      </c>
      <c r="L48" s="318"/>
      <c r="M48" s="296">
        <v>1</v>
      </c>
    </row>
    <row r="49" ht="12.75" customHeight="1" spans="1:13">
      <c r="A49" s="314">
        <v>37</v>
      </c>
      <c r="B49" s="266">
        <v>252610421</v>
      </c>
      <c r="C49" s="315" t="s">
        <v>983</v>
      </c>
      <c r="D49" s="415" t="s">
        <v>984</v>
      </c>
      <c r="E49" s="325" t="s">
        <v>18</v>
      </c>
      <c r="F49" s="326">
        <v>1</v>
      </c>
      <c r="G49" s="327">
        <v>1</v>
      </c>
      <c r="H49" s="422"/>
      <c r="I49" s="318">
        <v>1</v>
      </c>
      <c r="J49" s="318"/>
      <c r="K49" s="318">
        <v>1</v>
      </c>
      <c r="L49" s="318"/>
      <c r="M49" s="296" t="s">
        <v>28</v>
      </c>
    </row>
    <row r="50" ht="12.75" customHeight="1" spans="1:13">
      <c r="A50" s="314">
        <v>38</v>
      </c>
      <c r="B50" s="269">
        <v>252610422</v>
      </c>
      <c r="C50" s="315" t="s">
        <v>985</v>
      </c>
      <c r="D50" s="418" t="s">
        <v>986</v>
      </c>
      <c r="E50" s="314" t="s">
        <v>18</v>
      </c>
      <c r="F50" s="318">
        <v>1</v>
      </c>
      <c r="G50" s="318">
        <v>0</v>
      </c>
      <c r="H50" s="411"/>
      <c r="I50" s="318">
        <v>1</v>
      </c>
      <c r="J50" s="318"/>
      <c r="K50" s="318">
        <v>1</v>
      </c>
      <c r="L50" s="318"/>
      <c r="M50" s="296">
        <v>1</v>
      </c>
    </row>
    <row r="51" ht="12.75" customHeight="1" spans="1:13">
      <c r="A51" s="314">
        <v>39</v>
      </c>
      <c r="B51" s="266">
        <v>252610330</v>
      </c>
      <c r="C51" s="315" t="s">
        <v>987</v>
      </c>
      <c r="D51" s="410" t="s">
        <v>988</v>
      </c>
      <c r="E51" s="314" t="s">
        <v>18</v>
      </c>
      <c r="F51" s="318">
        <v>1</v>
      </c>
      <c r="G51" s="318">
        <v>1</v>
      </c>
      <c r="H51" s="411"/>
      <c r="I51" s="318">
        <v>1</v>
      </c>
      <c r="J51" s="318"/>
      <c r="K51" s="318">
        <v>1</v>
      </c>
      <c r="L51" s="318"/>
      <c r="M51" s="296">
        <v>1</v>
      </c>
    </row>
    <row r="52" ht="12.75" customHeight="1" spans="1:13">
      <c r="A52" s="314">
        <v>40</v>
      </c>
      <c r="B52" s="269">
        <v>252610236</v>
      </c>
      <c r="C52" s="315" t="s">
        <v>989</v>
      </c>
      <c r="D52" s="412" t="s">
        <v>990</v>
      </c>
      <c r="E52" s="314" t="s">
        <v>18</v>
      </c>
      <c r="F52" s="318">
        <v>1</v>
      </c>
      <c r="G52" s="318">
        <v>1</v>
      </c>
      <c r="H52" s="411"/>
      <c r="I52" s="318">
        <v>1</v>
      </c>
      <c r="J52" s="318"/>
      <c r="K52" s="318">
        <v>1</v>
      </c>
      <c r="L52" s="318"/>
      <c r="M52" s="296">
        <v>1</v>
      </c>
    </row>
    <row r="53" ht="12.75" customHeight="1" spans="1:13">
      <c r="A53" s="314">
        <v>41</v>
      </c>
      <c r="B53" s="266">
        <v>252610094</v>
      </c>
      <c r="C53" s="315" t="s">
        <v>991</v>
      </c>
      <c r="D53" s="410" t="s">
        <v>992</v>
      </c>
      <c r="E53" s="314" t="s">
        <v>18</v>
      </c>
      <c r="F53" s="318">
        <v>1</v>
      </c>
      <c r="G53" s="318">
        <v>1</v>
      </c>
      <c r="H53" s="411"/>
      <c r="I53" s="318">
        <v>1</v>
      </c>
      <c r="J53" s="318"/>
      <c r="K53" s="318">
        <v>1</v>
      </c>
      <c r="L53" s="318"/>
      <c r="M53" s="296">
        <v>1</v>
      </c>
    </row>
    <row r="54" ht="12.75" customHeight="1" spans="1:13">
      <c r="A54" s="314">
        <v>42</v>
      </c>
      <c r="B54" s="269">
        <v>252610572</v>
      </c>
      <c r="C54" s="315" t="s">
        <v>993</v>
      </c>
      <c r="D54" s="412" t="s">
        <v>994</v>
      </c>
      <c r="E54" s="314" t="s">
        <v>18</v>
      </c>
      <c r="F54" s="318">
        <v>1</v>
      </c>
      <c r="G54" s="318">
        <v>0</v>
      </c>
      <c r="H54" s="411"/>
      <c r="I54" s="318">
        <v>1</v>
      </c>
      <c r="J54" s="318"/>
      <c r="K54" s="318">
        <v>1</v>
      </c>
      <c r="L54" s="318"/>
      <c r="M54" s="296">
        <v>1</v>
      </c>
    </row>
    <row r="55" ht="12.75" customHeight="1" spans="1:13">
      <c r="A55" s="314">
        <v>43</v>
      </c>
      <c r="B55" s="266">
        <v>252610238</v>
      </c>
      <c r="C55" s="315" t="s">
        <v>995</v>
      </c>
      <c r="D55" s="410" t="s">
        <v>996</v>
      </c>
      <c r="E55" s="314" t="s">
        <v>18</v>
      </c>
      <c r="F55" s="318">
        <v>1</v>
      </c>
      <c r="G55" s="318">
        <v>0</v>
      </c>
      <c r="H55" s="411"/>
      <c r="I55" s="318">
        <v>1</v>
      </c>
      <c r="J55" s="318"/>
      <c r="K55" s="318">
        <v>1</v>
      </c>
      <c r="L55" s="318"/>
      <c r="M55" s="296">
        <v>1</v>
      </c>
    </row>
    <row r="56" ht="12.75" customHeight="1" spans="1:13">
      <c r="A56" s="314">
        <v>44</v>
      </c>
      <c r="B56" s="269">
        <v>252610478</v>
      </c>
      <c r="C56" s="315" t="s">
        <v>997</v>
      </c>
      <c r="D56" s="412" t="s">
        <v>998</v>
      </c>
      <c r="E56" s="314" t="s">
        <v>18</v>
      </c>
      <c r="F56" s="318">
        <v>1</v>
      </c>
      <c r="G56" s="318">
        <v>0</v>
      </c>
      <c r="H56" s="411"/>
      <c r="I56" s="318">
        <v>1</v>
      </c>
      <c r="J56" s="318"/>
      <c r="K56" s="318">
        <v>1</v>
      </c>
      <c r="L56" s="318"/>
      <c r="M56" s="296">
        <v>1</v>
      </c>
    </row>
    <row r="57" s="289" customFormat="1" ht="12.75" customHeight="1" spans="1:13">
      <c r="B57" s="333"/>
      <c r="C57" s="423"/>
      <c r="D57" s="335" t="s">
        <v>89</v>
      </c>
      <c r="E57" s="336">
        <f>COUNTIF(E13:E56,"L")</f>
        <v>8</v>
      </c>
      <c r="I57" s="331"/>
      <c r="J57" s="331"/>
      <c r="K57" s="331"/>
      <c r="L57" s="331"/>
    </row>
    <row r="58" s="289" customFormat="1" ht="12.75" customHeight="1" spans="1:13">
      <c r="B58" s="333"/>
      <c r="C58" s="423"/>
      <c r="D58" s="335" t="s">
        <v>90</v>
      </c>
      <c r="E58" s="336">
        <f>COUNTIF(E13:E56,"P")</f>
        <v>36</v>
      </c>
    </row>
    <row r="59" s="289" customFormat="1" ht="12.75" customHeight="1" spans="1:13">
      <c r="B59" s="337"/>
      <c r="C59" s="423"/>
      <c r="D59" s="335"/>
      <c r="E59" s="336"/>
    </row>
    <row r="60" s="289" customFormat="1" ht="12.75" customHeight="1" spans="1:13">
      <c r="B60" s="334" t="s">
        <v>91</v>
      </c>
      <c r="C60" s="423"/>
      <c r="D60" s="304"/>
      <c r="E60" s="293"/>
      <c r="F60" s="289" t="s">
        <v>92</v>
      </c>
    </row>
    <row r="61" s="289" customFormat="1" ht="12.75" customHeight="1" spans="1:13">
      <c r="B61" s="334"/>
      <c r="C61" s="423"/>
      <c r="D61" s="304"/>
      <c r="E61" s="293"/>
    </row>
    <row r="62" s="289" customFormat="1" ht="12.75" customHeight="1" spans="1:13">
      <c r="B62" s="334"/>
      <c r="C62" s="423"/>
      <c r="D62" s="304"/>
      <c r="E62" s="293"/>
    </row>
    <row r="63" s="289" customFormat="1" ht="12.75" customHeight="1" spans="1:13">
      <c r="B63" s="334"/>
      <c r="C63" s="423"/>
      <c r="D63" s="304"/>
      <c r="E63" s="293"/>
    </row>
    <row r="64" s="289" customFormat="1" ht="12.75" customHeight="1" spans="1:13">
      <c r="B64" s="338" t="s">
        <v>93</v>
      </c>
      <c r="C64" s="423"/>
      <c r="D64" s="304"/>
      <c r="E64" s="293"/>
      <c r="F64" s="289" t="s">
        <v>94</v>
      </c>
    </row>
    <row r="65" s="289" customFormat="1" ht="12.75" customHeight="1" spans="1:15">
      <c r="B65" s="339" t="s">
        <v>95</v>
      </c>
      <c r="C65" s="423"/>
      <c r="D65" s="304"/>
      <c r="E65" s="293"/>
    </row>
    <row r="66" ht="12.75" customHeight="1" spans="1:15">
      <c r="A66" s="357"/>
      <c r="B66" s="358"/>
      <c r="C66" s="424"/>
      <c r="D66" s="358"/>
      <c r="E66" s="360"/>
      <c r="F66" s="360"/>
      <c r="G66" s="360"/>
      <c r="H66" s="360"/>
      <c r="I66" s="360"/>
    </row>
    <row r="67" ht="12.75" customHeight="1" spans="1:15">
      <c r="A67" s="357"/>
      <c r="B67" s="358"/>
      <c r="C67" s="424"/>
      <c r="D67" s="358"/>
      <c r="E67" s="360"/>
      <c r="F67" s="360"/>
      <c r="G67" s="360"/>
      <c r="H67" s="360"/>
      <c r="I67" s="360"/>
    </row>
    <row r="68" ht="12.75" customHeight="1" spans="1:15">
      <c r="A68" s="297" t="s">
        <v>1</v>
      </c>
      <c r="B68" s="297"/>
      <c r="C68" s="297"/>
      <c r="D68" s="297"/>
      <c r="E68" s="297"/>
      <c r="F68" s="297"/>
      <c r="G68" s="297"/>
      <c r="H68" s="297"/>
      <c r="I68" s="297"/>
    </row>
    <row r="69" ht="12.75" customHeight="1" spans="1:15">
      <c r="A69" s="297" t="s">
        <v>2</v>
      </c>
      <c r="B69" s="297"/>
      <c r="C69" s="297"/>
      <c r="D69" s="297"/>
      <c r="E69" s="297"/>
      <c r="F69" s="297"/>
      <c r="G69" s="297"/>
      <c r="H69" s="297"/>
      <c r="I69" s="297"/>
    </row>
    <row r="70" ht="12.75" customHeight="1" spans="1:15">
      <c r="A70" s="297" t="s">
        <v>3</v>
      </c>
      <c r="B70" s="297"/>
      <c r="C70" s="297"/>
      <c r="D70" s="297"/>
      <c r="E70" s="297"/>
      <c r="F70" s="297"/>
      <c r="G70" s="297"/>
      <c r="H70" s="297"/>
      <c r="I70" s="297"/>
    </row>
    <row r="71" s="291" customFormat="1" ht="16.5" customHeight="1" spans="1:15">
      <c r="A71" s="298" t="s">
        <v>4</v>
      </c>
      <c r="B71" s="298"/>
      <c r="C71" s="298"/>
      <c r="D71" s="298"/>
      <c r="E71" s="298"/>
      <c r="F71" s="298"/>
      <c r="G71" s="298"/>
      <c r="H71" s="298"/>
      <c r="I71" s="298"/>
    </row>
    <row r="72" ht="12.75" customHeight="1" spans="1:15">
      <c r="A72" s="299" t="s">
        <v>5</v>
      </c>
      <c r="B72" s="299"/>
      <c r="C72" s="299"/>
      <c r="D72" s="299"/>
      <c r="E72" s="299"/>
      <c r="F72" s="299"/>
      <c r="G72" s="299"/>
      <c r="H72" s="299"/>
      <c r="I72" s="299"/>
    </row>
    <row r="73" customHeight="1" spans="1:15">
      <c r="A73" s="299"/>
      <c r="B73" s="299"/>
      <c r="C73" s="299"/>
      <c r="D73" s="299"/>
      <c r="E73" s="299"/>
      <c r="F73" s="299"/>
      <c r="G73" s="299"/>
      <c r="H73" s="299"/>
      <c r="I73" s="299"/>
    </row>
    <row r="74" ht="12.75" customHeight="1" spans="1:15">
      <c r="A74" s="299"/>
      <c r="B74" s="299"/>
      <c r="C74" s="299"/>
      <c r="D74" s="299"/>
      <c r="E74" s="299"/>
      <c r="F74" s="299"/>
      <c r="G74" s="299"/>
      <c r="H74" s="299"/>
      <c r="I74" s="299"/>
    </row>
    <row r="75" s="289" customFormat="1" ht="12.75" customHeight="1" spans="1:15">
      <c r="A75" s="300" t="s">
        <v>6</v>
      </c>
      <c r="B75" s="300"/>
      <c r="C75" s="300"/>
      <c r="D75" s="300"/>
      <c r="E75" s="300"/>
      <c r="F75" s="300"/>
      <c r="G75" s="300"/>
      <c r="H75" s="300"/>
      <c r="I75" s="300"/>
    </row>
    <row r="76" s="289" customFormat="1" ht="12.75" customHeight="1" spans="1:15">
      <c r="A76" s="300"/>
      <c r="B76" s="300"/>
      <c r="C76" s="300"/>
      <c r="D76" s="300"/>
      <c r="E76" s="300"/>
      <c r="F76" s="300"/>
      <c r="G76" s="300"/>
      <c r="H76" s="300"/>
      <c r="I76" s="300"/>
    </row>
    <row r="77" s="289" customFormat="1" ht="12.75" customHeight="1" spans="1:15">
      <c r="A77" s="301"/>
      <c r="B77" s="302" t="s">
        <v>999</v>
      </c>
      <c r="C77" s="406"/>
      <c r="D77" s="304"/>
      <c r="E77" s="407" t="s">
        <v>8</v>
      </c>
      <c r="F77" s="306" t="s">
        <v>1000</v>
      </c>
    </row>
    <row r="78" s="289" customFormat="1" ht="19.5" customHeight="1" spans="1:15">
      <c r="A78" s="307" t="s">
        <v>10</v>
      </c>
      <c r="B78" s="308" t="s">
        <v>11</v>
      </c>
      <c r="C78" s="309" t="s">
        <v>12</v>
      </c>
      <c r="D78" s="308" t="s">
        <v>13</v>
      </c>
      <c r="E78" s="308" t="s">
        <v>14</v>
      </c>
      <c r="F78" s="310" t="s">
        <v>1001</v>
      </c>
      <c r="G78" s="310" t="s">
        <v>908</v>
      </c>
      <c r="H78" s="310" t="s">
        <v>1002</v>
      </c>
      <c r="I78" s="310" t="s">
        <v>908</v>
      </c>
      <c r="J78" s="331" t="s">
        <v>1003</v>
      </c>
      <c r="K78" s="331" t="s">
        <v>908</v>
      </c>
      <c r="L78" s="331"/>
      <c r="M78" s="425">
        <v>46090</v>
      </c>
      <c r="N78" s="340">
        <v>46275</v>
      </c>
      <c r="O78" s="340">
        <v>46289</v>
      </c>
    </row>
    <row r="79" ht="12.75" customHeight="1" spans="1:15">
      <c r="A79" s="314">
        <v>1</v>
      </c>
      <c r="B79" s="276">
        <v>252610338</v>
      </c>
      <c r="C79" s="315" t="s">
        <v>1004</v>
      </c>
      <c r="D79" s="275" t="s">
        <v>1005</v>
      </c>
      <c r="E79" s="341" t="s">
        <v>18</v>
      </c>
      <c r="F79" s="317">
        <v>1</v>
      </c>
      <c r="G79" s="318">
        <v>1</v>
      </c>
      <c r="H79" s="318">
        <v>1</v>
      </c>
      <c r="I79" s="318">
        <v>1</v>
      </c>
      <c r="J79" s="318">
        <v>1</v>
      </c>
      <c r="K79" s="318"/>
      <c r="L79" s="318"/>
      <c r="M79" s="296" t="s">
        <v>978</v>
      </c>
      <c r="N79" s="296">
        <v>1</v>
      </c>
      <c r="O79" s="296">
        <v>1</v>
      </c>
    </row>
    <row r="80" s="291" customFormat="1" ht="12.75" customHeight="1" spans="1:15">
      <c r="A80" s="314">
        <v>2</v>
      </c>
      <c r="B80" s="278">
        <v>252610052</v>
      </c>
      <c r="C80" s="321" t="s">
        <v>1006</v>
      </c>
      <c r="D80" s="277" t="s">
        <v>1007</v>
      </c>
      <c r="E80" s="341" t="s">
        <v>23</v>
      </c>
      <c r="F80" s="317">
        <v>1</v>
      </c>
      <c r="G80" s="318">
        <v>1</v>
      </c>
      <c r="H80" s="318">
        <v>1</v>
      </c>
      <c r="I80" s="318">
        <v>1</v>
      </c>
      <c r="J80" s="426">
        <v>1</v>
      </c>
      <c r="K80" s="426"/>
      <c r="L80" s="426" t="s">
        <v>1008</v>
      </c>
      <c r="M80" s="291">
        <v>1</v>
      </c>
      <c r="N80" s="291">
        <v>1</v>
      </c>
      <c r="O80" s="291">
        <v>1</v>
      </c>
    </row>
    <row r="81" ht="12.75" customHeight="1" spans="1:15">
      <c r="A81" s="314">
        <v>3</v>
      </c>
      <c r="B81" s="276">
        <v>252610486</v>
      </c>
      <c r="C81" s="321" t="s">
        <v>1009</v>
      </c>
      <c r="D81" s="275" t="s">
        <v>1010</v>
      </c>
      <c r="E81" s="341" t="s">
        <v>18</v>
      </c>
      <c r="F81" s="317">
        <v>1</v>
      </c>
      <c r="G81" s="318">
        <v>1</v>
      </c>
      <c r="H81" s="318">
        <v>1</v>
      </c>
      <c r="I81" s="318">
        <v>1</v>
      </c>
      <c r="J81" s="318">
        <v>1</v>
      </c>
      <c r="K81" s="318"/>
      <c r="L81" s="318"/>
      <c r="M81" s="296">
        <v>1</v>
      </c>
      <c r="N81" s="296">
        <v>1</v>
      </c>
      <c r="O81" s="296">
        <v>1</v>
      </c>
    </row>
    <row r="82" ht="12.75" customHeight="1" spans="1:15">
      <c r="A82" s="314">
        <v>4</v>
      </c>
      <c r="B82" s="278">
        <v>252610535</v>
      </c>
      <c r="C82" s="321" t="s">
        <v>1011</v>
      </c>
      <c r="D82" s="277" t="s">
        <v>1012</v>
      </c>
      <c r="E82" s="341" t="s">
        <v>18</v>
      </c>
      <c r="F82" s="427">
        <v>1</v>
      </c>
      <c r="G82" s="318">
        <v>1</v>
      </c>
      <c r="H82" s="318">
        <v>1</v>
      </c>
      <c r="I82" s="318">
        <v>1</v>
      </c>
      <c r="J82" s="318">
        <v>1</v>
      </c>
      <c r="K82" s="318"/>
      <c r="L82" s="318" t="s">
        <v>1008</v>
      </c>
      <c r="M82" s="296">
        <v>1</v>
      </c>
      <c r="N82" s="296">
        <v>1</v>
      </c>
      <c r="O82" s="296">
        <v>1</v>
      </c>
    </row>
    <row r="83" ht="12.75" customHeight="1" spans="1:15">
      <c r="A83" s="314">
        <v>5</v>
      </c>
      <c r="B83" s="284">
        <v>252610012</v>
      </c>
      <c r="C83" s="414" t="s">
        <v>1013</v>
      </c>
      <c r="D83" s="279" t="s">
        <v>1014</v>
      </c>
      <c r="E83" s="341" t="s">
        <v>18</v>
      </c>
      <c r="F83" s="427">
        <v>1</v>
      </c>
      <c r="G83" s="318">
        <v>1</v>
      </c>
      <c r="H83" s="318">
        <v>1</v>
      </c>
      <c r="I83" s="318">
        <v>1</v>
      </c>
      <c r="J83" s="318">
        <v>1</v>
      </c>
      <c r="K83" s="318"/>
      <c r="L83" s="318" t="s">
        <v>1008</v>
      </c>
      <c r="M83" s="296">
        <v>1</v>
      </c>
      <c r="N83" s="296">
        <v>1</v>
      </c>
      <c r="O83" s="296">
        <v>1</v>
      </c>
    </row>
    <row r="84" ht="12.75" customHeight="1" spans="1:15">
      <c r="A84" s="314">
        <v>6</v>
      </c>
      <c r="B84" s="278">
        <v>252610296</v>
      </c>
      <c r="C84" s="315" t="s">
        <v>1015</v>
      </c>
      <c r="D84" s="277" t="s">
        <v>1016</v>
      </c>
      <c r="E84" s="341" t="s">
        <v>23</v>
      </c>
      <c r="F84" s="427">
        <v>1</v>
      </c>
      <c r="G84" s="318">
        <v>1</v>
      </c>
      <c r="H84" s="318">
        <v>1</v>
      </c>
      <c r="I84" s="318">
        <v>0</v>
      </c>
      <c r="J84" s="318">
        <v>1</v>
      </c>
      <c r="K84" s="318"/>
      <c r="L84" s="318"/>
      <c r="M84" s="296">
        <v>1</v>
      </c>
      <c r="N84" s="296">
        <v>1</v>
      </c>
      <c r="O84" s="296">
        <v>1</v>
      </c>
    </row>
    <row r="85" ht="12.75" customHeight="1" spans="1:15">
      <c r="A85" s="314">
        <v>7</v>
      </c>
      <c r="B85" s="276">
        <v>252610152</v>
      </c>
      <c r="C85" s="315" t="s">
        <v>1017</v>
      </c>
      <c r="D85" s="275" t="s">
        <v>1018</v>
      </c>
      <c r="E85" s="341" t="s">
        <v>23</v>
      </c>
      <c r="F85" s="427">
        <v>1</v>
      </c>
      <c r="G85" s="318">
        <v>1</v>
      </c>
      <c r="H85" s="318">
        <v>1</v>
      </c>
      <c r="I85" s="318">
        <v>1</v>
      </c>
      <c r="J85" s="318">
        <v>1</v>
      </c>
      <c r="K85" s="318"/>
      <c r="L85" s="318"/>
      <c r="M85" s="296">
        <v>1</v>
      </c>
      <c r="N85" s="296">
        <v>1</v>
      </c>
      <c r="O85" s="296">
        <v>1</v>
      </c>
    </row>
    <row r="86" ht="12.75" customHeight="1" spans="1:15">
      <c r="A86" s="314">
        <v>8</v>
      </c>
      <c r="B86" s="278">
        <v>252610153</v>
      </c>
      <c r="C86" s="315" t="s">
        <v>1019</v>
      </c>
      <c r="D86" s="277" t="s">
        <v>1020</v>
      </c>
      <c r="E86" s="341" t="s">
        <v>23</v>
      </c>
      <c r="F86" s="427">
        <v>1</v>
      </c>
      <c r="G86" s="318">
        <v>1</v>
      </c>
      <c r="H86" s="318">
        <v>1</v>
      </c>
      <c r="I86" s="318">
        <v>1</v>
      </c>
      <c r="J86" s="318">
        <v>1</v>
      </c>
      <c r="K86" s="318"/>
      <c r="L86" s="318" t="s">
        <v>1008</v>
      </c>
      <c r="M86" s="296">
        <v>1</v>
      </c>
      <c r="N86" s="296" t="s">
        <v>28</v>
      </c>
      <c r="O86" s="296">
        <v>1</v>
      </c>
    </row>
    <row r="87" ht="12.75" customHeight="1" spans="1:15">
      <c r="A87" s="314">
        <v>9</v>
      </c>
      <c r="B87" s="276">
        <v>252610298</v>
      </c>
      <c r="C87" s="315" t="s">
        <v>1021</v>
      </c>
      <c r="D87" s="275" t="s">
        <v>1022</v>
      </c>
      <c r="E87" s="341" t="s">
        <v>18</v>
      </c>
      <c r="F87" s="427">
        <v>1</v>
      </c>
      <c r="G87" s="318">
        <v>1</v>
      </c>
      <c r="H87" s="318">
        <v>1</v>
      </c>
      <c r="I87" s="318">
        <v>1</v>
      </c>
      <c r="J87" s="318">
        <v>1</v>
      </c>
      <c r="K87" s="318"/>
      <c r="L87" s="318"/>
      <c r="M87" s="296">
        <v>1</v>
      </c>
      <c r="N87" s="296">
        <v>1</v>
      </c>
      <c r="O87" s="296">
        <v>1</v>
      </c>
    </row>
    <row r="88" ht="12.75" customHeight="1" spans="1:15">
      <c r="A88" s="314">
        <v>10</v>
      </c>
      <c r="B88" s="278">
        <v>252610059</v>
      </c>
      <c r="C88" s="315" t="s">
        <v>1023</v>
      </c>
      <c r="D88" s="277" t="s">
        <v>1024</v>
      </c>
      <c r="E88" s="341" t="s">
        <v>18</v>
      </c>
      <c r="F88" s="427">
        <v>1</v>
      </c>
      <c r="G88" s="318">
        <v>1</v>
      </c>
      <c r="H88" s="318">
        <v>1</v>
      </c>
      <c r="I88" s="318">
        <v>1</v>
      </c>
      <c r="J88" s="318">
        <v>1</v>
      </c>
      <c r="K88" s="318"/>
      <c r="L88" s="318" t="s">
        <v>1008</v>
      </c>
      <c r="M88" s="296">
        <v>1</v>
      </c>
      <c r="N88" s="296">
        <v>1</v>
      </c>
      <c r="O88" s="296">
        <v>1</v>
      </c>
    </row>
    <row r="89" ht="12.75" customHeight="1" spans="1:15">
      <c r="A89" s="314">
        <v>11</v>
      </c>
      <c r="B89" s="276">
        <v>252610201</v>
      </c>
      <c r="C89" s="315" t="s">
        <v>1025</v>
      </c>
      <c r="D89" s="275" t="s">
        <v>1026</v>
      </c>
      <c r="E89" s="341" t="s">
        <v>18</v>
      </c>
      <c r="F89" s="427">
        <v>1</v>
      </c>
      <c r="G89" s="318">
        <v>1</v>
      </c>
      <c r="H89" s="318">
        <v>1</v>
      </c>
      <c r="I89" s="318">
        <v>1</v>
      </c>
      <c r="J89" s="318">
        <v>1</v>
      </c>
      <c r="K89" s="318"/>
      <c r="L89" s="318"/>
      <c r="M89" s="296">
        <v>1</v>
      </c>
      <c r="N89" s="296">
        <v>1</v>
      </c>
      <c r="O89" s="296">
        <v>1</v>
      </c>
    </row>
    <row r="90" ht="12.75" customHeight="1" spans="1:15">
      <c r="A90" s="314">
        <v>12</v>
      </c>
      <c r="B90" s="278">
        <v>252610109</v>
      </c>
      <c r="C90" s="315" t="s">
        <v>1027</v>
      </c>
      <c r="D90" s="277" t="s">
        <v>1028</v>
      </c>
      <c r="E90" s="341" t="s">
        <v>23</v>
      </c>
      <c r="F90" s="427">
        <v>1</v>
      </c>
      <c r="G90" s="318">
        <v>1</v>
      </c>
      <c r="H90" s="318">
        <v>1</v>
      </c>
      <c r="I90" s="318">
        <v>1</v>
      </c>
      <c r="J90" s="318">
        <v>1</v>
      </c>
      <c r="K90" s="318"/>
      <c r="L90" s="318" t="s">
        <v>1008</v>
      </c>
      <c r="M90" s="296">
        <v>1</v>
      </c>
      <c r="N90" s="296">
        <v>1</v>
      </c>
      <c r="O90" s="296">
        <v>1</v>
      </c>
    </row>
    <row r="91" ht="12.75" customHeight="1" spans="1:15">
      <c r="A91" s="314">
        <v>13</v>
      </c>
      <c r="B91" s="276">
        <v>252610347</v>
      </c>
      <c r="C91" s="315" t="s">
        <v>1029</v>
      </c>
      <c r="D91" s="275" t="s">
        <v>1030</v>
      </c>
      <c r="E91" s="341" t="s">
        <v>18</v>
      </c>
      <c r="F91" s="427">
        <v>1</v>
      </c>
      <c r="G91" s="318">
        <v>1</v>
      </c>
      <c r="H91" s="318">
        <v>1</v>
      </c>
      <c r="I91" s="318">
        <v>1</v>
      </c>
      <c r="J91" s="318">
        <v>1</v>
      </c>
      <c r="K91" s="318"/>
      <c r="L91" s="318"/>
      <c r="M91" s="296">
        <v>1</v>
      </c>
      <c r="N91" s="296">
        <v>1</v>
      </c>
      <c r="O91" s="296">
        <v>1</v>
      </c>
    </row>
    <row r="92" ht="12.75" customHeight="1" spans="1:15">
      <c r="A92" s="314">
        <v>14</v>
      </c>
      <c r="B92" s="278">
        <v>252610443</v>
      </c>
      <c r="C92" s="315" t="s">
        <v>1031</v>
      </c>
      <c r="D92" s="277" t="s">
        <v>1032</v>
      </c>
      <c r="E92" s="341" t="s">
        <v>18</v>
      </c>
      <c r="F92" s="427">
        <v>1</v>
      </c>
      <c r="G92" s="318">
        <v>1</v>
      </c>
      <c r="H92" s="318">
        <v>1</v>
      </c>
      <c r="I92" s="318">
        <v>1</v>
      </c>
      <c r="J92" s="318" t="s">
        <v>1033</v>
      </c>
      <c r="K92" s="318"/>
      <c r="L92" s="318" t="s">
        <v>1008</v>
      </c>
      <c r="M92" s="296">
        <v>1</v>
      </c>
      <c r="N92" s="296">
        <v>1</v>
      </c>
      <c r="O92" s="296">
        <v>1</v>
      </c>
    </row>
    <row r="93" ht="12.75" customHeight="1" spans="1:15">
      <c r="A93" s="314">
        <v>15</v>
      </c>
      <c r="B93" s="276">
        <v>252610491</v>
      </c>
      <c r="C93" s="315" t="s">
        <v>1034</v>
      </c>
      <c r="D93" s="275" t="s">
        <v>1035</v>
      </c>
      <c r="E93" s="341" t="s">
        <v>18</v>
      </c>
      <c r="F93" s="427">
        <v>1</v>
      </c>
      <c r="G93" s="318">
        <v>1</v>
      </c>
      <c r="H93" s="318">
        <v>1</v>
      </c>
      <c r="I93" s="318">
        <v>1</v>
      </c>
      <c r="J93" s="318">
        <v>1</v>
      </c>
      <c r="K93" s="318"/>
      <c r="L93" s="318" t="s">
        <v>1008</v>
      </c>
      <c r="M93" s="296">
        <v>1</v>
      </c>
      <c r="N93" s="296">
        <v>1</v>
      </c>
      <c r="O93" s="296">
        <v>1</v>
      </c>
    </row>
    <row r="94" ht="12.75" customHeight="1" spans="1:15">
      <c r="A94" s="314">
        <v>16</v>
      </c>
      <c r="B94" s="278">
        <v>252610542</v>
      </c>
      <c r="C94" s="321" t="s">
        <v>1036</v>
      </c>
      <c r="D94" s="277" t="s">
        <v>1037</v>
      </c>
      <c r="E94" s="341" t="s">
        <v>23</v>
      </c>
      <c r="F94" s="427">
        <v>1</v>
      </c>
      <c r="G94" s="318">
        <v>1</v>
      </c>
      <c r="H94" s="318">
        <v>1</v>
      </c>
      <c r="I94" s="318">
        <v>1</v>
      </c>
      <c r="J94" s="318">
        <v>1</v>
      </c>
      <c r="K94" s="318"/>
      <c r="L94" s="318"/>
      <c r="M94" s="296">
        <v>1</v>
      </c>
      <c r="N94" s="296">
        <v>1</v>
      </c>
      <c r="O94" s="296">
        <v>1</v>
      </c>
    </row>
    <row r="95" ht="12.75" customHeight="1" spans="1:15">
      <c r="A95" s="314">
        <v>17</v>
      </c>
      <c r="B95" s="276">
        <v>252610543</v>
      </c>
      <c r="C95" s="315" t="s">
        <v>1038</v>
      </c>
      <c r="D95" s="275" t="s">
        <v>1039</v>
      </c>
      <c r="E95" s="341" t="s">
        <v>23</v>
      </c>
      <c r="F95" s="427">
        <v>1</v>
      </c>
      <c r="G95" s="318">
        <v>1</v>
      </c>
      <c r="H95" s="318">
        <v>1</v>
      </c>
      <c r="I95" s="318">
        <v>1</v>
      </c>
      <c r="J95" s="318">
        <v>1</v>
      </c>
      <c r="K95" s="318"/>
      <c r="L95" s="318" t="s">
        <v>1008</v>
      </c>
      <c r="M95" s="296">
        <v>1</v>
      </c>
      <c r="N95" s="296">
        <v>1</v>
      </c>
      <c r="O95" s="296" t="s">
        <v>28</v>
      </c>
    </row>
    <row r="96" ht="12.75" customHeight="1" spans="1:15">
      <c r="A96" s="314">
        <v>18</v>
      </c>
      <c r="B96" s="278">
        <v>252610447</v>
      </c>
      <c r="C96" s="315" t="s">
        <v>1040</v>
      </c>
      <c r="D96" s="277" t="s">
        <v>1041</v>
      </c>
      <c r="E96" s="341" t="s">
        <v>23</v>
      </c>
      <c r="F96" s="427">
        <v>1</v>
      </c>
      <c r="G96" s="318">
        <v>1</v>
      </c>
      <c r="H96" s="318">
        <v>1</v>
      </c>
      <c r="I96" s="318">
        <v>1</v>
      </c>
      <c r="J96" s="318">
        <v>1</v>
      </c>
      <c r="K96" s="318"/>
      <c r="L96" s="318"/>
      <c r="M96" s="296">
        <v>1</v>
      </c>
      <c r="N96" s="296">
        <v>1</v>
      </c>
      <c r="O96" s="296">
        <v>1</v>
      </c>
    </row>
    <row r="97" ht="12.75" customHeight="1" spans="1:15">
      <c r="A97" s="314">
        <v>19</v>
      </c>
      <c r="B97" s="276">
        <v>252610354</v>
      </c>
      <c r="C97" s="321" t="s">
        <v>1042</v>
      </c>
      <c r="D97" s="275" t="s">
        <v>1043</v>
      </c>
      <c r="E97" s="341" t="s">
        <v>23</v>
      </c>
      <c r="F97" s="427">
        <v>1</v>
      </c>
      <c r="G97" s="318">
        <v>1</v>
      </c>
      <c r="H97" s="318">
        <v>1</v>
      </c>
      <c r="I97" s="318">
        <v>0</v>
      </c>
      <c r="J97" s="318">
        <v>1</v>
      </c>
      <c r="K97" s="318"/>
      <c r="L97" s="318"/>
      <c r="M97" s="296" t="s">
        <v>1044</v>
      </c>
      <c r="N97" s="296" t="s">
        <v>1044</v>
      </c>
      <c r="O97" s="296">
        <v>1</v>
      </c>
    </row>
    <row r="98" ht="12.75" customHeight="1" spans="1:15">
      <c r="A98" s="314">
        <v>20</v>
      </c>
      <c r="B98" s="278">
        <v>252610210</v>
      </c>
      <c r="C98" s="321" t="s">
        <v>1045</v>
      </c>
      <c r="D98" s="277" t="s">
        <v>1046</v>
      </c>
      <c r="E98" s="341" t="s">
        <v>23</v>
      </c>
      <c r="F98" s="427">
        <v>1</v>
      </c>
      <c r="G98" s="318">
        <v>1</v>
      </c>
      <c r="H98" s="318">
        <v>1</v>
      </c>
      <c r="I98" s="318">
        <v>1</v>
      </c>
      <c r="J98" s="318">
        <v>1</v>
      </c>
      <c r="K98" s="318"/>
      <c r="L98" s="318"/>
      <c r="M98" s="296">
        <v>1</v>
      </c>
      <c r="N98" s="296">
        <v>1</v>
      </c>
      <c r="O98" s="296">
        <v>1</v>
      </c>
    </row>
    <row r="99" ht="12.75" customHeight="1" spans="1:15">
      <c r="A99" s="314">
        <v>21</v>
      </c>
      <c r="B99" s="276">
        <v>252610402</v>
      </c>
      <c r="C99" s="321" t="s">
        <v>1047</v>
      </c>
      <c r="D99" s="279" t="s">
        <v>1048</v>
      </c>
      <c r="E99" s="341" t="s">
        <v>18</v>
      </c>
      <c r="F99" s="427">
        <v>1</v>
      </c>
      <c r="G99" s="318">
        <v>1</v>
      </c>
      <c r="H99" s="318">
        <v>1</v>
      </c>
      <c r="I99" s="318">
        <v>1</v>
      </c>
      <c r="J99" s="318">
        <v>1</v>
      </c>
      <c r="K99" s="318"/>
      <c r="L99" s="318" t="s">
        <v>1008</v>
      </c>
      <c r="M99" s="296">
        <v>1</v>
      </c>
      <c r="N99" s="296">
        <v>1</v>
      </c>
      <c r="O99" s="296">
        <v>1</v>
      </c>
    </row>
    <row r="100" ht="12.75" customHeight="1" spans="1:15">
      <c r="A100" s="314">
        <v>22</v>
      </c>
      <c r="B100" s="278">
        <v>252610165</v>
      </c>
      <c r="C100" s="315" t="s">
        <v>1049</v>
      </c>
      <c r="D100" s="277" t="s">
        <v>1050</v>
      </c>
      <c r="E100" s="343" t="s">
        <v>18</v>
      </c>
      <c r="F100" s="427">
        <v>1</v>
      </c>
      <c r="G100" s="318">
        <v>1</v>
      </c>
      <c r="H100" s="318">
        <v>1</v>
      </c>
      <c r="I100" s="318">
        <v>1</v>
      </c>
      <c r="J100" s="318">
        <v>1</v>
      </c>
      <c r="K100" s="318"/>
      <c r="L100" s="318" t="s">
        <v>1008</v>
      </c>
      <c r="M100" s="296">
        <v>1</v>
      </c>
      <c r="N100" s="296">
        <v>1</v>
      </c>
      <c r="O100" s="296">
        <v>1</v>
      </c>
    </row>
    <row r="101" ht="12.75" customHeight="1" spans="1:15">
      <c r="A101" s="314">
        <v>23</v>
      </c>
      <c r="B101" s="276">
        <v>252610260</v>
      </c>
      <c r="C101" s="315" t="s">
        <v>1051</v>
      </c>
      <c r="D101" s="275" t="s">
        <v>1052</v>
      </c>
      <c r="E101" s="341" t="s">
        <v>23</v>
      </c>
      <c r="F101" s="427">
        <v>1</v>
      </c>
      <c r="G101" s="318">
        <v>1</v>
      </c>
      <c r="H101" s="318" t="s">
        <v>28</v>
      </c>
      <c r="I101" s="318" t="s">
        <v>28</v>
      </c>
      <c r="J101" s="318">
        <v>1</v>
      </c>
      <c r="K101" s="318"/>
      <c r="L101" s="318" t="s">
        <v>1008</v>
      </c>
      <c r="M101" s="296">
        <v>1</v>
      </c>
      <c r="N101" s="296">
        <v>1</v>
      </c>
      <c r="O101" s="296">
        <v>1</v>
      </c>
    </row>
    <row r="102" ht="12.75" customHeight="1" spans="1:15">
      <c r="A102" s="314">
        <v>24</v>
      </c>
      <c r="B102" s="278">
        <v>252610117</v>
      </c>
      <c r="C102" s="315" t="s">
        <v>1053</v>
      </c>
      <c r="D102" s="277" t="s">
        <v>1054</v>
      </c>
      <c r="E102" s="341" t="s">
        <v>18</v>
      </c>
      <c r="F102" s="427">
        <v>1</v>
      </c>
      <c r="G102" s="318">
        <v>1</v>
      </c>
      <c r="H102" s="318">
        <v>1</v>
      </c>
      <c r="I102" s="318">
        <v>1</v>
      </c>
      <c r="J102" s="318">
        <v>1</v>
      </c>
      <c r="K102" s="318"/>
      <c r="L102" s="318" t="s">
        <v>1008</v>
      </c>
      <c r="M102" s="296">
        <v>1</v>
      </c>
      <c r="N102" s="296">
        <v>1</v>
      </c>
      <c r="O102" s="296">
        <v>1</v>
      </c>
    </row>
    <row r="103" ht="12.75" customHeight="1" spans="1:15">
      <c r="A103" s="314">
        <v>25</v>
      </c>
      <c r="B103" s="276">
        <v>252610548</v>
      </c>
      <c r="C103" s="315" t="s">
        <v>1053</v>
      </c>
      <c r="D103" s="275" t="s">
        <v>1055</v>
      </c>
      <c r="E103" s="341" t="s">
        <v>18</v>
      </c>
      <c r="F103" s="427">
        <v>1</v>
      </c>
      <c r="G103" s="318">
        <v>1</v>
      </c>
      <c r="H103" s="318">
        <v>1</v>
      </c>
      <c r="I103" s="318">
        <v>0</v>
      </c>
      <c r="J103" s="318">
        <v>1</v>
      </c>
      <c r="K103" s="318"/>
      <c r="L103" s="318"/>
      <c r="M103" s="296">
        <v>1</v>
      </c>
      <c r="N103" s="296" t="s">
        <v>28</v>
      </c>
      <c r="O103" s="296">
        <v>1</v>
      </c>
    </row>
    <row r="104" ht="12.75" customHeight="1" spans="1:15">
      <c r="A104" s="314">
        <v>26</v>
      </c>
      <c r="B104" s="278">
        <v>252610069</v>
      </c>
      <c r="C104" s="321" t="s">
        <v>1056</v>
      </c>
      <c r="D104" s="277" t="s">
        <v>1057</v>
      </c>
      <c r="E104" s="341" t="s">
        <v>18</v>
      </c>
      <c r="F104" s="427">
        <v>1</v>
      </c>
      <c r="G104" s="318">
        <v>1</v>
      </c>
      <c r="H104" s="318">
        <v>1</v>
      </c>
      <c r="I104" s="318">
        <v>1</v>
      </c>
      <c r="J104" s="318">
        <v>1</v>
      </c>
      <c r="K104" s="318"/>
      <c r="L104" s="318" t="s">
        <v>1008</v>
      </c>
      <c r="M104" s="296">
        <v>1</v>
      </c>
      <c r="N104" s="296">
        <v>1</v>
      </c>
      <c r="O104" s="296">
        <v>1</v>
      </c>
    </row>
    <row r="105" ht="12.75" customHeight="1" spans="1:15">
      <c r="A105" s="314">
        <v>27</v>
      </c>
      <c r="B105" s="276">
        <v>252610408</v>
      </c>
      <c r="C105" s="315" t="s">
        <v>1058</v>
      </c>
      <c r="D105" s="279" t="s">
        <v>1059</v>
      </c>
      <c r="E105" s="341" t="s">
        <v>23</v>
      </c>
      <c r="F105" s="427">
        <v>1</v>
      </c>
      <c r="G105" s="318">
        <v>1</v>
      </c>
      <c r="H105" s="318">
        <v>1</v>
      </c>
      <c r="I105" s="318">
        <v>1</v>
      </c>
      <c r="J105" s="318">
        <v>1</v>
      </c>
      <c r="K105" s="318"/>
      <c r="L105" s="318"/>
      <c r="M105" s="296">
        <v>1</v>
      </c>
      <c r="N105" s="296">
        <v>1</v>
      </c>
      <c r="O105" s="296">
        <v>1</v>
      </c>
    </row>
    <row r="106" ht="12.75" customHeight="1" spans="1:15">
      <c r="A106" s="314">
        <v>28</v>
      </c>
      <c r="B106" s="278">
        <v>252610454</v>
      </c>
      <c r="C106" s="321" t="s">
        <v>1060</v>
      </c>
      <c r="D106" s="277" t="s">
        <v>1061</v>
      </c>
      <c r="E106" s="341" t="s">
        <v>23</v>
      </c>
      <c r="F106" s="427">
        <v>1</v>
      </c>
      <c r="G106" s="318">
        <v>1</v>
      </c>
      <c r="H106" s="318">
        <v>1</v>
      </c>
      <c r="I106" s="318">
        <v>1</v>
      </c>
      <c r="J106" s="318">
        <v>1</v>
      </c>
      <c r="K106" s="318"/>
      <c r="L106" s="318" t="s">
        <v>1008</v>
      </c>
      <c r="M106" s="296">
        <v>1</v>
      </c>
      <c r="N106" s="296">
        <v>1</v>
      </c>
      <c r="O106" s="296">
        <v>1</v>
      </c>
    </row>
    <row r="107" ht="12.75" customHeight="1" spans="1:15">
      <c r="A107" s="314">
        <v>29</v>
      </c>
      <c r="B107" s="276">
        <v>252610171</v>
      </c>
      <c r="C107" s="315" t="s">
        <v>1062</v>
      </c>
      <c r="D107" s="275" t="s">
        <v>1063</v>
      </c>
      <c r="E107" s="341" t="s">
        <v>23</v>
      </c>
      <c r="F107" s="427">
        <v>1</v>
      </c>
      <c r="G107" s="318">
        <v>1</v>
      </c>
      <c r="H107" s="318">
        <v>1</v>
      </c>
      <c r="I107" s="318">
        <v>1</v>
      </c>
      <c r="J107" s="318">
        <v>1</v>
      </c>
      <c r="K107" s="318"/>
      <c r="L107" s="318" t="s">
        <v>1008</v>
      </c>
      <c r="M107" s="296">
        <v>1</v>
      </c>
      <c r="N107" s="296">
        <v>1</v>
      </c>
      <c r="O107" s="296">
        <v>1</v>
      </c>
    </row>
    <row r="108" ht="12.75" customHeight="1" spans="1:15">
      <c r="A108" s="314">
        <v>30</v>
      </c>
      <c r="B108" s="278">
        <v>252610506</v>
      </c>
      <c r="C108" s="315" t="s">
        <v>1064</v>
      </c>
      <c r="D108" s="277" t="s">
        <v>1065</v>
      </c>
      <c r="E108" s="341" t="s">
        <v>18</v>
      </c>
      <c r="F108" s="427">
        <v>1</v>
      </c>
      <c r="G108" s="318">
        <v>1</v>
      </c>
      <c r="H108" s="318">
        <v>1</v>
      </c>
      <c r="I108" s="318">
        <v>1</v>
      </c>
      <c r="J108" s="318">
        <v>1</v>
      </c>
      <c r="K108" s="318"/>
      <c r="L108" s="318"/>
      <c r="M108" s="296">
        <v>1</v>
      </c>
      <c r="N108" s="296">
        <v>1</v>
      </c>
      <c r="O108" s="296" t="s">
        <v>28</v>
      </c>
    </row>
    <row r="109" ht="12.75" customHeight="1" spans="1:15">
      <c r="A109" s="314">
        <v>31</v>
      </c>
      <c r="B109" s="276">
        <v>252610124</v>
      </c>
      <c r="C109" s="315" t="s">
        <v>1066</v>
      </c>
      <c r="D109" s="275" t="s">
        <v>1067</v>
      </c>
      <c r="E109" s="341" t="s">
        <v>18</v>
      </c>
      <c r="F109" s="427">
        <v>1</v>
      </c>
      <c r="G109" s="318">
        <v>1</v>
      </c>
      <c r="H109" s="318">
        <v>1</v>
      </c>
      <c r="I109" s="318">
        <v>1</v>
      </c>
      <c r="J109" s="318">
        <v>1</v>
      </c>
      <c r="K109" s="318"/>
      <c r="L109" s="318"/>
      <c r="M109" s="296">
        <v>1</v>
      </c>
      <c r="N109" s="296">
        <v>1</v>
      </c>
      <c r="O109" s="296">
        <v>1</v>
      </c>
    </row>
    <row r="110" ht="12.75" customHeight="1" spans="1:15">
      <c r="A110" s="314">
        <v>32</v>
      </c>
      <c r="B110" s="286">
        <v>252610034</v>
      </c>
      <c r="C110" s="414" t="s">
        <v>1068</v>
      </c>
      <c r="D110" s="281" t="s">
        <v>1069</v>
      </c>
      <c r="E110" s="341" t="s">
        <v>18</v>
      </c>
      <c r="F110" s="427">
        <v>1</v>
      </c>
      <c r="G110" s="318">
        <v>1</v>
      </c>
      <c r="H110" s="318">
        <v>1</v>
      </c>
      <c r="I110" s="318">
        <v>1</v>
      </c>
      <c r="J110" s="318">
        <v>1</v>
      </c>
      <c r="K110" s="318"/>
      <c r="L110" s="318" t="s">
        <v>1008</v>
      </c>
      <c r="M110" s="296">
        <v>1</v>
      </c>
      <c r="N110" s="296">
        <v>1</v>
      </c>
      <c r="O110" s="296" t="s">
        <v>1044</v>
      </c>
    </row>
    <row r="111" ht="12.75" customHeight="1" spans="1:15">
      <c r="A111" s="314">
        <v>33</v>
      </c>
      <c r="B111" s="276">
        <v>252610413</v>
      </c>
      <c r="C111" s="315" t="s">
        <v>1070</v>
      </c>
      <c r="D111" s="279" t="s">
        <v>1071</v>
      </c>
      <c r="E111" s="341" t="s">
        <v>18</v>
      </c>
      <c r="F111" s="427">
        <v>1</v>
      </c>
      <c r="G111" s="318">
        <v>1</v>
      </c>
      <c r="H111" s="318">
        <v>1</v>
      </c>
      <c r="I111" s="318">
        <v>1</v>
      </c>
      <c r="J111" s="318">
        <v>1</v>
      </c>
      <c r="K111" s="318"/>
      <c r="L111" s="318" t="s">
        <v>1008</v>
      </c>
      <c r="M111" s="296">
        <v>1</v>
      </c>
      <c r="N111" s="296">
        <v>1</v>
      </c>
      <c r="O111" s="296">
        <v>1</v>
      </c>
    </row>
    <row r="112" ht="12.75" customHeight="1" spans="1:15">
      <c r="A112" s="314">
        <v>34</v>
      </c>
      <c r="B112" s="278">
        <v>252610224</v>
      </c>
      <c r="C112" s="315" t="s">
        <v>1072</v>
      </c>
      <c r="D112" s="277" t="s">
        <v>1073</v>
      </c>
      <c r="E112" s="341" t="s">
        <v>18</v>
      </c>
      <c r="F112" s="427">
        <v>1</v>
      </c>
      <c r="G112" s="318">
        <v>1</v>
      </c>
      <c r="H112" s="318">
        <v>1</v>
      </c>
      <c r="I112" s="318">
        <v>1</v>
      </c>
      <c r="J112" s="318">
        <v>1</v>
      </c>
      <c r="K112" s="318"/>
      <c r="L112" s="318"/>
      <c r="M112" s="296">
        <v>1</v>
      </c>
      <c r="N112" s="296">
        <v>1</v>
      </c>
      <c r="O112" s="296" t="s">
        <v>28</v>
      </c>
    </row>
    <row r="113" ht="12.75" customHeight="1" spans="1:15">
      <c r="A113" s="314">
        <v>35</v>
      </c>
      <c r="B113" s="276">
        <v>252610275</v>
      </c>
      <c r="C113" s="315" t="s">
        <v>1074</v>
      </c>
      <c r="D113" s="275" t="s">
        <v>1075</v>
      </c>
      <c r="E113" s="341" t="s">
        <v>18</v>
      </c>
      <c r="F113" s="428">
        <v>1</v>
      </c>
      <c r="G113" s="327">
        <v>1</v>
      </c>
      <c r="H113" s="327">
        <v>1</v>
      </c>
      <c r="I113" s="318">
        <v>1</v>
      </c>
      <c r="J113" s="318">
        <v>1</v>
      </c>
      <c r="K113" s="318"/>
      <c r="L113" s="318" t="s">
        <v>1008</v>
      </c>
      <c r="M113" s="296">
        <v>1</v>
      </c>
      <c r="N113" s="296">
        <v>1</v>
      </c>
      <c r="O113" s="296">
        <v>1</v>
      </c>
    </row>
    <row r="114" ht="12.75" customHeight="1" spans="1:15">
      <c r="A114" s="314">
        <v>36</v>
      </c>
      <c r="B114" s="278">
        <v>252610512</v>
      </c>
      <c r="C114" s="315" t="s">
        <v>1076</v>
      </c>
      <c r="D114" s="277" t="s">
        <v>1077</v>
      </c>
      <c r="E114" s="341" t="s">
        <v>18</v>
      </c>
      <c r="F114" s="429">
        <v>1</v>
      </c>
      <c r="G114" s="318">
        <v>1</v>
      </c>
      <c r="H114" s="318">
        <v>1</v>
      </c>
      <c r="I114" s="318">
        <v>1</v>
      </c>
      <c r="J114" s="318">
        <v>1</v>
      </c>
      <c r="K114" s="318"/>
      <c r="L114" s="318" t="s">
        <v>1008</v>
      </c>
      <c r="M114" s="296">
        <v>1</v>
      </c>
      <c r="N114" s="296">
        <v>1</v>
      </c>
      <c r="O114" s="296">
        <v>1</v>
      </c>
    </row>
    <row r="115" ht="12.75" customHeight="1" spans="1:15">
      <c r="A115" s="314">
        <v>37</v>
      </c>
      <c r="B115" s="284">
        <v>252610038</v>
      </c>
      <c r="C115" s="414" t="s">
        <v>1078</v>
      </c>
      <c r="D115" s="282" t="s">
        <v>1079</v>
      </c>
      <c r="E115" s="341" t="s">
        <v>23</v>
      </c>
      <c r="F115" s="429">
        <v>1</v>
      </c>
      <c r="G115" s="318">
        <v>1</v>
      </c>
      <c r="H115" s="318">
        <v>1</v>
      </c>
      <c r="I115" s="318">
        <v>1</v>
      </c>
      <c r="J115" s="318">
        <v>1</v>
      </c>
      <c r="K115" s="318"/>
      <c r="L115" s="318" t="s">
        <v>1008</v>
      </c>
      <c r="M115" s="296">
        <v>1</v>
      </c>
      <c r="N115" s="296">
        <v>1</v>
      </c>
      <c r="O115" s="296">
        <v>1</v>
      </c>
    </row>
    <row r="116" ht="12.75" customHeight="1" spans="1:15">
      <c r="A116" s="314">
        <v>38</v>
      </c>
      <c r="B116" s="278">
        <v>252610371</v>
      </c>
      <c r="C116" s="315" t="s">
        <v>1080</v>
      </c>
      <c r="D116" s="277" t="s">
        <v>1081</v>
      </c>
      <c r="E116" s="341" t="s">
        <v>18</v>
      </c>
      <c r="F116" s="429">
        <v>1</v>
      </c>
      <c r="G116" s="318">
        <v>1</v>
      </c>
      <c r="H116" s="318">
        <v>1</v>
      </c>
      <c r="I116" s="318">
        <v>1</v>
      </c>
      <c r="J116" s="318">
        <v>1</v>
      </c>
      <c r="K116" s="318"/>
      <c r="L116" s="318"/>
      <c r="M116" s="296">
        <v>1</v>
      </c>
      <c r="N116" s="296">
        <v>1</v>
      </c>
      <c r="O116" s="296">
        <v>1</v>
      </c>
    </row>
    <row r="117" ht="12.75" customHeight="1" spans="1:15">
      <c r="A117" s="314">
        <v>39</v>
      </c>
      <c r="B117" s="276">
        <v>252610134</v>
      </c>
      <c r="C117" s="315" t="s">
        <v>1082</v>
      </c>
      <c r="D117" s="275" t="s">
        <v>1083</v>
      </c>
      <c r="E117" s="341" t="s">
        <v>18</v>
      </c>
      <c r="F117" s="429">
        <v>1</v>
      </c>
      <c r="G117" s="318">
        <v>1</v>
      </c>
      <c r="H117" s="318">
        <v>1</v>
      </c>
      <c r="I117" s="318">
        <v>0</v>
      </c>
      <c r="J117" s="318">
        <v>1</v>
      </c>
      <c r="K117" s="318"/>
      <c r="L117" s="318" t="s">
        <v>1008</v>
      </c>
      <c r="M117" s="296">
        <v>1</v>
      </c>
      <c r="N117" s="296">
        <v>1</v>
      </c>
      <c r="O117" s="296">
        <v>1</v>
      </c>
    </row>
    <row r="118" ht="12.75" customHeight="1" spans="1:15">
      <c r="A118" s="314">
        <v>40</v>
      </c>
      <c r="B118" s="278">
        <v>252610278</v>
      </c>
      <c r="C118" s="315" t="s">
        <v>1084</v>
      </c>
      <c r="D118" s="277" t="s">
        <v>1085</v>
      </c>
      <c r="E118" s="341" t="s">
        <v>23</v>
      </c>
      <c r="F118" s="429">
        <v>1</v>
      </c>
      <c r="G118" s="318">
        <v>1</v>
      </c>
      <c r="H118" s="318">
        <v>1</v>
      </c>
      <c r="I118" s="318">
        <v>1</v>
      </c>
      <c r="J118" s="318">
        <v>1</v>
      </c>
      <c r="K118" s="318"/>
      <c r="L118" s="318"/>
      <c r="M118" s="296">
        <v>1</v>
      </c>
      <c r="N118" s="296">
        <v>1</v>
      </c>
      <c r="O118" s="296">
        <v>1</v>
      </c>
    </row>
    <row r="119" ht="12.75" customHeight="1" spans="1:15">
      <c r="A119" s="314">
        <v>41</v>
      </c>
      <c r="B119" s="276">
        <v>252610091</v>
      </c>
      <c r="C119" s="315" t="s">
        <v>1086</v>
      </c>
      <c r="D119" s="275" t="s">
        <v>1087</v>
      </c>
      <c r="E119" s="341" t="s">
        <v>18</v>
      </c>
      <c r="F119" s="429">
        <v>1</v>
      </c>
      <c r="G119" s="318">
        <v>1</v>
      </c>
      <c r="H119" s="318">
        <v>1</v>
      </c>
      <c r="I119" s="318">
        <v>1</v>
      </c>
      <c r="J119" s="318">
        <v>1</v>
      </c>
      <c r="K119" s="318"/>
      <c r="L119" s="318" t="s">
        <v>1008</v>
      </c>
      <c r="M119" s="296">
        <v>1</v>
      </c>
      <c r="N119" s="296">
        <v>1</v>
      </c>
      <c r="O119" s="296">
        <v>1</v>
      </c>
    </row>
    <row r="120" ht="12.75" customHeight="1" spans="1:15">
      <c r="A120" s="314">
        <v>42</v>
      </c>
      <c r="B120" s="278">
        <v>252610328</v>
      </c>
      <c r="C120" s="315" t="s">
        <v>1088</v>
      </c>
      <c r="D120" s="277" t="s">
        <v>1089</v>
      </c>
      <c r="E120" s="341" t="s">
        <v>18</v>
      </c>
      <c r="F120" s="429">
        <v>1</v>
      </c>
      <c r="G120" s="318">
        <v>1</v>
      </c>
      <c r="H120" s="318">
        <v>1</v>
      </c>
      <c r="I120" s="318">
        <v>1</v>
      </c>
      <c r="J120" s="318">
        <v>1</v>
      </c>
      <c r="K120" s="318"/>
      <c r="L120" s="318" t="s">
        <v>1008</v>
      </c>
      <c r="M120" s="296">
        <v>1</v>
      </c>
      <c r="N120" s="296">
        <v>1</v>
      </c>
      <c r="O120" s="296">
        <v>1</v>
      </c>
    </row>
    <row r="121" ht="12.75" customHeight="1" spans="1:15">
      <c r="A121" s="314">
        <v>43</v>
      </c>
      <c r="B121" s="276">
        <v>252610282</v>
      </c>
      <c r="C121" s="315" t="s">
        <v>1090</v>
      </c>
      <c r="D121" s="275" t="s">
        <v>1091</v>
      </c>
      <c r="E121" s="341" t="s">
        <v>18</v>
      </c>
      <c r="F121" s="429">
        <v>1</v>
      </c>
      <c r="G121" s="318">
        <v>1</v>
      </c>
      <c r="H121" s="318">
        <v>1</v>
      </c>
      <c r="I121" s="318">
        <v>1</v>
      </c>
      <c r="J121" s="318">
        <v>1</v>
      </c>
      <c r="K121" s="318"/>
      <c r="L121" s="318" t="s">
        <v>1008</v>
      </c>
      <c r="M121" s="296">
        <v>1</v>
      </c>
      <c r="N121" s="296">
        <v>1</v>
      </c>
      <c r="O121" s="296">
        <v>1</v>
      </c>
    </row>
    <row r="122" ht="12.75" customHeight="1" spans="1:15">
      <c r="A122" s="314">
        <v>44</v>
      </c>
      <c r="B122" s="278">
        <v>252610473</v>
      </c>
      <c r="C122" s="315" t="s">
        <v>1092</v>
      </c>
      <c r="D122" s="277" t="s">
        <v>1093</v>
      </c>
      <c r="E122" s="341" t="s">
        <v>18</v>
      </c>
      <c r="F122" s="429">
        <v>1</v>
      </c>
      <c r="G122" s="318">
        <v>1</v>
      </c>
      <c r="H122" s="318">
        <v>1</v>
      </c>
      <c r="I122" s="318">
        <v>1</v>
      </c>
      <c r="J122" s="318">
        <v>1</v>
      </c>
      <c r="K122" s="318"/>
      <c r="L122" s="318"/>
      <c r="M122" s="296">
        <v>1</v>
      </c>
      <c r="N122" s="296">
        <v>1</v>
      </c>
      <c r="O122" s="296">
        <v>1</v>
      </c>
    </row>
    <row r="123" ht="12.75" customHeight="1" spans="1:15">
      <c r="A123" s="314">
        <v>45</v>
      </c>
      <c r="B123" s="284">
        <v>252610047</v>
      </c>
      <c r="C123" s="414" t="s">
        <v>1094</v>
      </c>
      <c r="D123" s="282" t="s">
        <v>1095</v>
      </c>
      <c r="E123" s="341" t="s">
        <v>18</v>
      </c>
      <c r="F123" s="429">
        <v>1</v>
      </c>
      <c r="G123" s="318">
        <v>1</v>
      </c>
      <c r="H123" s="318">
        <v>1</v>
      </c>
      <c r="I123" s="318">
        <v>1</v>
      </c>
      <c r="J123" s="318">
        <v>1</v>
      </c>
      <c r="K123" s="318"/>
      <c r="L123" s="318" t="s">
        <v>1008</v>
      </c>
      <c r="M123" s="296">
        <v>1</v>
      </c>
      <c r="N123" s="296">
        <v>1</v>
      </c>
      <c r="O123" s="296">
        <v>1</v>
      </c>
    </row>
    <row r="124" ht="12.75" customHeight="1" spans="1:15">
      <c r="A124" s="314">
        <v>46</v>
      </c>
      <c r="B124" s="278">
        <v>252610239</v>
      </c>
      <c r="C124" s="321" t="s">
        <v>1096</v>
      </c>
      <c r="D124" s="277" t="s">
        <v>1097</v>
      </c>
      <c r="E124" s="341" t="s">
        <v>18</v>
      </c>
      <c r="F124" s="429">
        <v>1</v>
      </c>
      <c r="G124" s="318">
        <v>1</v>
      </c>
      <c r="H124" s="318">
        <v>1</v>
      </c>
      <c r="I124" s="318">
        <v>1</v>
      </c>
      <c r="J124" s="318">
        <v>1</v>
      </c>
      <c r="K124" s="318"/>
      <c r="L124" s="318" t="s">
        <v>1008</v>
      </c>
      <c r="M124" s="296">
        <v>1</v>
      </c>
      <c r="N124" s="296">
        <v>1</v>
      </c>
      <c r="O124" s="296">
        <v>1</v>
      </c>
    </row>
    <row r="125" ht="12.75" customHeight="1" spans="1:15">
      <c r="A125" s="314">
        <v>47</v>
      </c>
      <c r="B125" s="276">
        <v>252610336</v>
      </c>
      <c r="C125" s="315" t="s">
        <v>1098</v>
      </c>
      <c r="D125" s="275" t="s">
        <v>1099</v>
      </c>
      <c r="E125" s="341" t="s">
        <v>18</v>
      </c>
      <c r="F125" s="429">
        <v>1</v>
      </c>
      <c r="G125" s="318">
        <v>1</v>
      </c>
      <c r="H125" s="318">
        <v>1</v>
      </c>
      <c r="I125" s="318">
        <v>1</v>
      </c>
      <c r="J125" s="318">
        <v>1</v>
      </c>
      <c r="K125" s="318"/>
      <c r="L125" s="318" t="s">
        <v>1008</v>
      </c>
      <c r="M125" s="296">
        <v>1</v>
      </c>
      <c r="N125" s="296">
        <v>1</v>
      </c>
      <c r="O125" s="296">
        <v>1</v>
      </c>
    </row>
    <row r="126" ht="12.75" customHeight="1" spans="1:15">
      <c r="A126" s="314">
        <v>48</v>
      </c>
      <c r="B126" s="278">
        <v>252610430</v>
      </c>
      <c r="C126" s="315" t="s">
        <v>1100</v>
      </c>
      <c r="D126" s="281" t="s">
        <v>1101</v>
      </c>
      <c r="E126" s="341" t="s">
        <v>18</v>
      </c>
      <c r="F126" s="429">
        <v>1</v>
      </c>
      <c r="G126" s="318">
        <v>1</v>
      </c>
      <c r="H126" s="318">
        <v>1</v>
      </c>
      <c r="I126" s="318">
        <v>1</v>
      </c>
      <c r="J126" s="318">
        <v>1</v>
      </c>
      <c r="K126" s="318"/>
      <c r="L126" s="318" t="s">
        <v>1008</v>
      </c>
      <c r="M126" s="296">
        <v>1</v>
      </c>
      <c r="N126" s="296">
        <v>1</v>
      </c>
      <c r="O126" s="296">
        <v>1</v>
      </c>
    </row>
    <row r="127" s="289" customFormat="1" ht="12.75" customHeight="1" spans="1:15">
      <c r="B127" s="344"/>
      <c r="C127" s="345"/>
      <c r="D127" s="346" t="s">
        <v>89</v>
      </c>
      <c r="E127" s="347">
        <f>COUNTIF(E79:E126,"L")</f>
        <v>16</v>
      </c>
    </row>
    <row r="128" s="289" customFormat="1" ht="12.75" customHeight="1" spans="1:15">
      <c r="A128" s="293"/>
      <c r="B128" s="333"/>
      <c r="C128" s="345"/>
      <c r="D128" s="346" t="s">
        <v>90</v>
      </c>
      <c r="E128" s="347">
        <f>COUNTIF(E79:E126,"P")</f>
        <v>32</v>
      </c>
    </row>
    <row r="129" s="289" customFormat="1" ht="12.75" customHeight="1" spans="1:9">
      <c r="A129" s="293"/>
      <c r="B129" s="334" t="s">
        <v>91</v>
      </c>
      <c r="C129" s="423"/>
      <c r="D129" s="304"/>
      <c r="E129" s="293"/>
      <c r="F129" s="289" t="s">
        <v>92</v>
      </c>
    </row>
    <row r="130" s="289" customFormat="1" ht="12.75" customHeight="1" spans="1:9">
      <c r="A130" s="293"/>
      <c r="B130" s="334"/>
      <c r="C130" s="423"/>
      <c r="D130" s="304"/>
      <c r="E130" s="293"/>
    </row>
    <row r="131" s="289" customFormat="1" ht="12.75" customHeight="1" spans="1:9">
      <c r="A131" s="293"/>
      <c r="B131" s="334"/>
      <c r="C131" s="423"/>
      <c r="D131" s="304"/>
      <c r="E131" s="293"/>
    </row>
    <row r="132" s="289" customFormat="1" ht="12.75" customHeight="1" spans="1:9">
      <c r="A132" s="293"/>
      <c r="B132" s="334"/>
      <c r="C132" s="423"/>
      <c r="D132" s="304"/>
      <c r="E132" s="293"/>
    </row>
    <row r="133" s="289" customFormat="1" ht="12.75" customHeight="1" spans="1:9">
      <c r="A133" s="293"/>
      <c r="B133" s="338" t="s">
        <v>93</v>
      </c>
      <c r="C133" s="423"/>
      <c r="D133" s="304"/>
      <c r="E133" s="293"/>
      <c r="F133" s="289" t="s">
        <v>94</v>
      </c>
    </row>
    <row r="134" s="289" customFormat="1" ht="12.75" customHeight="1" spans="1:9">
      <c r="A134" s="293"/>
      <c r="B134" s="339" t="s">
        <v>95</v>
      </c>
      <c r="C134" s="423"/>
      <c r="D134" s="304"/>
      <c r="E134" s="293"/>
    </row>
    <row r="135" ht="12.75" customHeight="1" spans="1:9">
      <c r="B135" s="348"/>
    </row>
    <row r="136" ht="12.75" customHeight="1" spans="1:9">
      <c r="A136" s="297" t="s">
        <v>1</v>
      </c>
      <c r="B136" s="297"/>
      <c r="C136" s="297"/>
      <c r="D136" s="297"/>
      <c r="E136" s="297"/>
      <c r="F136" s="297"/>
      <c r="G136" s="297"/>
      <c r="H136" s="297"/>
      <c r="I136" s="297"/>
    </row>
    <row r="137" ht="12.75" customHeight="1" spans="1:9">
      <c r="A137" s="297" t="s">
        <v>2</v>
      </c>
      <c r="B137" s="297"/>
      <c r="C137" s="297"/>
      <c r="D137" s="297"/>
      <c r="E137" s="297"/>
      <c r="F137" s="297"/>
      <c r="G137" s="297"/>
      <c r="H137" s="297"/>
      <c r="I137" s="297"/>
    </row>
    <row r="138" ht="12.75" customHeight="1" spans="1:9">
      <c r="A138" s="297" t="s">
        <v>3</v>
      </c>
      <c r="B138" s="297"/>
      <c r="C138" s="297"/>
      <c r="D138" s="297"/>
      <c r="E138" s="297"/>
      <c r="F138" s="297"/>
      <c r="G138" s="297"/>
      <c r="H138" s="297"/>
      <c r="I138" s="297"/>
    </row>
    <row r="139" s="291" customFormat="1" ht="16.5" customHeight="1" spans="1:9">
      <c r="A139" s="298" t="s">
        <v>4</v>
      </c>
      <c r="B139" s="298"/>
      <c r="C139" s="298"/>
      <c r="D139" s="298"/>
      <c r="E139" s="298"/>
      <c r="F139" s="298"/>
      <c r="G139" s="298"/>
      <c r="H139" s="298"/>
      <c r="I139" s="298"/>
    </row>
    <row r="140" ht="12.75" customHeight="1" spans="1:9">
      <c r="A140" s="299" t="s">
        <v>5</v>
      </c>
      <c r="B140" s="299"/>
      <c r="C140" s="299"/>
      <c r="D140" s="299"/>
      <c r="E140" s="299"/>
      <c r="F140" s="299"/>
      <c r="G140" s="299"/>
      <c r="H140" s="299"/>
      <c r="I140" s="299"/>
    </row>
    <row r="141" customHeight="1" spans="1:9">
      <c r="A141" s="299"/>
      <c r="B141" s="299"/>
      <c r="C141" s="299"/>
      <c r="D141" s="299"/>
      <c r="E141" s="299"/>
      <c r="F141" s="299"/>
      <c r="G141" s="299"/>
      <c r="H141" s="299"/>
      <c r="I141" s="299"/>
    </row>
    <row r="142" ht="12.75" customHeight="1" spans="1:9">
      <c r="A142" s="299"/>
      <c r="B142" s="299"/>
      <c r="C142" s="299"/>
      <c r="D142" s="299"/>
      <c r="E142" s="299"/>
      <c r="F142" s="299"/>
      <c r="G142" s="299"/>
      <c r="H142" s="299"/>
      <c r="I142" s="299"/>
    </row>
    <row r="143" s="289" customFormat="1" ht="12.75" customHeight="1" spans="1:9">
      <c r="A143" s="300" t="s">
        <v>6</v>
      </c>
      <c r="B143" s="300"/>
      <c r="C143" s="300"/>
      <c r="D143" s="300"/>
      <c r="E143" s="300"/>
      <c r="F143" s="300"/>
      <c r="G143" s="300"/>
      <c r="H143" s="300"/>
      <c r="I143" s="300"/>
    </row>
    <row r="144" s="289" customFormat="1" ht="12.75" customHeight="1" spans="1:9">
      <c r="A144" s="300"/>
      <c r="B144" s="300"/>
      <c r="C144" s="300"/>
      <c r="D144" s="300"/>
      <c r="E144" s="300"/>
      <c r="F144" s="300"/>
      <c r="G144" s="300"/>
      <c r="H144" s="300"/>
      <c r="I144" s="300"/>
    </row>
    <row r="145" s="289" customFormat="1" ht="12.75" customHeight="1" spans="1:12">
      <c r="A145" s="301"/>
      <c r="B145" s="302" t="s">
        <v>1102</v>
      </c>
      <c r="C145" s="406"/>
      <c r="D145" s="304"/>
      <c r="E145" s="407" t="s">
        <v>8</v>
      </c>
      <c r="F145" s="306" t="s">
        <v>1103</v>
      </c>
    </row>
    <row r="146" s="289" customFormat="1" ht="19.5" customHeight="1" spans="1:12">
      <c r="A146" s="307" t="s">
        <v>10</v>
      </c>
      <c r="B146" s="308" t="s">
        <v>11</v>
      </c>
      <c r="C146" s="309" t="s">
        <v>12</v>
      </c>
      <c r="D146" s="308" t="s">
        <v>13</v>
      </c>
      <c r="E146" s="308" t="s">
        <v>14</v>
      </c>
      <c r="F146" s="310" t="s">
        <v>1104</v>
      </c>
      <c r="G146" s="310"/>
      <c r="H146" s="310"/>
      <c r="I146" s="310"/>
      <c r="J146" s="289" t="s">
        <v>1003</v>
      </c>
      <c r="K146" s="425">
        <v>46090</v>
      </c>
      <c r="L146" s="340">
        <v>46275</v>
      </c>
    </row>
    <row r="147" ht="12.75" customHeight="1" spans="1:12">
      <c r="A147" s="314">
        <v>1</v>
      </c>
      <c r="B147" s="276">
        <v>252610433</v>
      </c>
      <c r="C147" s="315" t="s">
        <v>1105</v>
      </c>
      <c r="D147" s="275" t="s">
        <v>1106</v>
      </c>
      <c r="E147" s="341" t="s">
        <v>23</v>
      </c>
      <c r="F147" s="317"/>
      <c r="G147" s="318"/>
      <c r="H147" s="318"/>
      <c r="I147" s="318"/>
      <c r="J147" s="318">
        <v>1</v>
      </c>
      <c r="K147" s="318">
        <v>1</v>
      </c>
      <c r="L147" s="296">
        <v>1</v>
      </c>
    </row>
    <row r="148" s="291" customFormat="1" ht="12.75" customHeight="1" spans="1:12">
      <c r="A148" s="314">
        <v>2</v>
      </c>
      <c r="B148" s="278">
        <v>252610434</v>
      </c>
      <c r="C148" s="315" t="s">
        <v>1107</v>
      </c>
      <c r="D148" s="277" t="s">
        <v>1108</v>
      </c>
      <c r="E148" s="341" t="s">
        <v>18</v>
      </c>
      <c r="F148" s="317"/>
      <c r="G148" s="318"/>
      <c r="H148" s="318"/>
      <c r="I148" s="318"/>
      <c r="J148" s="426">
        <v>1</v>
      </c>
      <c r="K148" s="426">
        <v>1</v>
      </c>
      <c r="L148" s="291">
        <v>1</v>
      </c>
    </row>
    <row r="149" ht="12.75" customHeight="1" spans="1:12">
      <c r="A149" s="314">
        <v>3</v>
      </c>
      <c r="B149" s="276">
        <v>252610049</v>
      </c>
      <c r="C149" s="315" t="s">
        <v>1109</v>
      </c>
      <c r="D149" s="275" t="s">
        <v>1110</v>
      </c>
      <c r="E149" s="341" t="s">
        <v>18</v>
      </c>
      <c r="F149" s="317"/>
      <c r="G149" s="318"/>
      <c r="H149" s="318"/>
      <c r="I149" s="318"/>
      <c r="J149" s="318">
        <v>1</v>
      </c>
      <c r="K149" s="318">
        <v>1</v>
      </c>
      <c r="L149" s="296">
        <v>1</v>
      </c>
    </row>
    <row r="150" ht="12.75" customHeight="1" spans="1:12">
      <c r="A150" s="314">
        <v>4</v>
      </c>
      <c r="B150" s="278">
        <v>252610145</v>
      </c>
      <c r="C150" s="315" t="s">
        <v>1111</v>
      </c>
      <c r="D150" s="277" t="s">
        <v>1112</v>
      </c>
      <c r="E150" s="341" t="s">
        <v>18</v>
      </c>
      <c r="F150" s="317"/>
      <c r="G150" s="318"/>
      <c r="H150" s="318"/>
      <c r="I150" s="318"/>
      <c r="J150" s="318">
        <v>1</v>
      </c>
      <c r="K150" s="318">
        <v>1</v>
      </c>
      <c r="L150" s="296">
        <v>1</v>
      </c>
    </row>
    <row r="151" ht="12.75" customHeight="1" spans="1:12">
      <c r="A151" s="314">
        <v>5</v>
      </c>
      <c r="B151" s="276">
        <v>252610290</v>
      </c>
      <c r="C151" s="315" t="s">
        <v>1113</v>
      </c>
      <c r="D151" s="275" t="s">
        <v>1114</v>
      </c>
      <c r="E151" s="341" t="s">
        <v>18</v>
      </c>
      <c r="F151" s="317"/>
      <c r="G151" s="318"/>
      <c r="H151" s="318"/>
      <c r="I151" s="318"/>
      <c r="J151" s="318">
        <v>1</v>
      </c>
      <c r="K151" s="318">
        <v>1</v>
      </c>
      <c r="L151" s="296">
        <v>1</v>
      </c>
    </row>
    <row r="152" ht="12.75" customHeight="1" spans="1:12">
      <c r="A152" s="314">
        <v>6</v>
      </c>
      <c r="B152" s="278">
        <v>252610246</v>
      </c>
      <c r="C152" s="321" t="s">
        <v>1115</v>
      </c>
      <c r="D152" s="277" t="s">
        <v>1116</v>
      </c>
      <c r="E152" s="341" t="s">
        <v>18</v>
      </c>
      <c r="F152" s="317"/>
      <c r="G152" s="318"/>
      <c r="H152" s="318"/>
      <c r="I152" s="318"/>
      <c r="J152" s="318">
        <v>1</v>
      </c>
      <c r="K152" s="318" t="s">
        <v>37</v>
      </c>
      <c r="L152" s="296">
        <v>1</v>
      </c>
    </row>
    <row r="153" ht="12.75" customHeight="1" spans="1:12">
      <c r="A153" s="314">
        <v>7</v>
      </c>
      <c r="B153" s="276">
        <v>252610387</v>
      </c>
      <c r="C153" s="315" t="s">
        <v>1117</v>
      </c>
      <c r="D153" s="279" t="s">
        <v>1118</v>
      </c>
      <c r="E153" s="341" t="s">
        <v>18</v>
      </c>
      <c r="F153" s="317"/>
      <c r="G153" s="318"/>
      <c r="H153" s="318"/>
      <c r="I153" s="318"/>
      <c r="J153" s="318">
        <v>1</v>
      </c>
      <c r="K153" s="318">
        <v>1</v>
      </c>
      <c r="L153" s="296">
        <v>1</v>
      </c>
    </row>
    <row r="154" ht="12.75" customHeight="1" spans="1:12">
      <c r="A154" s="314">
        <v>8</v>
      </c>
      <c r="B154" s="278">
        <v>252610484</v>
      </c>
      <c r="C154" s="315" t="s">
        <v>1119</v>
      </c>
      <c r="D154" s="277" t="s">
        <v>1120</v>
      </c>
      <c r="E154" s="341" t="s">
        <v>18</v>
      </c>
      <c r="F154" s="317"/>
      <c r="G154" s="318"/>
      <c r="H154" s="318"/>
      <c r="I154" s="318"/>
      <c r="J154" s="318">
        <v>1</v>
      </c>
      <c r="K154" s="318">
        <v>1</v>
      </c>
      <c r="L154" s="296" t="s">
        <v>1121</v>
      </c>
    </row>
    <row r="155" ht="12.75" customHeight="1" spans="1:12">
      <c r="A155" s="314">
        <v>9</v>
      </c>
      <c r="B155" s="276">
        <v>252610534</v>
      </c>
      <c r="C155" s="321" t="s">
        <v>1122</v>
      </c>
      <c r="D155" s="275" t="s">
        <v>1123</v>
      </c>
      <c r="E155" s="341" t="s">
        <v>18</v>
      </c>
      <c r="F155" s="317"/>
      <c r="G155" s="318"/>
      <c r="H155" s="318"/>
      <c r="I155" s="318"/>
      <c r="J155" s="318">
        <v>1</v>
      </c>
      <c r="K155" s="318">
        <v>1</v>
      </c>
      <c r="L155" s="296">
        <v>1</v>
      </c>
    </row>
    <row r="156" ht="12.75" customHeight="1" spans="1:12">
      <c r="A156" s="314">
        <v>10</v>
      </c>
      <c r="B156" s="278">
        <v>252610101</v>
      </c>
      <c r="C156" s="315" t="s">
        <v>1124</v>
      </c>
      <c r="D156" s="277" t="s">
        <v>1125</v>
      </c>
      <c r="E156" s="341" t="s">
        <v>18</v>
      </c>
      <c r="F156" s="317"/>
      <c r="G156" s="318"/>
      <c r="H156" s="318"/>
      <c r="I156" s="318"/>
      <c r="J156" s="318">
        <v>1</v>
      </c>
      <c r="K156" s="318">
        <v>1</v>
      </c>
      <c r="L156" s="296">
        <v>1</v>
      </c>
    </row>
    <row r="157" ht="12.75" customHeight="1" spans="1:12">
      <c r="A157" s="314">
        <v>11</v>
      </c>
      <c r="B157" s="276">
        <v>252610103</v>
      </c>
      <c r="C157" s="321" t="s">
        <v>1126</v>
      </c>
      <c r="D157" s="275" t="s">
        <v>1127</v>
      </c>
      <c r="E157" s="341" t="s">
        <v>23</v>
      </c>
      <c r="F157" s="317"/>
      <c r="G157" s="318"/>
      <c r="H157" s="318"/>
      <c r="I157" s="318"/>
      <c r="J157" s="318">
        <v>1</v>
      </c>
      <c r="K157" s="318">
        <v>1</v>
      </c>
      <c r="L157" s="296">
        <v>1</v>
      </c>
    </row>
    <row r="158" ht="12.75" customHeight="1" spans="1:12">
      <c r="A158" s="314">
        <v>12</v>
      </c>
      <c r="B158" s="278">
        <v>252610057</v>
      </c>
      <c r="C158" s="315" t="s">
        <v>1128</v>
      </c>
      <c r="D158" s="277" t="s">
        <v>1129</v>
      </c>
      <c r="E158" s="341" t="s">
        <v>18</v>
      </c>
      <c r="F158" s="317"/>
      <c r="G158" s="318"/>
      <c r="H158" s="318"/>
      <c r="I158" s="318"/>
      <c r="J158" s="318">
        <v>1</v>
      </c>
      <c r="K158" s="318">
        <v>1</v>
      </c>
      <c r="L158" s="296">
        <v>1</v>
      </c>
    </row>
    <row r="159" ht="12.75" customHeight="1" spans="1:12">
      <c r="A159" s="314">
        <v>13</v>
      </c>
      <c r="B159" s="278">
        <v>252610111</v>
      </c>
      <c r="C159" s="315" t="s">
        <v>1130</v>
      </c>
      <c r="D159" s="277" t="s">
        <v>1131</v>
      </c>
      <c r="E159" s="341" t="s">
        <v>18</v>
      </c>
      <c r="F159" s="317"/>
      <c r="G159" s="318"/>
      <c r="H159" s="318"/>
      <c r="I159" s="318"/>
      <c r="J159" s="318">
        <v>1</v>
      </c>
      <c r="K159" s="318">
        <v>1</v>
      </c>
      <c r="L159" s="296">
        <v>1</v>
      </c>
    </row>
    <row r="160" ht="12.75" customHeight="1" spans="1:12">
      <c r="A160" s="314">
        <v>14</v>
      </c>
      <c r="B160" s="276">
        <v>252610211</v>
      </c>
      <c r="C160" s="315" t="s">
        <v>1132</v>
      </c>
      <c r="D160" s="430" t="s">
        <v>1133</v>
      </c>
      <c r="E160" s="341" t="s">
        <v>23</v>
      </c>
      <c r="F160" s="317"/>
      <c r="G160" s="318"/>
      <c r="H160" s="318"/>
      <c r="I160" s="318"/>
      <c r="J160" s="318">
        <v>1</v>
      </c>
      <c r="K160" s="318">
        <v>1</v>
      </c>
      <c r="L160" s="296">
        <v>1</v>
      </c>
    </row>
    <row r="161" ht="12.75" customHeight="1" spans="1:12">
      <c r="A161" s="314">
        <v>15</v>
      </c>
      <c r="B161" s="286">
        <v>252610022</v>
      </c>
      <c r="C161" s="414" t="s">
        <v>1134</v>
      </c>
      <c r="D161" s="281" t="s">
        <v>1135</v>
      </c>
      <c r="E161" s="341" t="s">
        <v>18</v>
      </c>
      <c r="F161" s="317"/>
      <c r="G161" s="318"/>
      <c r="H161" s="318"/>
      <c r="I161" s="318"/>
      <c r="J161" s="318">
        <v>1</v>
      </c>
      <c r="K161" s="318">
        <v>1</v>
      </c>
      <c r="L161" s="296">
        <v>1</v>
      </c>
    </row>
    <row r="162" ht="12.75" customHeight="1" spans="1:12">
      <c r="A162" s="314">
        <v>16</v>
      </c>
      <c r="B162" s="276">
        <v>252610261</v>
      </c>
      <c r="C162" s="315" t="s">
        <v>1136</v>
      </c>
      <c r="D162" s="275" t="s">
        <v>1137</v>
      </c>
      <c r="E162" s="341" t="s">
        <v>18</v>
      </c>
      <c r="F162" s="317"/>
      <c r="G162" s="318"/>
      <c r="H162" s="318"/>
      <c r="I162" s="318"/>
      <c r="J162" s="318">
        <v>1</v>
      </c>
      <c r="K162" s="318">
        <v>1</v>
      </c>
      <c r="L162" s="296">
        <v>1</v>
      </c>
    </row>
    <row r="163" ht="12.75" customHeight="1" spans="1:12">
      <c r="A163" s="314">
        <v>17</v>
      </c>
      <c r="B163" s="286">
        <v>252610025</v>
      </c>
      <c r="C163" s="414" t="s">
        <v>1138</v>
      </c>
      <c r="D163" s="281" t="s">
        <v>1139</v>
      </c>
      <c r="E163" s="341" t="s">
        <v>18</v>
      </c>
      <c r="F163" s="317"/>
      <c r="G163" s="318"/>
      <c r="H163" s="318"/>
      <c r="I163" s="318"/>
      <c r="J163" s="318">
        <v>1</v>
      </c>
      <c r="K163" s="318">
        <v>1</v>
      </c>
      <c r="L163" s="296">
        <v>1</v>
      </c>
    </row>
    <row r="164" ht="12.75" customHeight="1" spans="1:12">
      <c r="A164" s="314">
        <v>18</v>
      </c>
      <c r="B164" s="278">
        <v>252610070</v>
      </c>
      <c r="C164" s="315" t="s">
        <v>1140</v>
      </c>
      <c r="D164" s="277" t="s">
        <v>1141</v>
      </c>
      <c r="E164" s="341" t="s">
        <v>23</v>
      </c>
      <c r="F164" s="317"/>
      <c r="G164" s="318"/>
      <c r="H164" s="318"/>
      <c r="I164" s="318"/>
      <c r="J164" s="318">
        <v>1</v>
      </c>
      <c r="K164" s="318">
        <v>1</v>
      </c>
      <c r="L164" s="296">
        <v>1</v>
      </c>
    </row>
    <row r="165" ht="12.75" customHeight="1" spans="1:12">
      <c r="A165" s="314">
        <v>19</v>
      </c>
      <c r="B165" s="276">
        <v>252610265</v>
      </c>
      <c r="C165" s="315" t="s">
        <v>1142</v>
      </c>
      <c r="D165" s="275" t="s">
        <v>1143</v>
      </c>
      <c r="E165" s="341" t="s">
        <v>23</v>
      </c>
      <c r="F165" s="317"/>
      <c r="G165" s="318"/>
      <c r="H165" s="318"/>
      <c r="I165" s="318"/>
      <c r="J165" s="318">
        <v>1</v>
      </c>
      <c r="K165" s="318">
        <v>1</v>
      </c>
      <c r="L165" s="296">
        <v>1</v>
      </c>
    </row>
    <row r="166" ht="12.75" customHeight="1" spans="1:12">
      <c r="A166" s="314">
        <v>20</v>
      </c>
      <c r="B166" s="276">
        <v>252610309</v>
      </c>
      <c r="C166" s="315" t="s">
        <v>1144</v>
      </c>
      <c r="D166" s="431" t="s">
        <v>1145</v>
      </c>
      <c r="E166" s="341" t="s">
        <v>23</v>
      </c>
      <c r="F166" s="317"/>
      <c r="G166" s="318"/>
      <c r="H166" s="318"/>
      <c r="I166" s="318"/>
      <c r="J166" s="318">
        <v>1</v>
      </c>
      <c r="K166" s="318">
        <v>1</v>
      </c>
      <c r="L166" s="296" t="s">
        <v>1146</v>
      </c>
    </row>
    <row r="167" ht="12.75" customHeight="1" spans="1:12">
      <c r="A167" s="314">
        <v>21</v>
      </c>
      <c r="B167" s="278">
        <v>252610503</v>
      </c>
      <c r="C167" s="315" t="s">
        <v>1147</v>
      </c>
      <c r="D167" s="277" t="s">
        <v>1148</v>
      </c>
      <c r="E167" s="341" t="s">
        <v>23</v>
      </c>
      <c r="F167" s="317"/>
      <c r="G167" s="318"/>
      <c r="H167" s="318"/>
      <c r="I167" s="318"/>
      <c r="J167" s="318">
        <v>1</v>
      </c>
      <c r="K167" s="318">
        <v>1</v>
      </c>
      <c r="L167" s="296">
        <v>1</v>
      </c>
    </row>
    <row r="168" ht="12.75" customHeight="1" spans="1:12">
      <c r="A168" s="314">
        <v>22</v>
      </c>
      <c r="B168" s="276">
        <v>252610559</v>
      </c>
      <c r="C168" s="315" t="s">
        <v>1149</v>
      </c>
      <c r="D168" s="275" t="s">
        <v>1150</v>
      </c>
      <c r="E168" s="341" t="s">
        <v>18</v>
      </c>
      <c r="F168" s="317"/>
      <c r="G168" s="318"/>
      <c r="H168" s="318"/>
      <c r="I168" s="318"/>
      <c r="J168" s="318">
        <v>1</v>
      </c>
      <c r="K168" s="318">
        <v>1</v>
      </c>
      <c r="L168" s="296">
        <v>1</v>
      </c>
    </row>
    <row r="169" ht="12.75" customHeight="1" spans="1:12">
      <c r="A169" s="314">
        <v>23</v>
      </c>
      <c r="B169" s="278">
        <v>252610175</v>
      </c>
      <c r="C169" s="315" t="s">
        <v>1151</v>
      </c>
      <c r="D169" s="277" t="s">
        <v>1152</v>
      </c>
      <c r="E169" s="341" t="s">
        <v>23</v>
      </c>
      <c r="F169" s="317"/>
      <c r="G169" s="318"/>
      <c r="H169" s="318"/>
      <c r="I169" s="318"/>
      <c r="J169" s="318">
        <v>1</v>
      </c>
      <c r="K169" s="318">
        <v>1</v>
      </c>
      <c r="L169" s="296">
        <v>1</v>
      </c>
    </row>
    <row r="170" ht="12.75" customHeight="1" spans="1:12">
      <c r="A170" s="314">
        <v>24</v>
      </c>
      <c r="B170" s="284">
        <v>252610035</v>
      </c>
      <c r="C170" s="432" t="s">
        <v>1153</v>
      </c>
      <c r="D170" s="279" t="s">
        <v>1154</v>
      </c>
      <c r="E170" s="341" t="s">
        <v>18</v>
      </c>
      <c r="F170" s="317"/>
      <c r="G170" s="318"/>
      <c r="H170" s="318"/>
      <c r="I170" s="318"/>
      <c r="J170" s="318">
        <v>1</v>
      </c>
      <c r="K170" s="318">
        <v>1</v>
      </c>
      <c r="L170" s="296">
        <v>1</v>
      </c>
    </row>
    <row r="171" ht="12.75" customHeight="1" spans="1:12">
      <c r="A171" s="314">
        <v>25</v>
      </c>
      <c r="B171" s="278">
        <v>252610223</v>
      </c>
      <c r="C171" s="315" t="s">
        <v>1155</v>
      </c>
      <c r="D171" s="277" t="s">
        <v>1156</v>
      </c>
      <c r="E171" s="341" t="s">
        <v>18</v>
      </c>
      <c r="F171" s="317"/>
      <c r="G171" s="318"/>
      <c r="H171" s="318"/>
      <c r="I171" s="318"/>
      <c r="J171" s="318">
        <v>1</v>
      </c>
      <c r="K171" s="318">
        <v>1</v>
      </c>
      <c r="L171" s="296">
        <v>1</v>
      </c>
    </row>
    <row r="172" ht="12.75" customHeight="1" spans="1:12">
      <c r="A172" s="314">
        <v>26</v>
      </c>
      <c r="B172" s="276">
        <v>252610562</v>
      </c>
      <c r="C172" s="315" t="s">
        <v>1157</v>
      </c>
      <c r="D172" s="275" t="s">
        <v>1158</v>
      </c>
      <c r="E172" s="341" t="s">
        <v>18</v>
      </c>
      <c r="F172" s="317"/>
      <c r="G172" s="318"/>
      <c r="H172" s="318"/>
      <c r="I172" s="318"/>
      <c r="J172" s="318">
        <v>1</v>
      </c>
      <c r="K172" s="318">
        <v>1</v>
      </c>
      <c r="L172" s="296">
        <v>1</v>
      </c>
    </row>
    <row r="173" ht="12.75" customHeight="1" spans="1:12">
      <c r="A173" s="314">
        <v>27</v>
      </c>
      <c r="B173" s="278">
        <v>252610372</v>
      </c>
      <c r="C173" s="315" t="s">
        <v>1159</v>
      </c>
      <c r="D173" s="277" t="s">
        <v>1160</v>
      </c>
      <c r="E173" s="343" t="s">
        <v>18</v>
      </c>
      <c r="F173" s="317"/>
      <c r="G173" s="318"/>
      <c r="H173" s="318"/>
      <c r="I173" s="318"/>
      <c r="J173" s="318">
        <v>1</v>
      </c>
      <c r="K173" s="318">
        <v>1</v>
      </c>
      <c r="L173" s="296">
        <v>1</v>
      </c>
    </row>
    <row r="174" ht="12.75" customHeight="1" spans="1:12">
      <c r="A174" s="314">
        <v>28</v>
      </c>
      <c r="B174" s="276">
        <v>252610419</v>
      </c>
      <c r="C174" s="315" t="s">
        <v>1161</v>
      </c>
      <c r="D174" s="279" t="s">
        <v>1162</v>
      </c>
      <c r="E174" s="341" t="s">
        <v>18</v>
      </c>
      <c r="F174" s="317"/>
      <c r="G174" s="318"/>
      <c r="H174" s="318"/>
      <c r="I174" s="318"/>
      <c r="J174" s="318">
        <v>1</v>
      </c>
      <c r="K174" s="318">
        <v>1</v>
      </c>
      <c r="L174" s="296">
        <v>1</v>
      </c>
    </row>
    <row r="175" ht="12.75" customHeight="1" spans="1:12">
      <c r="A175" s="314">
        <v>29</v>
      </c>
      <c r="B175" s="278">
        <v>252610086</v>
      </c>
      <c r="C175" s="315" t="s">
        <v>1163</v>
      </c>
      <c r="D175" s="277" t="s">
        <v>1164</v>
      </c>
      <c r="E175" s="341" t="s">
        <v>23</v>
      </c>
      <c r="F175" s="317"/>
      <c r="G175" s="318"/>
      <c r="H175" s="318"/>
      <c r="I175" s="318"/>
      <c r="J175" s="318">
        <v>1</v>
      </c>
      <c r="K175" s="318">
        <v>1</v>
      </c>
      <c r="L175" s="296">
        <v>1</v>
      </c>
    </row>
    <row r="176" ht="12.75" customHeight="1" spans="1:12">
      <c r="A176" s="314">
        <v>30</v>
      </c>
      <c r="B176" s="276">
        <v>252610468</v>
      </c>
      <c r="C176" s="315" t="s">
        <v>1165</v>
      </c>
      <c r="D176" s="275" t="s">
        <v>1166</v>
      </c>
      <c r="E176" s="341" t="s">
        <v>18</v>
      </c>
      <c r="F176" s="317"/>
      <c r="G176" s="318"/>
      <c r="H176" s="318"/>
      <c r="I176" s="318"/>
      <c r="J176" s="318">
        <v>1</v>
      </c>
      <c r="K176" s="318">
        <v>1</v>
      </c>
      <c r="L176" s="296">
        <v>1</v>
      </c>
    </row>
    <row r="177" ht="12.75" customHeight="1" spans="1:12">
      <c r="A177" s="314">
        <v>31</v>
      </c>
      <c r="B177" s="286">
        <v>252610041</v>
      </c>
      <c r="C177" s="414" t="s">
        <v>1167</v>
      </c>
      <c r="D177" s="433" t="s">
        <v>1168</v>
      </c>
      <c r="E177" s="341" t="s">
        <v>18</v>
      </c>
      <c r="F177" s="317"/>
      <c r="G177" s="318"/>
      <c r="H177" s="318"/>
      <c r="I177" s="318"/>
      <c r="J177" s="318">
        <v>1</v>
      </c>
      <c r="K177" s="318">
        <v>1</v>
      </c>
      <c r="L177" s="296">
        <v>1</v>
      </c>
    </row>
    <row r="178" ht="12.75" customHeight="1" spans="1:12">
      <c r="A178" s="314">
        <v>32</v>
      </c>
      <c r="B178" s="276">
        <v>252610182</v>
      </c>
      <c r="C178" s="315" t="s">
        <v>1169</v>
      </c>
      <c r="D178" s="275" t="s">
        <v>1170</v>
      </c>
      <c r="E178" s="341" t="s">
        <v>23</v>
      </c>
      <c r="F178" s="317"/>
      <c r="G178" s="318"/>
      <c r="H178" s="318"/>
      <c r="I178" s="318"/>
      <c r="J178" s="318">
        <v>1</v>
      </c>
      <c r="K178" s="318">
        <v>1</v>
      </c>
      <c r="L178" s="296">
        <v>1</v>
      </c>
    </row>
    <row r="179" ht="12.75" customHeight="1" spans="1:12">
      <c r="A179" s="314">
        <v>33</v>
      </c>
      <c r="B179" s="278">
        <v>252610518</v>
      </c>
      <c r="C179" s="315" t="s">
        <v>1171</v>
      </c>
      <c r="D179" s="277" t="s">
        <v>1172</v>
      </c>
      <c r="E179" s="341" t="s">
        <v>18</v>
      </c>
      <c r="F179" s="317"/>
      <c r="G179" s="318"/>
      <c r="H179" s="318"/>
      <c r="I179" s="318"/>
      <c r="J179" s="318">
        <v>1</v>
      </c>
      <c r="K179" s="318">
        <v>1</v>
      </c>
      <c r="L179" s="296">
        <v>1</v>
      </c>
    </row>
    <row r="180" ht="12.75" customHeight="1" spans="1:12">
      <c r="A180" s="314">
        <v>34</v>
      </c>
      <c r="B180" s="276">
        <v>252610133</v>
      </c>
      <c r="C180" s="315" t="s">
        <v>1173</v>
      </c>
      <c r="D180" s="275" t="s">
        <v>1174</v>
      </c>
      <c r="E180" s="341" t="s">
        <v>23</v>
      </c>
      <c r="F180" s="326"/>
      <c r="G180" s="327"/>
      <c r="H180" s="327"/>
      <c r="I180" s="327"/>
      <c r="J180" s="318">
        <v>1</v>
      </c>
      <c r="K180" s="318">
        <v>1</v>
      </c>
      <c r="L180" s="296">
        <v>1</v>
      </c>
    </row>
    <row r="181" ht="12.75" customHeight="1" spans="1:12">
      <c r="A181" s="314">
        <v>35</v>
      </c>
      <c r="B181" s="278">
        <v>252610231</v>
      </c>
      <c r="C181" s="315" t="s">
        <v>1175</v>
      </c>
      <c r="D181" s="277" t="s">
        <v>1176</v>
      </c>
      <c r="E181" s="341" t="s">
        <v>23</v>
      </c>
      <c r="F181" s="318"/>
      <c r="G181" s="318"/>
      <c r="H181" s="318"/>
      <c r="I181" s="318"/>
      <c r="J181" s="318">
        <v>1</v>
      </c>
      <c r="K181" s="318">
        <v>1</v>
      </c>
      <c r="L181" s="296">
        <v>1</v>
      </c>
    </row>
    <row r="182" ht="12.75" customHeight="1" spans="1:12">
      <c r="A182" s="314">
        <v>36</v>
      </c>
      <c r="B182" s="276">
        <v>252610470</v>
      </c>
      <c r="C182" s="315" t="s">
        <v>1177</v>
      </c>
      <c r="D182" s="275" t="s">
        <v>1178</v>
      </c>
      <c r="E182" s="341" t="s">
        <v>23</v>
      </c>
      <c r="F182" s="318"/>
      <c r="G182" s="318"/>
      <c r="H182" s="318"/>
      <c r="I182" s="318"/>
      <c r="J182" s="318">
        <v>1</v>
      </c>
      <c r="K182" s="318" t="s">
        <v>939</v>
      </c>
      <c r="L182" s="296">
        <v>1</v>
      </c>
    </row>
    <row r="183" ht="12.75" customHeight="1" spans="1:12">
      <c r="A183" s="314">
        <v>37</v>
      </c>
      <c r="B183" s="278">
        <v>252610325</v>
      </c>
      <c r="C183" s="315" t="s">
        <v>1179</v>
      </c>
      <c r="D183" s="277" t="s">
        <v>1180</v>
      </c>
      <c r="E183" s="341" t="s">
        <v>23</v>
      </c>
      <c r="F183" s="318"/>
      <c r="G183" s="318"/>
      <c r="H183" s="318"/>
      <c r="I183" s="318"/>
      <c r="J183" s="318">
        <v>1</v>
      </c>
      <c r="K183" s="318">
        <v>1</v>
      </c>
      <c r="L183" s="296">
        <v>1</v>
      </c>
    </row>
    <row r="184" ht="12.75" customHeight="1" spans="1:12">
      <c r="A184" s="314">
        <v>38</v>
      </c>
      <c r="B184" s="276">
        <v>252610235</v>
      </c>
      <c r="C184" s="315" t="s">
        <v>1181</v>
      </c>
      <c r="D184" s="275" t="s">
        <v>1182</v>
      </c>
      <c r="E184" s="341" t="s">
        <v>18</v>
      </c>
      <c r="F184" s="318"/>
      <c r="G184" s="318"/>
      <c r="H184" s="318"/>
      <c r="I184" s="318"/>
      <c r="J184" s="318">
        <v>1</v>
      </c>
      <c r="K184" s="318">
        <v>1</v>
      </c>
      <c r="L184" s="296">
        <v>1</v>
      </c>
    </row>
    <row r="185" ht="12.75" customHeight="1" spans="1:12">
      <c r="A185" s="314">
        <v>39</v>
      </c>
      <c r="B185" s="278">
        <v>252610327</v>
      </c>
      <c r="C185" s="315" t="s">
        <v>1183</v>
      </c>
      <c r="D185" s="277" t="s">
        <v>1184</v>
      </c>
      <c r="E185" s="341" t="s">
        <v>18</v>
      </c>
      <c r="F185" s="318"/>
      <c r="G185" s="318"/>
      <c r="H185" s="318"/>
      <c r="I185" s="318"/>
      <c r="J185" s="318">
        <v>1</v>
      </c>
      <c r="K185" s="318">
        <v>1</v>
      </c>
      <c r="L185" s="296">
        <v>1</v>
      </c>
    </row>
    <row r="186" ht="12.75" customHeight="1" spans="1:12">
      <c r="A186" s="314">
        <v>40</v>
      </c>
      <c r="B186" s="276">
        <v>252610377</v>
      </c>
      <c r="C186" s="315" t="s">
        <v>1185</v>
      </c>
      <c r="D186" s="275" t="s">
        <v>1186</v>
      </c>
      <c r="E186" s="341" t="s">
        <v>18</v>
      </c>
      <c r="F186" s="318"/>
      <c r="G186" s="318"/>
      <c r="H186" s="318"/>
      <c r="I186" s="318"/>
      <c r="J186" s="318">
        <v>1</v>
      </c>
      <c r="K186" s="318">
        <v>1</v>
      </c>
      <c r="L186" s="296">
        <v>1</v>
      </c>
    </row>
    <row r="187" ht="12.75" customHeight="1" spans="1:12">
      <c r="A187" s="314">
        <v>41</v>
      </c>
      <c r="B187" s="278">
        <v>252610424</v>
      </c>
      <c r="C187" s="315" t="s">
        <v>1187</v>
      </c>
      <c r="D187" s="281" t="s">
        <v>1188</v>
      </c>
      <c r="E187" s="341" t="s">
        <v>18</v>
      </c>
      <c r="F187" s="318"/>
      <c r="G187" s="318"/>
      <c r="H187" s="318"/>
      <c r="I187" s="318"/>
      <c r="J187" s="318">
        <v>1</v>
      </c>
      <c r="K187" s="318">
        <v>1</v>
      </c>
      <c r="L187" s="296">
        <v>1</v>
      </c>
    </row>
    <row r="188" ht="12.75" customHeight="1" spans="1:12">
      <c r="A188" s="314">
        <v>42</v>
      </c>
      <c r="B188" s="276">
        <v>252610570</v>
      </c>
      <c r="C188" s="315" t="s">
        <v>1189</v>
      </c>
      <c r="D188" s="275" t="s">
        <v>1190</v>
      </c>
      <c r="E188" s="341" t="s">
        <v>18</v>
      </c>
      <c r="F188" s="318"/>
      <c r="G188" s="318"/>
      <c r="H188" s="318"/>
      <c r="I188" s="318"/>
      <c r="J188" s="318">
        <v>1</v>
      </c>
      <c r="K188" s="318">
        <v>1</v>
      </c>
      <c r="L188" s="296">
        <v>1</v>
      </c>
    </row>
    <row r="189" ht="12.75" customHeight="1" spans="1:12">
      <c r="A189" s="314">
        <v>43</v>
      </c>
      <c r="B189" s="278">
        <v>252610192</v>
      </c>
      <c r="C189" s="315" t="s">
        <v>1191</v>
      </c>
      <c r="D189" s="277" t="s">
        <v>1192</v>
      </c>
      <c r="E189" s="341" t="s">
        <v>18</v>
      </c>
      <c r="F189" s="318"/>
      <c r="G189" s="318"/>
      <c r="H189" s="318"/>
      <c r="I189" s="318"/>
      <c r="J189" s="318">
        <v>1</v>
      </c>
      <c r="K189" s="318">
        <v>1</v>
      </c>
      <c r="L189" s="296">
        <v>1</v>
      </c>
    </row>
    <row r="190" ht="12.75" customHeight="1" spans="1:12">
      <c r="A190" s="314">
        <v>44</v>
      </c>
      <c r="B190" s="276">
        <v>252610383</v>
      </c>
      <c r="C190" s="321" t="s">
        <v>1193</v>
      </c>
      <c r="D190" s="275" t="s">
        <v>1194</v>
      </c>
      <c r="E190" s="341" t="s">
        <v>18</v>
      </c>
      <c r="F190" s="318"/>
      <c r="G190" s="318"/>
      <c r="H190" s="318"/>
      <c r="I190" s="318"/>
      <c r="J190" s="318">
        <v>1</v>
      </c>
      <c r="K190" s="318">
        <v>1</v>
      </c>
      <c r="L190" s="296">
        <v>1</v>
      </c>
    </row>
    <row r="191" ht="12.75" customHeight="1" spans="1:12">
      <c r="A191" s="314">
        <v>45</v>
      </c>
      <c r="B191" s="278">
        <v>252610431</v>
      </c>
      <c r="C191" s="321" t="s">
        <v>1195</v>
      </c>
      <c r="D191" s="281" t="s">
        <v>1196</v>
      </c>
      <c r="E191" s="341" t="s">
        <v>18</v>
      </c>
      <c r="F191" s="318"/>
      <c r="G191" s="318"/>
      <c r="H191" s="318"/>
      <c r="I191" s="318"/>
      <c r="J191" s="318">
        <v>1</v>
      </c>
      <c r="K191" s="318">
        <v>1</v>
      </c>
      <c r="L191" s="296">
        <v>1</v>
      </c>
    </row>
    <row r="192" s="289" customFormat="1" ht="12.75" customHeight="1" spans="1:12">
      <c r="A192" s="293"/>
      <c r="B192" s="344"/>
      <c r="C192" s="345"/>
      <c r="D192" s="346" t="s">
        <v>89</v>
      </c>
      <c r="E192" s="347">
        <f>COUNTIF(E147:E191,"L")</f>
        <v>14</v>
      </c>
    </row>
    <row r="193" s="289" customFormat="1" ht="12.75" customHeight="1" spans="1:9">
      <c r="A193" s="293"/>
      <c r="B193" s="333"/>
      <c r="C193" s="345"/>
      <c r="D193" s="346" t="s">
        <v>90</v>
      </c>
      <c r="E193" s="347">
        <f>COUNTIF(E147:E191,"P")</f>
        <v>31</v>
      </c>
    </row>
    <row r="194" s="289" customFormat="1" ht="12.75" customHeight="1" spans="1:9">
      <c r="A194" s="293"/>
      <c r="B194" s="334"/>
      <c r="C194" s="423"/>
      <c r="D194" s="304"/>
      <c r="E194" s="293"/>
    </row>
    <row r="195" s="289" customFormat="1" ht="12.75" customHeight="1" spans="1:9">
      <c r="A195" s="293"/>
      <c r="B195" s="334" t="s">
        <v>91</v>
      </c>
      <c r="C195" s="423"/>
      <c r="D195" s="304"/>
      <c r="E195" s="293"/>
      <c r="F195" s="289" t="s">
        <v>92</v>
      </c>
    </row>
    <row r="196" s="289" customFormat="1" ht="12.75" customHeight="1" spans="1:9">
      <c r="A196" s="293"/>
      <c r="B196" s="334"/>
      <c r="C196" s="423"/>
      <c r="D196" s="304"/>
      <c r="E196" s="293"/>
    </row>
    <row r="197" s="289" customFormat="1" ht="12.75" customHeight="1" spans="1:9">
      <c r="A197" s="293"/>
      <c r="B197" s="334"/>
      <c r="C197" s="423"/>
      <c r="D197" s="304"/>
      <c r="E197" s="293"/>
    </row>
    <row r="198" s="289" customFormat="1" ht="12.75" customHeight="1" spans="1:9">
      <c r="A198" s="293"/>
      <c r="B198" s="334"/>
      <c r="C198" s="423"/>
      <c r="D198" s="304"/>
      <c r="E198" s="293"/>
    </row>
    <row r="199" s="289" customFormat="1" ht="12.75" customHeight="1" spans="1:9">
      <c r="A199" s="293"/>
      <c r="B199" s="338" t="s">
        <v>93</v>
      </c>
      <c r="C199" s="423"/>
      <c r="D199" s="304"/>
      <c r="E199" s="293"/>
      <c r="F199" s="289" t="s">
        <v>94</v>
      </c>
    </row>
    <row r="200" s="289" customFormat="1" ht="12.75" customHeight="1" spans="1:9">
      <c r="A200" s="293"/>
      <c r="B200" s="339" t="s">
        <v>95</v>
      </c>
      <c r="C200" s="423"/>
      <c r="D200" s="304"/>
      <c r="E200" s="293"/>
    </row>
    <row r="201" ht="12.75" customHeight="1" spans="1:9">
      <c r="A201" s="357"/>
      <c r="B201" s="358"/>
      <c r="C201" s="424"/>
      <c r="D201" s="358"/>
      <c r="E201" s="360"/>
      <c r="F201" s="360"/>
      <c r="G201" s="360"/>
      <c r="H201" s="360"/>
      <c r="I201" s="360"/>
    </row>
    <row r="202" ht="12.75" customHeight="1" spans="1:9">
      <c r="A202" s="297" t="s">
        <v>1</v>
      </c>
      <c r="B202" s="297"/>
      <c r="C202" s="297"/>
      <c r="D202" s="297"/>
      <c r="E202" s="297"/>
      <c r="F202" s="297"/>
      <c r="G202" s="297"/>
      <c r="H202" s="297"/>
      <c r="I202" s="297"/>
    </row>
    <row r="203" ht="12.75" customHeight="1" spans="1:9">
      <c r="A203" s="297" t="s">
        <v>2</v>
      </c>
      <c r="B203" s="297"/>
      <c r="C203" s="297"/>
      <c r="D203" s="297"/>
      <c r="E203" s="297"/>
      <c r="F203" s="297"/>
      <c r="G203" s="297"/>
      <c r="H203" s="297"/>
      <c r="I203" s="297"/>
    </row>
    <row r="204" ht="12.75" customHeight="1" spans="1:9">
      <c r="A204" s="297" t="s">
        <v>3</v>
      </c>
      <c r="B204" s="297"/>
      <c r="C204" s="297"/>
      <c r="D204" s="297"/>
      <c r="E204" s="297"/>
      <c r="F204" s="297"/>
      <c r="G204" s="297"/>
      <c r="H204" s="297"/>
      <c r="I204" s="297"/>
    </row>
    <row r="205" s="291" customFormat="1" ht="16.5" customHeight="1" spans="1:9">
      <c r="A205" s="298" t="s">
        <v>4</v>
      </c>
      <c r="B205" s="298"/>
      <c r="C205" s="298"/>
      <c r="D205" s="298"/>
      <c r="E205" s="298"/>
      <c r="F205" s="298"/>
      <c r="G205" s="298"/>
      <c r="H205" s="298"/>
      <c r="I205" s="298"/>
    </row>
    <row r="206" ht="12.75" customHeight="1" spans="1:9">
      <c r="A206" s="299" t="s">
        <v>5</v>
      </c>
      <c r="B206" s="299"/>
      <c r="C206" s="299"/>
      <c r="D206" s="299"/>
      <c r="E206" s="299"/>
      <c r="F206" s="299"/>
      <c r="G206" s="299"/>
      <c r="H206" s="299"/>
      <c r="I206" s="299"/>
    </row>
    <row r="207" customHeight="1" spans="1:9">
      <c r="A207" s="299"/>
      <c r="B207" s="299"/>
      <c r="C207" s="299"/>
      <c r="D207" s="299"/>
      <c r="E207" s="299"/>
      <c r="F207" s="299"/>
      <c r="G207" s="299"/>
      <c r="H207" s="299"/>
      <c r="I207" s="299"/>
    </row>
    <row r="208" ht="12.75" customHeight="1" spans="1:9">
      <c r="A208" s="299"/>
      <c r="B208" s="299"/>
      <c r="C208" s="299"/>
      <c r="D208" s="299"/>
      <c r="E208" s="299"/>
      <c r="F208" s="299"/>
      <c r="G208" s="299"/>
      <c r="H208" s="299"/>
      <c r="I208" s="299"/>
    </row>
    <row r="209" s="289" customFormat="1" ht="12.75" customHeight="1" spans="1:9">
      <c r="A209" s="300" t="s">
        <v>6</v>
      </c>
      <c r="B209" s="300"/>
      <c r="C209" s="300"/>
      <c r="D209" s="300"/>
      <c r="E209" s="300"/>
      <c r="F209" s="300"/>
      <c r="G209" s="300"/>
      <c r="H209" s="300"/>
      <c r="I209" s="300"/>
    </row>
    <row r="210" s="289" customFormat="1" ht="12.75" customHeight="1" spans="1:9">
      <c r="A210" s="300"/>
      <c r="B210" s="300"/>
      <c r="C210" s="300"/>
      <c r="D210" s="300"/>
      <c r="E210" s="300"/>
      <c r="F210" s="300"/>
      <c r="G210" s="300"/>
      <c r="H210" s="300"/>
      <c r="I210" s="300"/>
    </row>
    <row r="211" s="289" customFormat="1" ht="12.75" customHeight="1" spans="1:9">
      <c r="A211" s="301"/>
      <c r="B211" s="302" t="s">
        <v>1197</v>
      </c>
      <c r="C211" s="406"/>
      <c r="D211" s="407" t="s">
        <v>8</v>
      </c>
      <c r="E211" s="306" t="s">
        <v>1198</v>
      </c>
    </row>
    <row r="212" s="289" customFormat="1" ht="19.5" customHeight="1" spans="1:9">
      <c r="A212" s="307" t="s">
        <v>10</v>
      </c>
      <c r="B212" s="308" t="s">
        <v>11</v>
      </c>
      <c r="C212" s="309" t="s">
        <v>12</v>
      </c>
      <c r="D212" s="308" t="s">
        <v>13</v>
      </c>
      <c r="E212" s="308" t="s">
        <v>14</v>
      </c>
      <c r="F212" s="310"/>
      <c r="G212" s="310"/>
      <c r="H212" s="310"/>
      <c r="I212" s="310"/>
    </row>
    <row r="213" ht="12.75" customHeight="1" spans="1:9">
      <c r="A213" s="314">
        <v>1</v>
      </c>
      <c r="B213" s="276">
        <v>252610289</v>
      </c>
      <c r="C213" s="315" t="s">
        <v>1199</v>
      </c>
      <c r="D213" s="434" t="s">
        <v>1200</v>
      </c>
      <c r="E213" s="385" t="s">
        <v>23</v>
      </c>
      <c r="F213" s="317"/>
      <c r="G213" s="318"/>
      <c r="H213" s="318"/>
      <c r="I213" s="318"/>
    </row>
    <row r="214" s="291" customFormat="1" ht="12.75" customHeight="1" spans="1:9">
      <c r="A214" s="314">
        <v>2</v>
      </c>
      <c r="B214" s="278">
        <v>252610481</v>
      </c>
      <c r="C214" s="315" t="s">
        <v>1201</v>
      </c>
      <c r="D214" s="434" t="s">
        <v>1202</v>
      </c>
      <c r="E214" s="385" t="s">
        <v>18</v>
      </c>
      <c r="F214" s="317"/>
      <c r="G214" s="318"/>
      <c r="H214" s="318"/>
      <c r="I214" s="318"/>
    </row>
    <row r="215" ht="12.75" customHeight="1" spans="1:9">
      <c r="A215" s="314">
        <v>3</v>
      </c>
      <c r="B215" s="284">
        <v>252610003</v>
      </c>
      <c r="C215" s="414" t="s">
        <v>1203</v>
      </c>
      <c r="D215" s="435" t="s">
        <v>1204</v>
      </c>
      <c r="E215" s="386" t="s">
        <v>23</v>
      </c>
      <c r="F215" s="317"/>
      <c r="G215" s="318"/>
      <c r="H215" s="318"/>
      <c r="I215" s="318"/>
    </row>
    <row r="216" ht="12.75" customHeight="1" spans="1:9">
      <c r="A216" s="314">
        <v>4</v>
      </c>
      <c r="B216" s="278">
        <v>252610050</v>
      </c>
      <c r="C216" s="315" t="s">
        <v>1205</v>
      </c>
      <c r="D216" s="434" t="s">
        <v>1206</v>
      </c>
      <c r="E216" s="385" t="s">
        <v>18</v>
      </c>
      <c r="F216" s="317"/>
      <c r="G216" s="318"/>
      <c r="H216" s="318"/>
      <c r="I216" s="318"/>
    </row>
    <row r="217" ht="12.75" customHeight="1" spans="1:9">
      <c r="A217" s="314">
        <v>5</v>
      </c>
      <c r="B217" s="276">
        <v>252610100</v>
      </c>
      <c r="C217" s="315" t="s">
        <v>1207</v>
      </c>
      <c r="D217" s="434" t="s">
        <v>1208</v>
      </c>
      <c r="E217" s="385" t="s">
        <v>23</v>
      </c>
      <c r="F217" s="317"/>
      <c r="G217" s="318"/>
      <c r="H217" s="318"/>
      <c r="I217" s="318"/>
    </row>
    <row r="218" ht="12.75" customHeight="1" spans="1:9">
      <c r="A218" s="314">
        <v>6</v>
      </c>
      <c r="B218" s="278">
        <v>252610436</v>
      </c>
      <c r="C218" s="315" t="s">
        <v>1209</v>
      </c>
      <c r="D218" s="434" t="s">
        <v>1210</v>
      </c>
      <c r="E218" s="385" t="s">
        <v>18</v>
      </c>
      <c r="F218" s="317"/>
      <c r="G218" s="318"/>
      <c r="H218" s="318"/>
      <c r="I218" s="318"/>
    </row>
    <row r="219" ht="12.75" customHeight="1" spans="1:9">
      <c r="A219" s="314">
        <v>7</v>
      </c>
      <c r="B219" s="276">
        <v>252610150</v>
      </c>
      <c r="C219" s="321" t="s">
        <v>1211</v>
      </c>
      <c r="D219" s="434" t="s">
        <v>1212</v>
      </c>
      <c r="E219" s="385" t="s">
        <v>18</v>
      </c>
      <c r="F219" s="317"/>
      <c r="G219" s="318"/>
      <c r="H219" s="318"/>
      <c r="I219" s="318"/>
    </row>
    <row r="220" ht="12.75" customHeight="1" spans="1:9">
      <c r="A220" s="314">
        <v>8</v>
      </c>
      <c r="B220" s="278">
        <v>252610151</v>
      </c>
      <c r="C220" s="321" t="s">
        <v>1213</v>
      </c>
      <c r="D220" s="434" t="s">
        <v>1214</v>
      </c>
      <c r="E220" s="385" t="s">
        <v>18</v>
      </c>
      <c r="F220" s="317"/>
      <c r="G220" s="318"/>
      <c r="H220" s="318"/>
      <c r="I220" s="318"/>
    </row>
    <row r="221" ht="12.75" customHeight="1" spans="1:9">
      <c r="A221" s="314">
        <v>9</v>
      </c>
      <c r="B221" s="276">
        <v>252610199</v>
      </c>
      <c r="C221" s="321" t="s">
        <v>1215</v>
      </c>
      <c r="D221" s="434" t="s">
        <v>1216</v>
      </c>
      <c r="E221" s="385" t="s">
        <v>18</v>
      </c>
      <c r="F221" s="317"/>
      <c r="G221" s="318"/>
      <c r="H221" s="318"/>
      <c r="I221" s="318"/>
    </row>
    <row r="222" ht="12.75" customHeight="1" spans="1:9">
      <c r="A222" s="314">
        <v>10</v>
      </c>
      <c r="B222" s="286">
        <v>252610015</v>
      </c>
      <c r="C222" s="414" t="s">
        <v>1217</v>
      </c>
      <c r="D222" s="435" t="s">
        <v>1218</v>
      </c>
      <c r="E222" s="386" t="s">
        <v>23</v>
      </c>
      <c r="F222" s="317"/>
      <c r="G222" s="318"/>
      <c r="H222" s="318"/>
      <c r="I222" s="318"/>
    </row>
    <row r="223" ht="12.75" customHeight="1" spans="1:9">
      <c r="A223" s="314">
        <v>11</v>
      </c>
      <c r="B223" s="276">
        <v>252610346</v>
      </c>
      <c r="C223" s="315" t="s">
        <v>1219</v>
      </c>
      <c r="D223" s="434" t="s">
        <v>1220</v>
      </c>
      <c r="E223" s="385" t="s">
        <v>18</v>
      </c>
      <c r="F223" s="317"/>
      <c r="G223" s="318"/>
      <c r="H223" s="318"/>
      <c r="I223" s="318"/>
    </row>
    <row r="224" ht="12.75" customHeight="1" spans="1:9">
      <c r="A224" s="314">
        <v>12</v>
      </c>
      <c r="B224" s="278">
        <v>252610157</v>
      </c>
      <c r="C224" s="315" t="s">
        <v>1221</v>
      </c>
      <c r="D224" s="434" t="s">
        <v>1222</v>
      </c>
      <c r="E224" s="385" t="s">
        <v>23</v>
      </c>
      <c r="F224" s="317"/>
      <c r="G224" s="318"/>
      <c r="H224" s="318"/>
      <c r="I224" s="318"/>
    </row>
    <row r="225" ht="12.75" customHeight="1" spans="1:9">
      <c r="A225" s="314">
        <v>13</v>
      </c>
      <c r="B225" s="276">
        <v>252610252</v>
      </c>
      <c r="C225" s="315" t="s">
        <v>1223</v>
      </c>
      <c r="D225" s="434" t="s">
        <v>1224</v>
      </c>
      <c r="E225" s="385" t="s">
        <v>18</v>
      </c>
      <c r="F225" s="317"/>
      <c r="G225" s="318"/>
      <c r="H225" s="318"/>
      <c r="I225" s="318"/>
    </row>
    <row r="226" ht="12.75" customHeight="1" spans="1:9">
      <c r="A226" s="314">
        <v>14</v>
      </c>
      <c r="B226" s="278">
        <v>252610540</v>
      </c>
      <c r="C226" s="315" t="s">
        <v>1225</v>
      </c>
      <c r="D226" s="434" t="s">
        <v>1226</v>
      </c>
      <c r="E226" s="385" t="s">
        <v>18</v>
      </c>
      <c r="F226" s="317"/>
      <c r="G226" s="318"/>
      <c r="H226" s="318"/>
      <c r="I226" s="318"/>
    </row>
    <row r="227" ht="12.75" customHeight="1" spans="1:9">
      <c r="A227" s="314">
        <v>15</v>
      </c>
      <c r="B227" s="276">
        <v>252610303</v>
      </c>
      <c r="C227" s="315" t="s">
        <v>1227</v>
      </c>
      <c r="D227" s="434" t="s">
        <v>1228</v>
      </c>
      <c r="E227" s="385" t="s">
        <v>18</v>
      </c>
      <c r="F227" s="317"/>
      <c r="G227" s="318"/>
      <c r="H227" s="318"/>
      <c r="I227" s="318"/>
    </row>
    <row r="228" ht="12.75" customHeight="1" spans="1:9">
      <c r="A228" s="314">
        <v>16</v>
      </c>
      <c r="B228" s="278">
        <v>252610493</v>
      </c>
      <c r="C228" s="315" t="s">
        <v>1229</v>
      </c>
      <c r="D228" s="434" t="s">
        <v>1230</v>
      </c>
      <c r="E228" s="385" t="s">
        <v>23</v>
      </c>
      <c r="F228" s="317"/>
      <c r="G228" s="318"/>
      <c r="H228" s="318"/>
      <c r="I228" s="318"/>
    </row>
    <row r="229" ht="12.75" customHeight="1" spans="1:9">
      <c r="A229" s="314">
        <v>17</v>
      </c>
      <c r="B229" s="276">
        <v>252610398</v>
      </c>
      <c r="C229" s="321" t="s">
        <v>1231</v>
      </c>
      <c r="D229" s="434" t="s">
        <v>1232</v>
      </c>
      <c r="E229" s="385" t="s">
        <v>18</v>
      </c>
      <c r="F229" s="368"/>
      <c r="G229" s="318"/>
      <c r="H229" s="318"/>
      <c r="I229" s="318"/>
    </row>
    <row r="230" ht="12.75" customHeight="1" spans="1:9">
      <c r="A230" s="314">
        <v>18</v>
      </c>
      <c r="B230" s="278">
        <v>252610115</v>
      </c>
      <c r="C230" s="315" t="s">
        <v>1233</v>
      </c>
      <c r="D230" s="434" t="s">
        <v>1234</v>
      </c>
      <c r="E230" s="385" t="s">
        <v>23</v>
      </c>
      <c r="F230" s="317"/>
      <c r="G230" s="318"/>
      <c r="H230" s="318"/>
      <c r="I230" s="318"/>
    </row>
    <row r="231" ht="12.75" customHeight="1" spans="1:9">
      <c r="A231" s="314">
        <v>19</v>
      </c>
      <c r="B231" s="276">
        <v>252610307</v>
      </c>
      <c r="C231" s="315" t="s">
        <v>1235</v>
      </c>
      <c r="D231" s="434" t="s">
        <v>1236</v>
      </c>
      <c r="E231" s="385" t="s">
        <v>18</v>
      </c>
      <c r="F231" s="317"/>
      <c r="G231" s="318"/>
      <c r="H231" s="318"/>
      <c r="I231" s="318"/>
    </row>
    <row r="232" ht="12.75" customHeight="1" spans="1:9">
      <c r="A232" s="314">
        <v>20</v>
      </c>
      <c r="B232" s="278">
        <v>252610357</v>
      </c>
      <c r="C232" s="315" t="s">
        <v>1237</v>
      </c>
      <c r="D232" s="434" t="s">
        <v>1238</v>
      </c>
      <c r="E232" s="385" t="s">
        <v>18</v>
      </c>
      <c r="F232" s="317"/>
      <c r="G232" s="318"/>
      <c r="H232" s="318"/>
      <c r="I232" s="318"/>
    </row>
    <row r="233" ht="12.75" customHeight="1" spans="1:9">
      <c r="A233" s="314">
        <v>21</v>
      </c>
      <c r="B233" s="276">
        <v>252610450</v>
      </c>
      <c r="C233" s="321" t="s">
        <v>1239</v>
      </c>
      <c r="D233" s="434" t="s">
        <v>1240</v>
      </c>
      <c r="E233" s="385" t="s">
        <v>18</v>
      </c>
      <c r="F233" s="317"/>
      <c r="G233" s="318"/>
      <c r="H233" s="318"/>
      <c r="I233" s="318"/>
    </row>
    <row r="234" ht="12.75" customHeight="1" spans="1:9">
      <c r="A234" s="314">
        <v>22</v>
      </c>
      <c r="B234" s="278">
        <v>252610118</v>
      </c>
      <c r="C234" s="321" t="s">
        <v>1241</v>
      </c>
      <c r="D234" s="434" t="s">
        <v>1242</v>
      </c>
      <c r="E234" s="385" t="s">
        <v>18</v>
      </c>
      <c r="F234" s="317"/>
      <c r="G234" s="318"/>
      <c r="H234" s="318"/>
      <c r="I234" s="318"/>
    </row>
    <row r="235" ht="12.75" customHeight="1" spans="1:9">
      <c r="A235" s="314">
        <v>23</v>
      </c>
      <c r="B235" s="278">
        <v>252610167</v>
      </c>
      <c r="C235" s="315" t="s">
        <v>1243</v>
      </c>
      <c r="D235" s="434" t="s">
        <v>1244</v>
      </c>
      <c r="E235" s="385" t="s">
        <v>18</v>
      </c>
      <c r="F235" s="318"/>
      <c r="G235" s="318"/>
      <c r="H235" s="318"/>
      <c r="I235" s="318"/>
    </row>
    <row r="236" ht="12.75" customHeight="1" spans="1:9">
      <c r="A236" s="314">
        <v>24</v>
      </c>
      <c r="B236" s="276">
        <v>252610214</v>
      </c>
      <c r="C236" s="321" t="s">
        <v>1245</v>
      </c>
      <c r="D236" s="434" t="s">
        <v>1246</v>
      </c>
      <c r="E236" s="385" t="s">
        <v>18</v>
      </c>
      <c r="F236" s="317"/>
      <c r="G236" s="318"/>
      <c r="H236" s="318"/>
      <c r="I236" s="318"/>
    </row>
    <row r="237" ht="12.75" customHeight="1" spans="1:9">
      <c r="A237" s="314">
        <v>25</v>
      </c>
      <c r="B237" s="278">
        <v>252610359</v>
      </c>
      <c r="C237" s="315" t="s">
        <v>1247</v>
      </c>
      <c r="D237" s="434" t="s">
        <v>1248</v>
      </c>
      <c r="E237" s="385" t="s">
        <v>18</v>
      </c>
      <c r="F237" s="317"/>
      <c r="G237" s="318"/>
      <c r="H237" s="318"/>
      <c r="I237" s="318"/>
    </row>
    <row r="238" ht="12.75" customHeight="1" spans="1:9">
      <c r="A238" s="314">
        <v>26</v>
      </c>
      <c r="B238" s="276">
        <v>252610264</v>
      </c>
      <c r="C238" s="315" t="s">
        <v>1249</v>
      </c>
      <c r="D238" s="434" t="s">
        <v>1250</v>
      </c>
      <c r="E238" s="385" t="s">
        <v>18</v>
      </c>
      <c r="F238" s="317"/>
      <c r="G238" s="318"/>
      <c r="H238" s="318"/>
      <c r="I238" s="318"/>
    </row>
    <row r="239" ht="12.75" customHeight="1" spans="1:9">
      <c r="A239" s="314">
        <v>27</v>
      </c>
      <c r="B239" s="278">
        <v>252610407</v>
      </c>
      <c r="C239" s="315" t="s">
        <v>1251</v>
      </c>
      <c r="D239" s="434" t="s">
        <v>1252</v>
      </c>
      <c r="E239" s="385" t="s">
        <v>18</v>
      </c>
      <c r="F239" s="317"/>
      <c r="G239" s="318"/>
      <c r="H239" s="318"/>
      <c r="I239" s="318"/>
    </row>
    <row r="240" ht="12.75" customHeight="1" spans="1:9">
      <c r="A240" s="314">
        <v>28</v>
      </c>
      <c r="B240" s="276">
        <v>252610552</v>
      </c>
      <c r="C240" s="315" t="s">
        <v>1253</v>
      </c>
      <c r="D240" s="434" t="s">
        <v>1254</v>
      </c>
      <c r="E240" s="385" t="s">
        <v>23</v>
      </c>
      <c r="F240" s="317"/>
      <c r="G240" s="318"/>
      <c r="H240" s="318"/>
      <c r="I240" s="318"/>
    </row>
    <row r="241" ht="12.75" customHeight="1" spans="1:9">
      <c r="A241" s="314">
        <v>29</v>
      </c>
      <c r="B241" s="278">
        <v>252610554</v>
      </c>
      <c r="C241" s="315" t="s">
        <v>1255</v>
      </c>
      <c r="D241" s="434" t="s">
        <v>1256</v>
      </c>
      <c r="E241" s="385" t="s">
        <v>23</v>
      </c>
      <c r="F241" s="317"/>
      <c r="G241" s="318"/>
      <c r="H241" s="318"/>
      <c r="I241" s="318"/>
    </row>
    <row r="242" ht="12.75" customHeight="1" spans="1:9">
      <c r="A242" s="314">
        <v>30</v>
      </c>
      <c r="B242" s="284">
        <v>252610032</v>
      </c>
      <c r="C242" s="414" t="s">
        <v>1257</v>
      </c>
      <c r="D242" s="435" t="s">
        <v>1258</v>
      </c>
      <c r="E242" s="386" t="s">
        <v>23</v>
      </c>
      <c r="F242" s="317"/>
      <c r="G242" s="318"/>
      <c r="H242" s="318"/>
      <c r="I242" s="318"/>
    </row>
    <row r="243" ht="12.75" customHeight="1" spans="1:9">
      <c r="A243" s="314">
        <v>31</v>
      </c>
      <c r="B243" s="278">
        <v>252610412</v>
      </c>
      <c r="C243" s="315" t="s">
        <v>1259</v>
      </c>
      <c r="D243" s="434" t="s">
        <v>1260</v>
      </c>
      <c r="E243" s="436" t="s">
        <v>18</v>
      </c>
      <c r="F243" s="317"/>
      <c r="G243" s="318"/>
      <c r="H243" s="318"/>
      <c r="I243" s="318"/>
    </row>
    <row r="244" ht="12.75" customHeight="1" spans="1:9">
      <c r="A244" s="314">
        <v>32</v>
      </c>
      <c r="B244" s="276">
        <v>252610507</v>
      </c>
      <c r="C244" s="315" t="s">
        <v>1261</v>
      </c>
      <c r="D244" s="434" t="s">
        <v>1262</v>
      </c>
      <c r="E244" s="385" t="s">
        <v>18</v>
      </c>
      <c r="F244" s="317"/>
      <c r="G244" s="318"/>
      <c r="H244" s="318"/>
      <c r="I244" s="318"/>
    </row>
    <row r="245" ht="12.75" customHeight="1" spans="1:9">
      <c r="A245" s="314">
        <v>33</v>
      </c>
      <c r="B245" s="278">
        <v>252610077</v>
      </c>
      <c r="C245" s="315" t="s">
        <v>1263</v>
      </c>
      <c r="D245" s="434" t="s">
        <v>1264</v>
      </c>
      <c r="E245" s="385" t="s">
        <v>18</v>
      </c>
      <c r="F245" s="317"/>
      <c r="G245" s="318"/>
      <c r="H245" s="318"/>
      <c r="I245" s="318"/>
    </row>
    <row r="246" ht="12.75" customHeight="1" spans="1:9">
      <c r="A246" s="314">
        <v>34</v>
      </c>
      <c r="B246" s="276">
        <v>252610173</v>
      </c>
      <c r="C246" s="315" t="s">
        <v>1265</v>
      </c>
      <c r="D246" s="434" t="s">
        <v>1266</v>
      </c>
      <c r="E246" s="385" t="s">
        <v>18</v>
      </c>
      <c r="F246" s="317"/>
      <c r="G246" s="318"/>
      <c r="H246" s="318"/>
      <c r="I246" s="318"/>
    </row>
    <row r="247" ht="12.75" customHeight="1" spans="1:9">
      <c r="A247" s="314">
        <v>35</v>
      </c>
      <c r="B247" s="278">
        <v>252610221</v>
      </c>
      <c r="C247" s="315" t="s">
        <v>1267</v>
      </c>
      <c r="D247" s="434" t="s">
        <v>1268</v>
      </c>
      <c r="E247" s="385" t="s">
        <v>18</v>
      </c>
      <c r="F247" s="317"/>
      <c r="G247" s="318"/>
      <c r="H247" s="318"/>
      <c r="I247" s="318"/>
    </row>
    <row r="248" ht="12.75" customHeight="1" spans="1:9">
      <c r="A248" s="314">
        <v>36</v>
      </c>
      <c r="B248" s="276">
        <v>252610367</v>
      </c>
      <c r="C248" s="315" t="s">
        <v>1269</v>
      </c>
      <c r="D248" s="434" t="s">
        <v>1270</v>
      </c>
      <c r="E248" s="385" t="s">
        <v>18</v>
      </c>
      <c r="F248" s="326"/>
      <c r="G248" s="327"/>
      <c r="H248" s="327"/>
      <c r="I248" s="327"/>
    </row>
    <row r="249" ht="12.75" customHeight="1" spans="1:9">
      <c r="A249" s="314">
        <v>37</v>
      </c>
      <c r="B249" s="278">
        <v>252610560</v>
      </c>
      <c r="C249" s="315" t="s">
        <v>1271</v>
      </c>
      <c r="D249" s="434" t="s">
        <v>1272</v>
      </c>
      <c r="E249" s="385" t="s">
        <v>18</v>
      </c>
      <c r="F249" s="318"/>
      <c r="G249" s="318"/>
      <c r="H249" s="318"/>
      <c r="I249" s="318"/>
    </row>
    <row r="250" ht="12.75" customHeight="1" spans="1:9">
      <c r="A250" s="314">
        <v>38</v>
      </c>
      <c r="B250" s="276">
        <v>252610462</v>
      </c>
      <c r="C250" s="315" t="s">
        <v>1273</v>
      </c>
      <c r="D250" s="434" t="s">
        <v>1274</v>
      </c>
      <c r="E250" s="385" t="s">
        <v>18</v>
      </c>
      <c r="F250" s="318"/>
      <c r="G250" s="318"/>
      <c r="H250" s="318"/>
      <c r="I250" s="318"/>
    </row>
    <row r="251" ht="12.75" customHeight="1" spans="1:9">
      <c r="A251" s="314">
        <v>39</v>
      </c>
      <c r="B251" s="278">
        <v>252610273</v>
      </c>
      <c r="C251" s="315" t="s">
        <v>1275</v>
      </c>
      <c r="D251" s="434" t="s">
        <v>1276</v>
      </c>
      <c r="E251" s="385" t="s">
        <v>18</v>
      </c>
      <c r="F251" s="318"/>
      <c r="G251" s="318"/>
      <c r="H251" s="318"/>
      <c r="I251" s="318"/>
    </row>
    <row r="252" ht="12.75" customHeight="1" spans="1:9">
      <c r="A252" s="314">
        <v>40</v>
      </c>
      <c r="B252" s="276">
        <v>252610463</v>
      </c>
      <c r="C252" s="315" t="s">
        <v>1277</v>
      </c>
      <c r="D252" s="434" t="s">
        <v>1278</v>
      </c>
      <c r="E252" s="385" t="s">
        <v>18</v>
      </c>
      <c r="F252" s="318"/>
      <c r="G252" s="318"/>
      <c r="H252" s="318"/>
      <c r="I252" s="318"/>
    </row>
    <row r="253" ht="12.75" customHeight="1" spans="1:9">
      <c r="A253" s="314">
        <v>41</v>
      </c>
      <c r="B253" s="278">
        <v>252610418</v>
      </c>
      <c r="C253" s="315" t="s">
        <v>1279</v>
      </c>
      <c r="D253" s="434" t="s">
        <v>1280</v>
      </c>
      <c r="E253" s="385" t="s">
        <v>23</v>
      </c>
      <c r="F253" s="318"/>
      <c r="G253" s="318"/>
      <c r="H253" s="318"/>
      <c r="I253" s="318"/>
    </row>
    <row r="254" ht="12.75" customHeight="1" spans="1:9">
      <c r="A254" s="314">
        <v>42</v>
      </c>
      <c r="B254" s="284">
        <v>252610043</v>
      </c>
      <c r="C254" s="414" t="s">
        <v>1281</v>
      </c>
      <c r="D254" s="437" t="s">
        <v>1282</v>
      </c>
      <c r="E254" s="386" t="s">
        <v>18</v>
      </c>
      <c r="F254" s="318"/>
      <c r="G254" s="318"/>
      <c r="H254" s="318"/>
      <c r="I254" s="318"/>
    </row>
    <row r="255" ht="12.75" customHeight="1" spans="1:9">
      <c r="A255" s="314">
        <v>43</v>
      </c>
      <c r="B255" s="278">
        <v>252610326</v>
      </c>
      <c r="C255" s="315" t="s">
        <v>1283</v>
      </c>
      <c r="D255" s="434" t="s">
        <v>1284</v>
      </c>
      <c r="E255" s="385" t="s">
        <v>18</v>
      </c>
      <c r="F255" s="318"/>
      <c r="G255" s="318"/>
      <c r="H255" s="318"/>
      <c r="I255" s="318"/>
    </row>
    <row r="256" ht="12.75" customHeight="1" spans="1:9">
      <c r="A256" s="314">
        <v>44</v>
      </c>
      <c r="B256" s="276">
        <v>252610522</v>
      </c>
      <c r="C256" s="315" t="s">
        <v>1285</v>
      </c>
      <c r="D256" s="434" t="s">
        <v>1286</v>
      </c>
      <c r="E256" s="385" t="s">
        <v>18</v>
      </c>
      <c r="F256" s="318"/>
      <c r="G256" s="318"/>
      <c r="H256" s="318"/>
      <c r="I256" s="318"/>
    </row>
    <row r="257" ht="12.75" customHeight="1" spans="1:9">
      <c r="A257" s="314">
        <v>45</v>
      </c>
      <c r="B257" s="278">
        <v>252610095</v>
      </c>
      <c r="C257" s="315" t="s">
        <v>1287</v>
      </c>
      <c r="D257" s="434" t="s">
        <v>1288</v>
      </c>
      <c r="E257" s="385" t="s">
        <v>18</v>
      </c>
      <c r="F257" s="318"/>
      <c r="G257" s="318"/>
      <c r="H257" s="318"/>
      <c r="I257" s="318"/>
    </row>
    <row r="258" ht="12.75" customHeight="1" spans="1:9">
      <c r="A258" s="314">
        <v>46</v>
      </c>
      <c r="B258" s="276">
        <v>252610143</v>
      </c>
      <c r="C258" s="321" t="s">
        <v>1289</v>
      </c>
      <c r="D258" s="438" t="s">
        <v>1290</v>
      </c>
      <c r="E258" s="385" t="s">
        <v>18</v>
      </c>
      <c r="F258" s="318"/>
      <c r="G258" s="318"/>
      <c r="H258" s="318"/>
      <c r="I258" s="318"/>
    </row>
    <row r="259" s="289" customFormat="1" ht="12.75" customHeight="1" spans="1:9">
      <c r="A259" s="293"/>
      <c r="B259" s="333"/>
      <c r="C259" s="345"/>
      <c r="D259" s="346" t="s">
        <v>89</v>
      </c>
      <c r="E259" s="347">
        <f>COUNTIF(E213:E258,"L")</f>
        <v>11</v>
      </c>
    </row>
    <row r="260" s="289" customFormat="1" ht="12.75" customHeight="1" spans="1:9">
      <c r="A260" s="293"/>
      <c r="B260" s="333"/>
      <c r="C260" s="345"/>
      <c r="D260" s="346" t="s">
        <v>90</v>
      </c>
      <c r="E260" s="347">
        <f>COUNTIF(E213:E258,"P")</f>
        <v>35</v>
      </c>
    </row>
    <row r="261" s="289" customFormat="1" ht="12.75" customHeight="1" spans="1:9">
      <c r="A261" s="293"/>
      <c r="B261" s="334"/>
      <c r="C261" s="423"/>
      <c r="D261" s="304"/>
      <c r="E261" s="293"/>
    </row>
    <row r="262" s="289" customFormat="1" ht="12.75" customHeight="1" spans="1:9">
      <c r="A262" s="293"/>
      <c r="B262" s="334" t="s">
        <v>91</v>
      </c>
      <c r="C262" s="423"/>
      <c r="D262" s="304"/>
      <c r="E262" s="293"/>
      <c r="F262" s="289" t="s">
        <v>92</v>
      </c>
    </row>
    <row r="263" s="289" customFormat="1" ht="12.75" customHeight="1" spans="1:9">
      <c r="A263" s="293"/>
      <c r="B263" s="334"/>
      <c r="C263" s="423"/>
      <c r="D263" s="304"/>
      <c r="E263" s="293"/>
    </row>
    <row r="264" s="289" customFormat="1" ht="12.75" customHeight="1" spans="1:9">
      <c r="A264" s="293"/>
      <c r="B264" s="334"/>
      <c r="C264" s="423"/>
      <c r="D264" s="304"/>
      <c r="E264" s="293"/>
    </row>
    <row r="265" s="289" customFormat="1" ht="12.75" customHeight="1" spans="1:9">
      <c r="A265" s="293"/>
      <c r="B265" s="334"/>
      <c r="C265" s="423"/>
      <c r="D265" s="304"/>
      <c r="E265" s="293"/>
    </row>
    <row r="266" s="289" customFormat="1" ht="12.75" customHeight="1" spans="1:9">
      <c r="A266" s="293"/>
      <c r="B266" s="338" t="s">
        <v>93</v>
      </c>
      <c r="C266" s="423"/>
      <c r="D266" s="304"/>
      <c r="E266" s="293"/>
      <c r="F266" s="289" t="s">
        <v>94</v>
      </c>
    </row>
    <row r="267" s="289" customFormat="1" ht="12.75" customHeight="1" spans="1:9">
      <c r="A267" s="293"/>
      <c r="B267" s="339" t="s">
        <v>95</v>
      </c>
      <c r="C267" s="423"/>
      <c r="D267" s="304"/>
      <c r="E267" s="293"/>
    </row>
    <row r="268" ht="12.75" customHeight="1" spans="1:9">
      <c r="B268" s="348"/>
    </row>
    <row r="269" ht="12.75" customHeight="1" spans="1:9">
      <c r="A269" s="297" t="s">
        <v>1</v>
      </c>
      <c r="B269" s="297"/>
      <c r="C269" s="297"/>
      <c r="D269" s="297"/>
      <c r="E269" s="297"/>
      <c r="F269" s="297"/>
      <c r="G269" s="297"/>
      <c r="H269" s="297"/>
      <c r="I269" s="297"/>
    </row>
    <row r="270" ht="12.75" customHeight="1" spans="1:9">
      <c r="A270" s="297" t="s">
        <v>2</v>
      </c>
      <c r="B270" s="297"/>
      <c r="C270" s="297"/>
      <c r="D270" s="297"/>
      <c r="E270" s="297"/>
      <c r="F270" s="297"/>
      <c r="G270" s="297"/>
      <c r="H270" s="297"/>
      <c r="I270" s="297"/>
    </row>
    <row r="271" ht="12.75" customHeight="1" spans="1:9">
      <c r="A271" s="297" t="s">
        <v>3</v>
      </c>
      <c r="B271" s="297"/>
      <c r="C271" s="297"/>
      <c r="D271" s="297"/>
      <c r="E271" s="297"/>
      <c r="F271" s="297"/>
      <c r="G271" s="297"/>
      <c r="H271" s="297"/>
      <c r="I271" s="297"/>
    </row>
    <row r="272" s="291" customFormat="1" ht="16.5" customHeight="1" spans="1:9">
      <c r="A272" s="298" t="s">
        <v>4</v>
      </c>
      <c r="B272" s="298"/>
      <c r="C272" s="298"/>
      <c r="D272" s="298"/>
      <c r="E272" s="298"/>
      <c r="F272" s="298"/>
      <c r="G272" s="298"/>
      <c r="H272" s="298"/>
      <c r="I272" s="298"/>
    </row>
    <row r="273" ht="12.75" customHeight="1" spans="1:9">
      <c r="A273" s="299" t="s">
        <v>5</v>
      </c>
      <c r="B273" s="299"/>
      <c r="C273" s="299"/>
      <c r="D273" s="299"/>
      <c r="E273" s="299"/>
      <c r="F273" s="299"/>
      <c r="G273" s="299"/>
      <c r="H273" s="299"/>
      <c r="I273" s="299"/>
    </row>
    <row r="274" customHeight="1" spans="1:9">
      <c r="A274" s="299"/>
      <c r="B274" s="299"/>
      <c r="C274" s="299"/>
      <c r="D274" s="299"/>
      <c r="E274" s="299"/>
      <c r="F274" s="299"/>
      <c r="G274" s="299"/>
      <c r="H274" s="299"/>
      <c r="I274" s="299"/>
    </row>
    <row r="275" ht="12.75" customHeight="1" spans="1:9">
      <c r="A275" s="299"/>
      <c r="B275" s="299"/>
      <c r="C275" s="299"/>
      <c r="D275" s="299"/>
      <c r="E275" s="299"/>
      <c r="F275" s="299"/>
      <c r="G275" s="299"/>
      <c r="H275" s="299"/>
      <c r="I275" s="299"/>
    </row>
    <row r="276" s="289" customFormat="1" ht="12.75" customHeight="1" spans="1:9">
      <c r="A276" s="300" t="s">
        <v>6</v>
      </c>
      <c r="B276" s="300"/>
      <c r="C276" s="300"/>
      <c r="D276" s="300"/>
      <c r="E276" s="300"/>
      <c r="F276" s="300"/>
      <c r="G276" s="300"/>
      <c r="H276" s="300"/>
      <c r="I276" s="300"/>
    </row>
    <row r="277" s="289" customFormat="1" ht="12.75" customHeight="1" spans="1:9">
      <c r="A277" s="300"/>
      <c r="B277" s="300"/>
      <c r="C277" s="300"/>
      <c r="D277" s="300"/>
      <c r="E277" s="300"/>
      <c r="F277" s="300"/>
      <c r="G277" s="300"/>
      <c r="H277" s="300"/>
      <c r="I277" s="300"/>
    </row>
    <row r="278" s="289" customFormat="1" ht="12.75" customHeight="1" spans="1:9">
      <c r="A278" s="301"/>
      <c r="B278" s="302" t="s">
        <v>1291</v>
      </c>
      <c r="C278" s="406"/>
      <c r="D278" s="353" t="s">
        <v>8</v>
      </c>
      <c r="E278" s="306" t="s">
        <v>1292</v>
      </c>
    </row>
    <row r="279" s="289" customFormat="1" ht="19.5" customHeight="1" spans="1:9">
      <c r="A279" s="307" t="s">
        <v>10</v>
      </c>
      <c r="B279" s="308" t="s">
        <v>11</v>
      </c>
      <c r="C279" s="309" t="s">
        <v>12</v>
      </c>
      <c r="D279" s="308" t="s">
        <v>13</v>
      </c>
      <c r="E279" s="308" t="s">
        <v>14</v>
      </c>
      <c r="F279" s="310"/>
      <c r="G279" s="310"/>
      <c r="H279" s="310"/>
      <c r="I279" s="310"/>
    </row>
    <row r="280" ht="12.75" customHeight="1" spans="1:9">
      <c r="A280" s="314">
        <v>1</v>
      </c>
      <c r="B280" s="278">
        <v>252610242</v>
      </c>
      <c r="C280" s="371" t="s">
        <v>1293</v>
      </c>
      <c r="D280" s="431" t="s">
        <v>1294</v>
      </c>
      <c r="E280" s="341" t="s">
        <v>23</v>
      </c>
      <c r="F280" s="317"/>
      <c r="G280" s="318"/>
      <c r="H280" s="318"/>
      <c r="I280" s="318"/>
    </row>
    <row r="281" s="291" customFormat="1" ht="12.75" customHeight="1" spans="1:9">
      <c r="A281" s="314">
        <v>2</v>
      </c>
      <c r="B281" s="276">
        <v>252610437</v>
      </c>
      <c r="C281" s="371" t="s">
        <v>1295</v>
      </c>
      <c r="D281" s="431" t="s">
        <v>1296</v>
      </c>
      <c r="E281" s="341" t="s">
        <v>23</v>
      </c>
      <c r="F281" s="317"/>
      <c r="G281" s="318"/>
      <c r="H281" s="318"/>
      <c r="I281" s="318"/>
    </row>
    <row r="282" ht="12.75" customHeight="1" spans="1:9">
      <c r="A282" s="314">
        <v>3</v>
      </c>
      <c r="B282" s="278">
        <v>252610485</v>
      </c>
      <c r="C282" s="371" t="s">
        <v>1297</v>
      </c>
      <c r="D282" s="431" t="s">
        <v>1298</v>
      </c>
      <c r="E282" s="341" t="s">
        <v>23</v>
      </c>
      <c r="F282" s="317"/>
      <c r="G282" s="318"/>
      <c r="H282" s="318"/>
      <c r="I282" s="318"/>
    </row>
    <row r="283" ht="12.75" customHeight="1" spans="1:9">
      <c r="A283" s="314">
        <v>4</v>
      </c>
      <c r="B283" s="276">
        <v>252610198</v>
      </c>
      <c r="C283" s="356" t="s">
        <v>1299</v>
      </c>
      <c r="D283" s="431" t="s">
        <v>1300</v>
      </c>
      <c r="E283" s="341" t="s">
        <v>18</v>
      </c>
      <c r="F283" s="317"/>
      <c r="G283" s="318"/>
      <c r="H283" s="318"/>
      <c r="I283" s="318"/>
    </row>
    <row r="284" ht="12.75" customHeight="1" spans="1:9">
      <c r="A284" s="314">
        <v>5</v>
      </c>
      <c r="B284" s="278">
        <v>252610440</v>
      </c>
      <c r="C284" s="371" t="s">
        <v>1301</v>
      </c>
      <c r="D284" s="431" t="s">
        <v>1302</v>
      </c>
      <c r="E284" s="341" t="s">
        <v>23</v>
      </c>
      <c r="F284" s="317"/>
      <c r="G284" s="318"/>
      <c r="H284" s="318"/>
      <c r="I284" s="318"/>
    </row>
    <row r="285" ht="12.75" customHeight="1" spans="1:9">
      <c r="A285" s="314">
        <v>6</v>
      </c>
      <c r="B285" s="276">
        <v>252610248</v>
      </c>
      <c r="C285" s="371" t="s">
        <v>1303</v>
      </c>
      <c r="D285" s="431" t="s">
        <v>1304</v>
      </c>
      <c r="E285" s="341" t="s">
        <v>18</v>
      </c>
      <c r="F285" s="317"/>
      <c r="G285" s="318"/>
      <c r="H285" s="318"/>
      <c r="I285" s="318"/>
    </row>
    <row r="286" ht="12.75" customHeight="1" spans="1:9">
      <c r="A286" s="314">
        <v>7</v>
      </c>
      <c r="B286" s="278">
        <v>252610106</v>
      </c>
      <c r="C286" s="371" t="s">
        <v>1305</v>
      </c>
      <c r="D286" s="431" t="s">
        <v>1306</v>
      </c>
      <c r="E286" s="341" t="s">
        <v>18</v>
      </c>
      <c r="F286" s="317"/>
      <c r="G286" s="318"/>
      <c r="H286" s="318"/>
      <c r="I286" s="318"/>
    </row>
    <row r="287" ht="12.75" customHeight="1" spans="1:9">
      <c r="A287" s="314">
        <v>8</v>
      </c>
      <c r="B287" s="276">
        <v>252610345</v>
      </c>
      <c r="C287" s="371" t="s">
        <v>1307</v>
      </c>
      <c r="D287" s="431" t="s">
        <v>1308</v>
      </c>
      <c r="E287" s="341" t="s">
        <v>18</v>
      </c>
      <c r="F287" s="317"/>
      <c r="G287" s="318"/>
      <c r="H287" s="318"/>
      <c r="I287" s="318"/>
    </row>
    <row r="288" ht="12.75" customHeight="1" spans="1:9">
      <c r="A288" s="314">
        <v>9</v>
      </c>
      <c r="B288" s="278">
        <v>252610202</v>
      </c>
      <c r="C288" s="371" t="s">
        <v>1309</v>
      </c>
      <c r="D288" s="431" t="s">
        <v>1310</v>
      </c>
      <c r="E288" s="341" t="s">
        <v>18</v>
      </c>
      <c r="F288" s="317"/>
      <c r="G288" s="318"/>
      <c r="H288" s="318"/>
      <c r="I288" s="318"/>
    </row>
    <row r="289" ht="12.75" customHeight="1" spans="1:9">
      <c r="A289" s="314">
        <v>10</v>
      </c>
      <c r="B289" s="276">
        <v>252610203</v>
      </c>
      <c r="C289" s="371" t="s">
        <v>1311</v>
      </c>
      <c r="D289" s="431" t="s">
        <v>1312</v>
      </c>
      <c r="E289" s="341" t="s">
        <v>18</v>
      </c>
      <c r="F289" s="317"/>
      <c r="G289" s="318"/>
      <c r="H289" s="318"/>
      <c r="I289" s="318"/>
    </row>
    <row r="290" ht="12.75" customHeight="1" spans="1:9">
      <c r="A290" s="314">
        <v>11</v>
      </c>
      <c r="B290" s="278">
        <v>252610393</v>
      </c>
      <c r="C290" s="371" t="s">
        <v>1313</v>
      </c>
      <c r="D290" s="431" t="s">
        <v>1314</v>
      </c>
      <c r="E290" s="341" t="s">
        <v>18</v>
      </c>
      <c r="F290" s="317"/>
      <c r="G290" s="318"/>
      <c r="H290" s="318"/>
      <c r="I290" s="318"/>
    </row>
    <row r="291" ht="12.75" customHeight="1" spans="1:9">
      <c r="A291" s="314">
        <v>12</v>
      </c>
      <c r="B291" s="284">
        <v>252610016</v>
      </c>
      <c r="C291" s="439" t="s">
        <v>1315</v>
      </c>
      <c r="D291" s="440" t="s">
        <v>1316</v>
      </c>
      <c r="E291" s="314" t="s">
        <v>18</v>
      </c>
      <c r="F291" s="317"/>
      <c r="G291" s="318"/>
      <c r="H291" s="318"/>
      <c r="I291" s="318"/>
    </row>
    <row r="292" ht="12.75" customHeight="1" spans="1:9">
      <c r="A292" s="314">
        <v>13</v>
      </c>
      <c r="B292" s="286">
        <v>252610017</v>
      </c>
      <c r="C292" s="439" t="s">
        <v>1317</v>
      </c>
      <c r="D292" s="440" t="s">
        <v>1318</v>
      </c>
      <c r="E292" s="314" t="s">
        <v>18</v>
      </c>
      <c r="F292" s="317"/>
      <c r="G292" s="318"/>
      <c r="H292" s="318"/>
      <c r="I292" s="318"/>
    </row>
    <row r="293" ht="12.75" customHeight="1" spans="1:9">
      <c r="A293" s="314">
        <v>14</v>
      </c>
      <c r="B293" s="276">
        <v>252610158</v>
      </c>
      <c r="C293" s="356" t="s">
        <v>1319</v>
      </c>
      <c r="D293" s="431" t="s">
        <v>1320</v>
      </c>
      <c r="E293" s="341" t="s">
        <v>23</v>
      </c>
      <c r="F293" s="317"/>
      <c r="G293" s="318"/>
      <c r="H293" s="318"/>
      <c r="I293" s="318"/>
    </row>
    <row r="294" ht="12.75" customHeight="1" spans="1:9">
      <c r="A294" s="314">
        <v>15</v>
      </c>
      <c r="B294" s="276">
        <v>252610161</v>
      </c>
      <c r="C294" s="371" t="s">
        <v>1321</v>
      </c>
      <c r="D294" s="431" t="s">
        <v>1322</v>
      </c>
      <c r="E294" s="341" t="s">
        <v>23</v>
      </c>
      <c r="F294" s="317"/>
      <c r="G294" s="318"/>
      <c r="H294" s="318"/>
      <c r="I294" s="318"/>
    </row>
    <row r="295" ht="12.75" customHeight="1" spans="1:9">
      <c r="A295" s="314">
        <v>16</v>
      </c>
      <c r="B295" s="278">
        <v>252610258</v>
      </c>
      <c r="C295" s="356" t="s">
        <v>1323</v>
      </c>
      <c r="D295" s="431" t="s">
        <v>1324</v>
      </c>
      <c r="E295" s="341" t="s">
        <v>18</v>
      </c>
      <c r="F295" s="317"/>
      <c r="G295" s="318"/>
      <c r="H295" s="318"/>
      <c r="I295" s="318"/>
    </row>
    <row r="296" ht="12.75" customHeight="1" spans="1:9">
      <c r="A296" s="314">
        <v>17</v>
      </c>
      <c r="B296" s="278">
        <v>252610405</v>
      </c>
      <c r="C296" s="371" t="s">
        <v>1325</v>
      </c>
      <c r="D296" s="431" t="s">
        <v>1326</v>
      </c>
      <c r="E296" s="341" t="s">
        <v>23</v>
      </c>
      <c r="F296" s="317"/>
      <c r="G296" s="318"/>
      <c r="H296" s="318"/>
      <c r="I296" s="318"/>
    </row>
    <row r="297" ht="12.75" customHeight="1" spans="1:9">
      <c r="A297" s="314">
        <v>18</v>
      </c>
      <c r="B297" s="276">
        <v>252610310</v>
      </c>
      <c r="C297" s="356" t="s">
        <v>1327</v>
      </c>
      <c r="D297" s="431" t="s">
        <v>1328</v>
      </c>
      <c r="E297" s="341" t="s">
        <v>18</v>
      </c>
      <c r="F297" s="317"/>
      <c r="G297" s="318"/>
      <c r="H297" s="318"/>
      <c r="I297" s="318"/>
    </row>
    <row r="298" ht="12.75" customHeight="1" spans="1:9">
      <c r="A298" s="314">
        <v>19</v>
      </c>
      <c r="B298" s="278">
        <v>252610551</v>
      </c>
      <c r="C298" s="371" t="s">
        <v>1329</v>
      </c>
      <c r="D298" s="431" t="s">
        <v>1330</v>
      </c>
      <c r="E298" s="341" t="s">
        <v>18</v>
      </c>
      <c r="F298" s="317"/>
      <c r="G298" s="318"/>
      <c r="H298" s="318"/>
      <c r="I298" s="318"/>
    </row>
    <row r="299" ht="12.75" customHeight="1" spans="1:9">
      <c r="A299" s="314">
        <v>20</v>
      </c>
      <c r="B299" s="276">
        <v>252610169</v>
      </c>
      <c r="C299" s="371" t="s">
        <v>1331</v>
      </c>
      <c r="D299" s="431" t="s">
        <v>1332</v>
      </c>
      <c r="E299" s="341" t="s">
        <v>18</v>
      </c>
      <c r="F299" s="317"/>
      <c r="G299" s="318"/>
      <c r="H299" s="318"/>
      <c r="I299" s="318"/>
    </row>
    <row r="300" ht="12.75" customHeight="1" spans="1:9">
      <c r="A300" s="314">
        <v>21</v>
      </c>
      <c r="B300" s="278">
        <v>252610312</v>
      </c>
      <c r="C300" s="371" t="s">
        <v>1333</v>
      </c>
      <c r="D300" s="431" t="s">
        <v>1334</v>
      </c>
      <c r="E300" s="341" t="s">
        <v>23</v>
      </c>
      <c r="F300" s="317"/>
      <c r="G300" s="318"/>
      <c r="H300" s="318"/>
      <c r="I300" s="318"/>
    </row>
    <row r="301" ht="12.75" customHeight="1" spans="1:9">
      <c r="A301" s="314">
        <v>22</v>
      </c>
      <c r="B301" s="276">
        <v>252610360</v>
      </c>
      <c r="C301" s="371" t="s">
        <v>1335</v>
      </c>
      <c r="D301" s="431" t="s">
        <v>1336</v>
      </c>
      <c r="E301" s="341" t="s">
        <v>23</v>
      </c>
      <c r="F301" s="317"/>
      <c r="G301" s="318"/>
      <c r="H301" s="318"/>
      <c r="I301" s="318"/>
    </row>
    <row r="302" ht="12.75" customHeight="1" spans="1:9">
      <c r="A302" s="314">
        <v>23</v>
      </c>
      <c r="B302" s="278">
        <v>252610457</v>
      </c>
      <c r="C302" s="371" t="s">
        <v>1337</v>
      </c>
      <c r="D302" s="431" t="s">
        <v>1338</v>
      </c>
      <c r="E302" s="341" t="s">
        <v>23</v>
      </c>
      <c r="F302" s="317"/>
      <c r="G302" s="318"/>
      <c r="H302" s="318"/>
      <c r="I302" s="318"/>
    </row>
    <row r="303" ht="12.75" customHeight="1" spans="1:9">
      <c r="A303" s="314">
        <v>24</v>
      </c>
      <c r="B303" s="276">
        <v>252610122</v>
      </c>
      <c r="C303" s="371" t="s">
        <v>1339</v>
      </c>
      <c r="D303" s="431" t="s">
        <v>1340</v>
      </c>
      <c r="E303" s="341" t="s">
        <v>23</v>
      </c>
      <c r="F303" s="317"/>
      <c r="G303" s="318"/>
      <c r="H303" s="318"/>
      <c r="I303" s="318"/>
    </row>
    <row r="304" ht="12.75" customHeight="1" spans="1:9">
      <c r="A304" s="314">
        <v>25</v>
      </c>
      <c r="B304" s="286">
        <v>252610030</v>
      </c>
      <c r="C304" s="439" t="s">
        <v>1341</v>
      </c>
      <c r="D304" s="440" t="s">
        <v>1342</v>
      </c>
      <c r="E304" s="314" t="s">
        <v>23</v>
      </c>
      <c r="F304" s="317"/>
      <c r="G304" s="318"/>
      <c r="H304" s="318"/>
      <c r="I304" s="318"/>
    </row>
    <row r="305" ht="12.75" customHeight="1" spans="1:9">
      <c r="A305" s="314">
        <v>26</v>
      </c>
      <c r="B305" s="276">
        <v>252610126</v>
      </c>
      <c r="C305" s="371" t="s">
        <v>1343</v>
      </c>
      <c r="D305" s="431" t="s">
        <v>1344</v>
      </c>
      <c r="E305" s="341" t="s">
        <v>18</v>
      </c>
      <c r="F305" s="317"/>
      <c r="G305" s="318"/>
      <c r="H305" s="318"/>
      <c r="I305" s="318"/>
    </row>
    <row r="306" ht="12.75" customHeight="1" spans="1:9">
      <c r="A306" s="314">
        <v>27</v>
      </c>
      <c r="B306" s="278">
        <v>252610079</v>
      </c>
      <c r="C306" s="371" t="s">
        <v>1345</v>
      </c>
      <c r="D306" s="431" t="s">
        <v>1346</v>
      </c>
      <c r="E306" s="341" t="s">
        <v>18</v>
      </c>
      <c r="F306" s="317"/>
      <c r="G306" s="318"/>
      <c r="H306" s="318"/>
      <c r="I306" s="318"/>
    </row>
    <row r="307" ht="12.75" customHeight="1" spans="1:9">
      <c r="A307" s="314">
        <v>28</v>
      </c>
      <c r="B307" s="276">
        <v>252610369</v>
      </c>
      <c r="C307" s="371" t="s">
        <v>1347</v>
      </c>
      <c r="D307" s="431" t="s">
        <v>1348</v>
      </c>
      <c r="E307" s="341" t="s">
        <v>18</v>
      </c>
      <c r="F307" s="317"/>
      <c r="G307" s="318"/>
      <c r="H307" s="318"/>
      <c r="I307" s="318"/>
    </row>
    <row r="308" ht="12.75" customHeight="1" spans="1:9">
      <c r="A308" s="314">
        <v>29</v>
      </c>
      <c r="B308" s="278">
        <v>252610181</v>
      </c>
      <c r="C308" s="371" t="s">
        <v>1349</v>
      </c>
      <c r="D308" s="431" t="s">
        <v>1350</v>
      </c>
      <c r="E308" s="341" t="s">
        <v>23</v>
      </c>
      <c r="F308" s="317"/>
      <c r="G308" s="318"/>
      <c r="H308" s="318"/>
      <c r="I308" s="318"/>
    </row>
    <row r="309" ht="12.75" customHeight="1" spans="1:9">
      <c r="A309" s="314">
        <v>30</v>
      </c>
      <c r="B309" s="276">
        <v>252610085</v>
      </c>
      <c r="C309" s="356" t="s">
        <v>1351</v>
      </c>
      <c r="D309" s="431" t="s">
        <v>1352</v>
      </c>
      <c r="E309" s="341" t="s">
        <v>23</v>
      </c>
      <c r="F309" s="317"/>
      <c r="G309" s="318"/>
      <c r="H309" s="318"/>
      <c r="I309" s="318"/>
    </row>
    <row r="310" ht="12.75" customHeight="1" spans="1:9">
      <c r="A310" s="314">
        <v>31</v>
      </c>
      <c r="B310" s="278">
        <v>252610517</v>
      </c>
      <c r="C310" s="356" t="s">
        <v>1353</v>
      </c>
      <c r="D310" s="277" t="s">
        <v>1354</v>
      </c>
      <c r="E310" s="341" t="s">
        <v>18</v>
      </c>
      <c r="F310" s="317"/>
      <c r="G310" s="318"/>
      <c r="H310" s="318"/>
      <c r="I310" s="318"/>
    </row>
    <row r="311" ht="12.75" customHeight="1" spans="1:9">
      <c r="A311" s="314">
        <v>32</v>
      </c>
      <c r="B311" s="276">
        <v>252610184</v>
      </c>
      <c r="C311" s="371" t="s">
        <v>1355</v>
      </c>
      <c r="D311" s="431" t="s">
        <v>1356</v>
      </c>
      <c r="E311" s="341" t="s">
        <v>23</v>
      </c>
      <c r="F311" s="318"/>
      <c r="G311" s="318"/>
      <c r="H311" s="318"/>
      <c r="I311" s="318"/>
    </row>
    <row r="312" ht="12.75" customHeight="1" spans="1:9">
      <c r="A312" s="314">
        <v>33</v>
      </c>
      <c r="B312" s="276">
        <v>252610089</v>
      </c>
      <c r="C312" s="371" t="s">
        <v>1357</v>
      </c>
      <c r="D312" s="431" t="s">
        <v>1358</v>
      </c>
      <c r="E312" s="341" t="s">
        <v>18</v>
      </c>
      <c r="F312" s="317"/>
      <c r="G312" s="318"/>
      <c r="H312" s="318"/>
      <c r="I312" s="318"/>
    </row>
    <row r="313" ht="12.75" customHeight="1" spans="1:9">
      <c r="A313" s="314">
        <v>34</v>
      </c>
      <c r="B313" s="278">
        <v>252610568</v>
      </c>
      <c r="C313" s="371" t="s">
        <v>1359</v>
      </c>
      <c r="D313" s="431" t="s">
        <v>1360</v>
      </c>
      <c r="E313" s="341" t="s">
        <v>18</v>
      </c>
      <c r="F313" s="317"/>
      <c r="G313" s="318"/>
      <c r="H313" s="318"/>
      <c r="I313" s="318"/>
    </row>
    <row r="314" ht="12.75" customHeight="1" spans="1:9">
      <c r="A314" s="314">
        <v>35</v>
      </c>
      <c r="B314" s="276">
        <v>252610135</v>
      </c>
      <c r="C314" s="371" t="s">
        <v>1361</v>
      </c>
      <c r="D314" s="431" t="s">
        <v>1362</v>
      </c>
      <c r="E314" s="341" t="s">
        <v>23</v>
      </c>
      <c r="F314" s="326"/>
      <c r="G314" s="327"/>
      <c r="H314" s="327"/>
      <c r="I314" s="327"/>
    </row>
    <row r="315" ht="12.75" customHeight="1" spans="1:9">
      <c r="A315" s="314">
        <v>36</v>
      </c>
      <c r="B315" s="278">
        <v>252610420</v>
      </c>
      <c r="C315" s="371" t="s">
        <v>1363</v>
      </c>
      <c r="D315" s="431" t="s">
        <v>1364</v>
      </c>
      <c r="E315" s="341" t="s">
        <v>23</v>
      </c>
      <c r="F315" s="318"/>
      <c r="G315" s="318"/>
      <c r="H315" s="318"/>
      <c r="I315" s="318"/>
    </row>
    <row r="316" ht="12.75" customHeight="1" spans="1:9">
      <c r="A316" s="314">
        <v>37</v>
      </c>
      <c r="B316" s="276">
        <v>252610569</v>
      </c>
      <c r="C316" s="371" t="s">
        <v>1365</v>
      </c>
      <c r="D316" s="431" t="s">
        <v>1366</v>
      </c>
      <c r="E316" s="341" t="s">
        <v>23</v>
      </c>
      <c r="F316" s="318"/>
      <c r="G316" s="318"/>
      <c r="H316" s="318"/>
      <c r="I316" s="318"/>
    </row>
    <row r="317" ht="12.75" customHeight="1" spans="1:9">
      <c r="A317" s="314">
        <v>38</v>
      </c>
      <c r="B317" s="278">
        <v>252610521</v>
      </c>
      <c r="C317" s="371" t="s">
        <v>1367</v>
      </c>
      <c r="D317" s="431" t="s">
        <v>1368</v>
      </c>
      <c r="E317" s="341" t="s">
        <v>18</v>
      </c>
      <c r="F317" s="318"/>
      <c r="G317" s="318"/>
      <c r="H317" s="318"/>
      <c r="I317" s="318"/>
    </row>
    <row r="318" ht="12.75" customHeight="1" spans="1:9">
      <c r="A318" s="314">
        <v>39</v>
      </c>
      <c r="B318" s="276">
        <v>252610426</v>
      </c>
      <c r="C318" s="371" t="s">
        <v>1369</v>
      </c>
      <c r="D318" s="431" t="s">
        <v>1370</v>
      </c>
      <c r="E318" s="341" t="s">
        <v>23</v>
      </c>
      <c r="F318" s="318"/>
      <c r="G318" s="318"/>
      <c r="H318" s="318"/>
      <c r="I318" s="318"/>
    </row>
    <row r="319" ht="12.75" customHeight="1" spans="1:9">
      <c r="A319" s="314">
        <v>40</v>
      </c>
      <c r="B319" s="278">
        <v>252610524</v>
      </c>
      <c r="C319" s="371" t="s">
        <v>1371</v>
      </c>
      <c r="D319" s="431" t="s">
        <v>1372</v>
      </c>
      <c r="E319" s="341" t="s">
        <v>18</v>
      </c>
      <c r="F319" s="318"/>
      <c r="G319" s="318"/>
      <c r="H319" s="318"/>
      <c r="I319" s="318"/>
    </row>
    <row r="320" ht="12.75" customHeight="1" spans="1:9">
      <c r="A320" s="314">
        <v>41</v>
      </c>
      <c r="B320" s="276">
        <v>252610191</v>
      </c>
      <c r="C320" s="356" t="s">
        <v>1373</v>
      </c>
      <c r="D320" s="431" t="s">
        <v>1374</v>
      </c>
      <c r="E320" s="341" t="s">
        <v>23</v>
      </c>
      <c r="F320" s="318"/>
      <c r="G320" s="318"/>
      <c r="H320" s="318"/>
      <c r="I320" s="318"/>
    </row>
    <row r="321" ht="12.75" customHeight="1" spans="1:9">
      <c r="A321" s="314">
        <v>42</v>
      </c>
      <c r="B321" s="278">
        <v>252610381</v>
      </c>
      <c r="C321" s="371" t="s">
        <v>1375</v>
      </c>
      <c r="D321" s="431" t="s">
        <v>1376</v>
      </c>
      <c r="E321" s="341" t="s">
        <v>23</v>
      </c>
      <c r="F321" s="318"/>
      <c r="G321" s="318"/>
      <c r="H321" s="318"/>
      <c r="I321" s="318"/>
    </row>
    <row r="322" ht="12.75" customHeight="1" spans="1:9">
      <c r="A322" s="314">
        <v>43</v>
      </c>
      <c r="B322" s="276">
        <v>252610286</v>
      </c>
      <c r="C322" s="371" t="s">
        <v>1377</v>
      </c>
      <c r="D322" s="431" t="s">
        <v>1378</v>
      </c>
      <c r="E322" s="341" t="s">
        <v>18</v>
      </c>
      <c r="F322" s="318"/>
      <c r="G322" s="318"/>
      <c r="H322" s="318"/>
      <c r="I322" s="318"/>
    </row>
    <row r="323" ht="12.75" customHeight="1" spans="1:9">
      <c r="A323" s="314">
        <v>44</v>
      </c>
      <c r="B323" s="278">
        <v>252610429</v>
      </c>
      <c r="C323" s="371" t="s">
        <v>1379</v>
      </c>
      <c r="D323" s="431" t="s">
        <v>1380</v>
      </c>
      <c r="E323" s="341" t="s">
        <v>18</v>
      </c>
      <c r="F323" s="318"/>
      <c r="G323" s="318"/>
      <c r="H323" s="318"/>
      <c r="I323" s="318"/>
    </row>
    <row r="324" ht="12.75" customHeight="1" spans="1:9">
      <c r="A324" s="314">
        <v>45</v>
      </c>
      <c r="B324" s="276">
        <v>252610335</v>
      </c>
      <c r="C324" s="356" t="s">
        <v>1381</v>
      </c>
      <c r="D324" s="431" t="s">
        <v>1382</v>
      </c>
      <c r="E324" s="341" t="s">
        <v>23</v>
      </c>
      <c r="F324" s="318"/>
      <c r="G324" s="318"/>
      <c r="H324" s="318"/>
      <c r="I324" s="318"/>
    </row>
    <row r="325" ht="12.75" customHeight="1" spans="1:9">
      <c r="A325" s="314">
        <v>46</v>
      </c>
      <c r="B325" s="278">
        <v>252610240</v>
      </c>
      <c r="C325" s="371" t="s">
        <v>1383</v>
      </c>
      <c r="D325" s="431" t="s">
        <v>1384</v>
      </c>
      <c r="E325" s="341" t="s">
        <v>23</v>
      </c>
      <c r="F325" s="318"/>
      <c r="G325" s="318"/>
      <c r="H325" s="318"/>
      <c r="I325" s="318"/>
    </row>
    <row r="326" s="289" customFormat="1" ht="12.75" customHeight="1" spans="1:9">
      <c r="A326" s="293"/>
      <c r="B326" s="333"/>
      <c r="C326" s="345"/>
      <c r="D326" s="346" t="s">
        <v>89</v>
      </c>
      <c r="E326" s="347">
        <f>COUNTIF(E280:E325,"L")</f>
        <v>23</v>
      </c>
    </row>
    <row r="327" s="289" customFormat="1" ht="12.75" customHeight="1" spans="1:9">
      <c r="A327" s="293"/>
      <c r="B327" s="333"/>
      <c r="C327" s="345"/>
      <c r="D327" s="346" t="s">
        <v>90</v>
      </c>
      <c r="E327" s="347">
        <f>COUNTIF(E280:E325,"P")</f>
        <v>23</v>
      </c>
    </row>
    <row r="328" s="289" customFormat="1" ht="12.75" customHeight="1" spans="1:9">
      <c r="A328" s="293"/>
      <c r="B328" s="334"/>
      <c r="C328" s="423"/>
      <c r="D328" s="304"/>
      <c r="E328" s="293"/>
    </row>
    <row r="329" s="289" customFormat="1" ht="12.75" customHeight="1" spans="1:9">
      <c r="A329" s="293"/>
      <c r="B329" s="334" t="s">
        <v>91</v>
      </c>
      <c r="C329" s="423"/>
      <c r="D329" s="304"/>
      <c r="E329" s="293"/>
      <c r="F329" s="289" t="s">
        <v>92</v>
      </c>
    </row>
    <row r="330" s="289" customFormat="1" ht="12.75" customHeight="1" spans="1:9">
      <c r="A330" s="293"/>
      <c r="B330" s="334"/>
      <c r="C330" s="423"/>
      <c r="D330" s="304"/>
      <c r="E330" s="293"/>
    </row>
    <row r="331" s="289" customFormat="1" ht="12.75" customHeight="1" spans="1:9">
      <c r="A331" s="293"/>
      <c r="B331" s="334"/>
      <c r="C331" s="423"/>
      <c r="D331" s="304"/>
      <c r="E331" s="293"/>
    </row>
    <row r="332" s="289" customFormat="1" ht="12.75" customHeight="1" spans="1:9">
      <c r="A332" s="293"/>
      <c r="B332" s="334"/>
      <c r="C332" s="423"/>
      <c r="D332" s="304"/>
      <c r="E332" s="293"/>
    </row>
    <row r="333" s="289" customFormat="1" ht="12.75" customHeight="1" spans="1:9">
      <c r="A333" s="293"/>
      <c r="B333" s="338" t="s">
        <v>93</v>
      </c>
      <c r="C333" s="423"/>
      <c r="D333" s="304"/>
      <c r="E333" s="293"/>
      <c r="F333" s="289" t="s">
        <v>94</v>
      </c>
    </row>
    <row r="334" s="289" customFormat="1" ht="12.75" customHeight="1" spans="1:9">
      <c r="A334" s="293"/>
      <c r="B334" s="339" t="s">
        <v>95</v>
      </c>
      <c r="C334" s="423"/>
      <c r="D334" s="304"/>
      <c r="E334" s="293"/>
    </row>
    <row r="335" ht="12.75" customHeight="1" spans="1:9">
      <c r="A335" s="357"/>
      <c r="B335" s="358"/>
      <c r="C335" s="424"/>
      <c r="D335" s="358"/>
      <c r="E335" s="360"/>
      <c r="F335" s="360"/>
      <c r="G335" s="360"/>
      <c r="H335" s="360"/>
      <c r="I335" s="360"/>
    </row>
    <row r="336" ht="12.75" customHeight="1" spans="1:9">
      <c r="A336" s="297" t="s">
        <v>1</v>
      </c>
      <c r="B336" s="297"/>
      <c r="C336" s="297"/>
      <c r="D336" s="297"/>
      <c r="E336" s="297"/>
      <c r="F336" s="297"/>
      <c r="G336" s="297"/>
      <c r="H336" s="297"/>
      <c r="I336" s="297"/>
    </row>
    <row r="337" ht="12.75" customHeight="1" spans="1:9">
      <c r="A337" s="297" t="s">
        <v>2</v>
      </c>
      <c r="B337" s="297"/>
      <c r="C337" s="297"/>
      <c r="D337" s="297"/>
      <c r="E337" s="297"/>
      <c r="F337" s="297"/>
      <c r="G337" s="297"/>
      <c r="H337" s="297"/>
      <c r="I337" s="297"/>
    </row>
    <row r="338" ht="12.75" customHeight="1" spans="1:9">
      <c r="A338" s="297" t="s">
        <v>3</v>
      </c>
      <c r="B338" s="297"/>
      <c r="C338" s="297"/>
      <c r="D338" s="297"/>
      <c r="E338" s="297"/>
      <c r="F338" s="297"/>
      <c r="G338" s="297"/>
      <c r="H338" s="297"/>
      <c r="I338" s="297"/>
    </row>
    <row r="339" s="291" customFormat="1" ht="16.5" customHeight="1" spans="1:9">
      <c r="A339" s="298" t="s">
        <v>4</v>
      </c>
      <c r="B339" s="298"/>
      <c r="C339" s="298"/>
      <c r="D339" s="298"/>
      <c r="E339" s="298"/>
      <c r="F339" s="298"/>
      <c r="G339" s="298"/>
      <c r="H339" s="298"/>
      <c r="I339" s="298"/>
    </row>
    <row r="340" ht="12.75" customHeight="1" spans="1:9">
      <c r="A340" s="299" t="s">
        <v>5</v>
      </c>
      <c r="B340" s="299"/>
      <c r="C340" s="299"/>
      <c r="D340" s="299"/>
      <c r="E340" s="299"/>
      <c r="F340" s="299"/>
      <c r="G340" s="299"/>
      <c r="H340" s="299"/>
      <c r="I340" s="299"/>
    </row>
    <row r="341" customHeight="1" spans="1:9">
      <c r="A341" s="299"/>
      <c r="B341" s="299"/>
      <c r="C341" s="299"/>
      <c r="D341" s="299"/>
      <c r="E341" s="299"/>
      <c r="F341" s="299"/>
      <c r="G341" s="299"/>
      <c r="H341" s="299"/>
      <c r="I341" s="299"/>
    </row>
    <row r="342" ht="12.75" customHeight="1" spans="1:9">
      <c r="A342" s="299"/>
      <c r="B342" s="299"/>
      <c r="C342" s="299"/>
      <c r="D342" s="299"/>
      <c r="E342" s="299"/>
      <c r="F342" s="299"/>
      <c r="G342" s="299"/>
      <c r="H342" s="299"/>
      <c r="I342" s="299"/>
    </row>
    <row r="343" s="289" customFormat="1" ht="12.75" customHeight="1" spans="1:9">
      <c r="A343" s="300" t="s">
        <v>6</v>
      </c>
      <c r="B343" s="300"/>
      <c r="C343" s="300"/>
      <c r="D343" s="300"/>
      <c r="E343" s="300"/>
      <c r="F343" s="300"/>
      <c r="G343" s="300"/>
      <c r="H343" s="300"/>
      <c r="I343" s="300"/>
    </row>
    <row r="344" s="289" customFormat="1" ht="12.75" customHeight="1" spans="1:9">
      <c r="A344" s="300"/>
      <c r="B344" s="300"/>
      <c r="C344" s="300"/>
      <c r="D344" s="300"/>
      <c r="E344" s="300"/>
      <c r="F344" s="300"/>
      <c r="G344" s="300"/>
      <c r="H344" s="300"/>
      <c r="I344" s="300"/>
    </row>
    <row r="345" s="289" customFormat="1" ht="12.75" customHeight="1" spans="1:9">
      <c r="A345" s="301"/>
      <c r="B345" s="302" t="s">
        <v>1385</v>
      </c>
      <c r="C345" s="406"/>
      <c r="D345" s="407" t="s">
        <v>8</v>
      </c>
      <c r="E345" s="306" t="s">
        <v>1386</v>
      </c>
    </row>
    <row r="346" s="289" customFormat="1" ht="19.5" customHeight="1" spans="1:9">
      <c r="A346" s="307" t="s">
        <v>10</v>
      </c>
      <c r="B346" s="308" t="s">
        <v>11</v>
      </c>
      <c r="C346" s="309" t="s">
        <v>12</v>
      </c>
      <c r="D346" s="308" t="s">
        <v>13</v>
      </c>
      <c r="E346" s="308" t="s">
        <v>14</v>
      </c>
      <c r="F346" s="310"/>
      <c r="G346" s="310"/>
      <c r="H346" s="310"/>
      <c r="I346" s="310"/>
    </row>
    <row r="347" ht="12.75" customHeight="1" spans="1:9">
      <c r="A347" s="314">
        <v>1</v>
      </c>
      <c r="B347" s="276">
        <v>252610482</v>
      </c>
      <c r="C347" s="371" t="s">
        <v>1387</v>
      </c>
      <c r="D347" s="431" t="s">
        <v>1388</v>
      </c>
      <c r="E347" s="341" t="s">
        <v>23</v>
      </c>
      <c r="F347" s="317"/>
      <c r="G347" s="318"/>
      <c r="H347" s="318"/>
      <c r="I347" s="318"/>
    </row>
    <row r="348" s="291" customFormat="1" ht="12.75" customHeight="1" spans="1:9">
      <c r="A348" s="314">
        <v>2</v>
      </c>
      <c r="B348" s="278">
        <v>252610337</v>
      </c>
      <c r="C348" s="371" t="s">
        <v>1389</v>
      </c>
      <c r="D348" s="431" t="s">
        <v>1390</v>
      </c>
      <c r="E348" s="341" t="s">
        <v>23</v>
      </c>
      <c r="F348" s="317"/>
      <c r="G348" s="318"/>
      <c r="H348" s="318"/>
      <c r="I348" s="318"/>
    </row>
    <row r="349" ht="12.75" customHeight="1" spans="1:9">
      <c r="A349" s="314">
        <v>3</v>
      </c>
      <c r="B349" s="276">
        <v>252610435</v>
      </c>
      <c r="C349" s="371" t="s">
        <v>1391</v>
      </c>
      <c r="D349" s="431" t="s">
        <v>1392</v>
      </c>
      <c r="E349" s="341" t="s">
        <v>23</v>
      </c>
      <c r="F349" s="317"/>
      <c r="G349" s="318"/>
      <c r="H349" s="318"/>
      <c r="I349" s="318"/>
    </row>
    <row r="350" ht="12.75" customHeight="1" spans="1:9">
      <c r="A350" s="314">
        <v>4</v>
      </c>
      <c r="B350" s="278">
        <v>252610292</v>
      </c>
      <c r="C350" s="371" t="s">
        <v>1393</v>
      </c>
      <c r="D350" s="431" t="s">
        <v>1394</v>
      </c>
      <c r="E350" s="341" t="s">
        <v>23</v>
      </c>
      <c r="F350" s="317"/>
      <c r="G350" s="318"/>
      <c r="H350" s="318"/>
      <c r="I350" s="318"/>
    </row>
    <row r="351" ht="12.75" customHeight="1" spans="1:9">
      <c r="A351" s="314">
        <v>5</v>
      </c>
      <c r="B351" s="276">
        <v>252610341</v>
      </c>
      <c r="C351" s="371" t="s">
        <v>1395</v>
      </c>
      <c r="D351" s="431" t="s">
        <v>1396</v>
      </c>
      <c r="E351" s="341" t="s">
        <v>23</v>
      </c>
      <c r="F351" s="317"/>
      <c r="G351" s="318"/>
      <c r="H351" s="318"/>
      <c r="I351" s="318"/>
    </row>
    <row r="352" ht="12.75" customHeight="1" spans="1:9">
      <c r="A352" s="314">
        <v>6</v>
      </c>
      <c r="B352" s="278">
        <v>252610537</v>
      </c>
      <c r="C352" s="371" t="s">
        <v>1397</v>
      </c>
      <c r="D352" s="431" t="s">
        <v>1398</v>
      </c>
      <c r="E352" s="341" t="s">
        <v>18</v>
      </c>
      <c r="F352" s="317"/>
      <c r="G352" s="318"/>
      <c r="H352" s="318"/>
      <c r="I352" s="318"/>
    </row>
    <row r="353" ht="12.75" customHeight="1" spans="1:9">
      <c r="A353" s="314">
        <v>7</v>
      </c>
      <c r="B353" s="284">
        <v>252610013</v>
      </c>
      <c r="C353" s="439" t="s">
        <v>1399</v>
      </c>
      <c r="D353" s="440" t="s">
        <v>1400</v>
      </c>
      <c r="E353" s="323" t="s">
        <v>18</v>
      </c>
      <c r="F353" s="317"/>
      <c r="G353" s="318"/>
      <c r="H353" s="318"/>
      <c r="I353" s="318"/>
    </row>
    <row r="354" ht="12.75" customHeight="1" spans="1:9">
      <c r="A354" s="314">
        <v>8</v>
      </c>
      <c r="B354" s="278">
        <v>252610154</v>
      </c>
      <c r="C354" s="371" t="s">
        <v>1401</v>
      </c>
      <c r="D354" s="431" t="s">
        <v>1402</v>
      </c>
      <c r="E354" s="341" t="s">
        <v>23</v>
      </c>
      <c r="F354" s="317"/>
      <c r="G354" s="318"/>
      <c r="H354" s="318"/>
      <c r="I354" s="318"/>
    </row>
    <row r="355" ht="12.75" customHeight="1" spans="1:9">
      <c r="A355" s="314">
        <v>9</v>
      </c>
      <c r="B355" s="276">
        <v>252610397</v>
      </c>
      <c r="C355" s="371" t="s">
        <v>1403</v>
      </c>
      <c r="D355" s="431" t="s">
        <v>1404</v>
      </c>
      <c r="E355" s="341" t="s">
        <v>23</v>
      </c>
      <c r="F355" s="317"/>
      <c r="G355" s="318"/>
      <c r="H355" s="318"/>
      <c r="I355" s="318"/>
    </row>
    <row r="356" ht="12.75" customHeight="1" spans="1:9">
      <c r="A356" s="314">
        <v>10</v>
      </c>
      <c r="B356" s="278">
        <v>252610065</v>
      </c>
      <c r="C356" s="356" t="s">
        <v>1405</v>
      </c>
      <c r="D356" s="431" t="s">
        <v>1406</v>
      </c>
      <c r="E356" s="341" t="s">
        <v>23</v>
      </c>
      <c r="F356" s="317"/>
      <c r="G356" s="318"/>
      <c r="H356" s="318"/>
      <c r="I356" s="318"/>
    </row>
    <row r="357" ht="12.75" customHeight="1" spans="1:9">
      <c r="A357" s="314">
        <v>11</v>
      </c>
      <c r="B357" s="284">
        <v>252610020</v>
      </c>
      <c r="C357" s="439" t="s">
        <v>1407</v>
      </c>
      <c r="D357" s="440" t="s">
        <v>1408</v>
      </c>
      <c r="E357" s="314" t="s">
        <v>23</v>
      </c>
      <c r="F357" s="317"/>
      <c r="G357" s="318"/>
      <c r="H357" s="318"/>
      <c r="I357" s="318"/>
    </row>
    <row r="358" ht="12.75" customHeight="1" spans="1:9">
      <c r="A358" s="314">
        <v>12</v>
      </c>
      <c r="B358" s="278">
        <v>252610448</v>
      </c>
      <c r="C358" s="371" t="s">
        <v>1409</v>
      </c>
      <c r="D358" s="431" t="s">
        <v>1410</v>
      </c>
      <c r="E358" s="341" t="s">
        <v>18</v>
      </c>
      <c r="F358" s="317"/>
      <c r="G358" s="318"/>
      <c r="H358" s="318"/>
      <c r="I358" s="318"/>
    </row>
    <row r="359" ht="12.75" customHeight="1" spans="1:9">
      <c r="A359" s="314">
        <v>13</v>
      </c>
      <c r="B359" s="276">
        <v>252610495</v>
      </c>
      <c r="C359" s="371" t="s">
        <v>1411</v>
      </c>
      <c r="D359" s="431" t="s">
        <v>1412</v>
      </c>
      <c r="E359" s="341" t="s">
        <v>18</v>
      </c>
      <c r="F359" s="317"/>
      <c r="G359" s="318"/>
      <c r="H359" s="318"/>
      <c r="I359" s="318"/>
    </row>
    <row r="360" ht="12.75" customHeight="1" spans="1:9">
      <c r="A360" s="314">
        <v>14</v>
      </c>
      <c r="B360" s="278">
        <v>252610207</v>
      </c>
      <c r="C360" s="371" t="s">
        <v>1413</v>
      </c>
      <c r="D360" s="431" t="s">
        <v>1414</v>
      </c>
      <c r="E360" s="341" t="s">
        <v>23</v>
      </c>
      <c r="F360" s="317"/>
      <c r="G360" s="318"/>
      <c r="H360" s="318"/>
      <c r="I360" s="318"/>
    </row>
    <row r="361" ht="12.75" customHeight="1" spans="1:9">
      <c r="A361" s="314">
        <v>15</v>
      </c>
      <c r="B361" s="276">
        <v>252610545</v>
      </c>
      <c r="C361" s="371" t="s">
        <v>1415</v>
      </c>
      <c r="D361" s="431" t="s">
        <v>1416</v>
      </c>
      <c r="E361" s="341" t="s">
        <v>18</v>
      </c>
      <c r="F361" s="317"/>
      <c r="G361" s="318"/>
      <c r="H361" s="318"/>
      <c r="I361" s="318"/>
    </row>
    <row r="362" ht="12.75" customHeight="1" spans="1:9">
      <c r="A362" s="314">
        <v>16</v>
      </c>
      <c r="B362" s="278">
        <v>252610067</v>
      </c>
      <c r="C362" s="371" t="s">
        <v>1417</v>
      </c>
      <c r="D362" s="431" t="s">
        <v>1418</v>
      </c>
      <c r="E362" s="341" t="s">
        <v>23</v>
      </c>
      <c r="F362" s="317"/>
      <c r="G362" s="318"/>
      <c r="H362" s="318"/>
      <c r="I362" s="318"/>
    </row>
    <row r="363" ht="12.75" customHeight="1" spans="1:9">
      <c r="A363" s="314">
        <v>17</v>
      </c>
      <c r="B363" s="276">
        <v>252610160</v>
      </c>
      <c r="C363" s="371" t="s">
        <v>1419</v>
      </c>
      <c r="D363" s="431" t="s">
        <v>1420</v>
      </c>
      <c r="E363" s="341" t="s">
        <v>18</v>
      </c>
      <c r="F363" s="317"/>
      <c r="G363" s="318"/>
      <c r="H363" s="318"/>
      <c r="I363" s="318"/>
    </row>
    <row r="364" ht="12.75" customHeight="1" spans="1:9">
      <c r="A364" s="314">
        <v>18</v>
      </c>
      <c r="B364" s="278">
        <v>252610306</v>
      </c>
      <c r="C364" s="356" t="s">
        <v>1421</v>
      </c>
      <c r="D364" s="431" t="s">
        <v>1422</v>
      </c>
      <c r="E364" s="341" t="s">
        <v>18</v>
      </c>
      <c r="F364" s="317"/>
      <c r="G364" s="318"/>
      <c r="H364" s="318"/>
      <c r="I364" s="318"/>
    </row>
    <row r="365" ht="12.75" customHeight="1" spans="1:9">
      <c r="A365" s="314">
        <v>19</v>
      </c>
      <c r="B365" s="276">
        <v>252610403</v>
      </c>
      <c r="C365" s="371" t="s">
        <v>1423</v>
      </c>
      <c r="D365" s="431" t="s">
        <v>1424</v>
      </c>
      <c r="E365" s="341" t="s">
        <v>18</v>
      </c>
      <c r="F365" s="317"/>
      <c r="G365" s="318"/>
      <c r="H365" s="318"/>
      <c r="I365" s="318"/>
    </row>
    <row r="366" ht="12.75" customHeight="1" spans="1:9">
      <c r="A366" s="314">
        <v>20</v>
      </c>
      <c r="B366" s="278">
        <v>252610116</v>
      </c>
      <c r="C366" s="371" t="s">
        <v>1425</v>
      </c>
      <c r="D366" s="431" t="s">
        <v>1426</v>
      </c>
      <c r="E366" s="341" t="s">
        <v>18</v>
      </c>
      <c r="F366" s="317"/>
      <c r="G366" s="318"/>
      <c r="H366" s="318"/>
      <c r="I366" s="318"/>
    </row>
    <row r="367" ht="12.75" customHeight="1" spans="1:9">
      <c r="A367" s="314">
        <v>21</v>
      </c>
      <c r="B367" s="276">
        <v>252610550</v>
      </c>
      <c r="C367" s="356" t="s">
        <v>1427</v>
      </c>
      <c r="D367" s="431" t="s">
        <v>1428</v>
      </c>
      <c r="E367" s="341" t="s">
        <v>23</v>
      </c>
      <c r="F367" s="317"/>
      <c r="G367" s="318"/>
      <c r="H367" s="318"/>
      <c r="I367" s="318"/>
    </row>
    <row r="368" ht="12.75" customHeight="1" spans="1:9">
      <c r="A368" s="314">
        <v>22</v>
      </c>
      <c r="B368" s="278">
        <v>252610263</v>
      </c>
      <c r="C368" s="371" t="s">
        <v>1429</v>
      </c>
      <c r="D368" s="431" t="s">
        <v>1430</v>
      </c>
      <c r="E368" s="341" t="s">
        <v>18</v>
      </c>
      <c r="F368" s="317"/>
      <c r="G368" s="318"/>
      <c r="H368" s="318"/>
      <c r="I368" s="318"/>
    </row>
    <row r="369" ht="12.75" customHeight="1" spans="1:9">
      <c r="A369" s="314">
        <v>23</v>
      </c>
      <c r="B369" s="276">
        <v>252610215</v>
      </c>
      <c r="C369" s="371" t="s">
        <v>1431</v>
      </c>
      <c r="D369" s="431" t="s">
        <v>1432</v>
      </c>
      <c r="E369" s="341" t="s">
        <v>18</v>
      </c>
      <c r="F369" s="317"/>
      <c r="G369" s="318"/>
      <c r="H369" s="318"/>
      <c r="I369" s="318"/>
    </row>
    <row r="370" ht="12.75" customHeight="1" spans="1:9">
      <c r="A370" s="314">
        <v>24</v>
      </c>
      <c r="B370" s="278">
        <v>252610361</v>
      </c>
      <c r="C370" s="371" t="s">
        <v>1433</v>
      </c>
      <c r="D370" s="431" t="s">
        <v>1434</v>
      </c>
      <c r="E370" s="341" t="s">
        <v>23</v>
      </c>
      <c r="F370" s="317"/>
      <c r="G370" s="318"/>
      <c r="H370" s="318"/>
      <c r="I370" s="318"/>
    </row>
    <row r="371" ht="12.75" customHeight="1" spans="1:9">
      <c r="A371" s="314">
        <v>25</v>
      </c>
      <c r="B371" s="278">
        <v>252610314</v>
      </c>
      <c r="C371" s="371" t="s">
        <v>1435</v>
      </c>
      <c r="D371" s="431" t="s">
        <v>1436</v>
      </c>
      <c r="E371" s="341" t="s">
        <v>23</v>
      </c>
      <c r="F371" s="317"/>
      <c r="G371" s="318"/>
      <c r="H371" s="318"/>
      <c r="I371" s="318"/>
    </row>
    <row r="372" ht="12.75" customHeight="1" spans="1:9">
      <c r="A372" s="314">
        <v>26</v>
      </c>
      <c r="B372" s="276">
        <v>252610074</v>
      </c>
      <c r="C372" s="371" t="s">
        <v>1437</v>
      </c>
      <c r="D372" s="431" t="s">
        <v>1438</v>
      </c>
      <c r="E372" s="341" t="s">
        <v>23</v>
      </c>
      <c r="F372" s="317"/>
      <c r="G372" s="318"/>
      <c r="H372" s="318"/>
      <c r="I372" s="318"/>
    </row>
    <row r="373" ht="12.75" customHeight="1" spans="1:9">
      <c r="A373" s="314">
        <v>27</v>
      </c>
      <c r="B373" s="278">
        <v>252610459</v>
      </c>
      <c r="C373" s="371" t="s">
        <v>1439</v>
      </c>
      <c r="D373" s="431" t="s">
        <v>1440</v>
      </c>
      <c r="E373" s="341" t="s">
        <v>18</v>
      </c>
      <c r="F373" s="317"/>
      <c r="G373" s="318"/>
      <c r="H373" s="318"/>
      <c r="I373" s="318"/>
    </row>
    <row r="374" ht="12.75" customHeight="1" spans="1:9">
      <c r="A374" s="314">
        <v>28</v>
      </c>
      <c r="B374" s="276">
        <v>252610558</v>
      </c>
      <c r="C374" s="371" t="s">
        <v>1441</v>
      </c>
      <c r="D374" s="431" t="s">
        <v>1442</v>
      </c>
      <c r="E374" s="341" t="s">
        <v>18</v>
      </c>
      <c r="F374" s="317"/>
      <c r="G374" s="318"/>
      <c r="H374" s="318"/>
      <c r="I374" s="318"/>
    </row>
    <row r="375" ht="12.75" customHeight="1" spans="1:9">
      <c r="A375" s="314">
        <v>29</v>
      </c>
      <c r="B375" s="278">
        <v>252610125</v>
      </c>
      <c r="C375" s="371" t="s">
        <v>1443</v>
      </c>
      <c r="D375" s="431" t="s">
        <v>1444</v>
      </c>
      <c r="E375" s="341" t="s">
        <v>18</v>
      </c>
      <c r="F375" s="317"/>
      <c r="G375" s="318"/>
      <c r="H375" s="318"/>
      <c r="I375" s="318"/>
    </row>
    <row r="376" ht="12.75" customHeight="1" spans="1:9">
      <c r="A376" s="314">
        <v>30</v>
      </c>
      <c r="B376" s="276">
        <v>252610508</v>
      </c>
      <c r="C376" s="371" t="s">
        <v>1445</v>
      </c>
      <c r="D376" s="431" t="s">
        <v>1446</v>
      </c>
      <c r="E376" s="343" t="s">
        <v>18</v>
      </c>
      <c r="F376" s="317"/>
      <c r="G376" s="318"/>
      <c r="H376" s="318"/>
      <c r="I376" s="318"/>
    </row>
    <row r="377" ht="12.75" customHeight="1" spans="1:9">
      <c r="A377" s="314">
        <v>31</v>
      </c>
      <c r="B377" s="278">
        <v>252610127</v>
      </c>
      <c r="C377" s="371" t="s">
        <v>1447</v>
      </c>
      <c r="D377" s="431" t="s">
        <v>1448</v>
      </c>
      <c r="E377" s="341" t="s">
        <v>18</v>
      </c>
      <c r="F377" s="317"/>
      <c r="G377" s="318"/>
      <c r="H377" s="318"/>
      <c r="I377" s="318"/>
    </row>
    <row r="378" ht="12.75" customHeight="1" spans="1:9">
      <c r="A378" s="314">
        <v>32</v>
      </c>
      <c r="B378" s="278">
        <v>252610415</v>
      </c>
      <c r="C378" s="371" t="s">
        <v>1449</v>
      </c>
      <c r="D378" s="431" t="s">
        <v>1450</v>
      </c>
      <c r="E378" s="341" t="s">
        <v>23</v>
      </c>
      <c r="F378" s="317"/>
      <c r="G378" s="318"/>
      <c r="H378" s="318"/>
      <c r="I378" s="318"/>
    </row>
    <row r="379" ht="12.75" customHeight="1" spans="1:9">
      <c r="A379" s="314">
        <v>33</v>
      </c>
      <c r="B379" s="276">
        <v>252610318</v>
      </c>
      <c r="C379" s="371" t="s">
        <v>1451</v>
      </c>
      <c r="D379" s="431" t="s">
        <v>1452</v>
      </c>
      <c r="E379" s="341" t="s">
        <v>18</v>
      </c>
      <c r="F379" s="317"/>
      <c r="G379" s="318"/>
      <c r="H379" s="318"/>
      <c r="I379" s="318"/>
    </row>
    <row r="380" ht="12.75" customHeight="1" spans="1:9">
      <c r="A380" s="314">
        <v>34</v>
      </c>
      <c r="B380" s="278">
        <v>252610129</v>
      </c>
      <c r="C380" s="371" t="s">
        <v>1453</v>
      </c>
      <c r="D380" s="431" t="s">
        <v>1454</v>
      </c>
      <c r="E380" s="341" t="s">
        <v>23</v>
      </c>
      <c r="F380" s="326"/>
      <c r="G380" s="327"/>
      <c r="H380" s="327"/>
      <c r="I380" s="327"/>
    </row>
    <row r="381" ht="12.75" customHeight="1" spans="1:9">
      <c r="A381" s="314">
        <v>35</v>
      </c>
      <c r="B381" s="276">
        <v>252610465</v>
      </c>
      <c r="C381" s="371" t="s">
        <v>1455</v>
      </c>
      <c r="D381" s="431" t="s">
        <v>1456</v>
      </c>
      <c r="E381" s="341" t="s">
        <v>18</v>
      </c>
      <c r="F381" s="318"/>
      <c r="G381" s="318"/>
      <c r="H381" s="318"/>
      <c r="I381" s="318"/>
    </row>
    <row r="382" ht="12.75" customHeight="1" spans="1:9">
      <c r="A382" s="314">
        <v>36</v>
      </c>
      <c r="B382" s="278">
        <v>252610228</v>
      </c>
      <c r="C382" s="371" t="s">
        <v>1457</v>
      </c>
      <c r="D382" s="431" t="s">
        <v>1458</v>
      </c>
      <c r="E382" s="341" t="s">
        <v>23</v>
      </c>
      <c r="F382" s="318"/>
      <c r="G382" s="318"/>
      <c r="H382" s="318"/>
      <c r="I382" s="318"/>
    </row>
    <row r="383" ht="12.75" customHeight="1" spans="1:9">
      <c r="A383" s="314">
        <v>37</v>
      </c>
      <c r="B383" s="276">
        <v>252610370</v>
      </c>
      <c r="C383" s="371" t="s">
        <v>1459</v>
      </c>
      <c r="D383" s="431" t="s">
        <v>1460</v>
      </c>
      <c r="E383" s="341" t="s">
        <v>23</v>
      </c>
      <c r="F383" s="318"/>
      <c r="G383" s="318"/>
      <c r="H383" s="318"/>
      <c r="I383" s="318"/>
    </row>
    <row r="384" ht="12.75" customHeight="1" spans="1:9">
      <c r="A384" s="314">
        <v>38</v>
      </c>
      <c r="B384" s="278">
        <v>252610232</v>
      </c>
      <c r="C384" s="371" t="s">
        <v>1461</v>
      </c>
      <c r="D384" s="431" t="s">
        <v>1462</v>
      </c>
      <c r="E384" s="341" t="s">
        <v>23</v>
      </c>
      <c r="F384" s="318"/>
      <c r="G384" s="318"/>
      <c r="H384" s="318"/>
      <c r="I384" s="318"/>
    </row>
    <row r="385" ht="12.75" customHeight="1" spans="1:9">
      <c r="A385" s="314">
        <v>39</v>
      </c>
      <c r="B385" s="276">
        <v>252610137</v>
      </c>
      <c r="C385" s="371" t="s">
        <v>1463</v>
      </c>
      <c r="D385" s="431" t="s">
        <v>1464</v>
      </c>
      <c r="E385" s="341" t="s">
        <v>18</v>
      </c>
      <c r="F385" s="318"/>
      <c r="G385" s="318"/>
      <c r="H385" s="318"/>
      <c r="I385" s="318"/>
    </row>
    <row r="386" ht="12.75" customHeight="1" spans="1:9">
      <c r="A386" s="314">
        <v>40</v>
      </c>
      <c r="B386" s="278">
        <v>252610233</v>
      </c>
      <c r="C386" s="371" t="s">
        <v>1465</v>
      </c>
      <c r="D386" s="431" t="s">
        <v>1466</v>
      </c>
      <c r="E386" s="341" t="s">
        <v>18</v>
      </c>
      <c r="F386" s="318"/>
      <c r="G386" s="318"/>
      <c r="H386" s="318"/>
      <c r="I386" s="318"/>
    </row>
    <row r="387" ht="12.75" customHeight="1" spans="1:9">
      <c r="A387" s="314">
        <v>41</v>
      </c>
      <c r="B387" s="284">
        <v>252610045</v>
      </c>
      <c r="C387" s="439" t="s">
        <v>1467</v>
      </c>
      <c r="D387" s="441" t="s">
        <v>1468</v>
      </c>
      <c r="E387" s="314" t="s">
        <v>18</v>
      </c>
      <c r="F387" s="318"/>
      <c r="G387" s="318"/>
      <c r="H387" s="318"/>
      <c r="I387" s="318"/>
    </row>
    <row r="388" ht="12.75" customHeight="1" spans="1:9">
      <c r="A388" s="314">
        <v>42</v>
      </c>
      <c r="B388" s="286">
        <v>252610046</v>
      </c>
      <c r="C388" s="439" t="s">
        <v>1469</v>
      </c>
      <c r="D388" s="441" t="s">
        <v>1470</v>
      </c>
      <c r="E388" s="314" t="s">
        <v>18</v>
      </c>
      <c r="F388" s="318"/>
      <c r="G388" s="318"/>
      <c r="H388" s="318"/>
      <c r="I388" s="318"/>
    </row>
    <row r="389" ht="12.75" customHeight="1" spans="1:9">
      <c r="A389" s="314">
        <v>43</v>
      </c>
      <c r="B389" s="276">
        <v>252610425</v>
      </c>
      <c r="C389" s="371" t="s">
        <v>1471</v>
      </c>
      <c r="D389" s="431" t="s">
        <v>1472</v>
      </c>
      <c r="E389" s="341" t="s">
        <v>18</v>
      </c>
      <c r="F389" s="318"/>
      <c r="G389" s="318"/>
      <c r="H389" s="318"/>
      <c r="I389" s="318"/>
    </row>
    <row r="390" ht="12.75" customHeight="1" spans="1:9">
      <c r="A390" s="314">
        <v>44</v>
      </c>
      <c r="B390" s="278">
        <v>252610284</v>
      </c>
      <c r="C390" s="371" t="s">
        <v>1473</v>
      </c>
      <c r="D390" s="431" t="s">
        <v>1474</v>
      </c>
      <c r="E390" s="341" t="s">
        <v>23</v>
      </c>
      <c r="F390" s="318"/>
      <c r="G390" s="318"/>
      <c r="H390" s="318"/>
      <c r="I390" s="318"/>
    </row>
    <row r="391" ht="12.75" customHeight="1" spans="1:9">
      <c r="A391" s="314">
        <v>45</v>
      </c>
      <c r="B391" s="276">
        <v>252610190</v>
      </c>
      <c r="C391" s="371" t="s">
        <v>1475</v>
      </c>
      <c r="D391" s="431" t="s">
        <v>1476</v>
      </c>
      <c r="E391" s="341" t="s">
        <v>18</v>
      </c>
      <c r="F391" s="318"/>
      <c r="G391" s="318"/>
      <c r="H391" s="318"/>
      <c r="I391" s="318"/>
    </row>
    <row r="392" ht="12.75" customHeight="1" spans="1:9">
      <c r="A392" s="314">
        <v>46</v>
      </c>
      <c r="B392" s="278">
        <v>252610382</v>
      </c>
      <c r="C392" s="371" t="s">
        <v>1477</v>
      </c>
      <c r="D392" s="431" t="s">
        <v>1478</v>
      </c>
      <c r="E392" s="341" t="s">
        <v>18</v>
      </c>
      <c r="F392" s="318"/>
      <c r="G392" s="318"/>
      <c r="H392" s="318"/>
      <c r="I392" s="318"/>
    </row>
    <row r="393" ht="12.75" customHeight="1" spans="1:9">
      <c r="A393" s="314">
        <v>47</v>
      </c>
      <c r="B393" s="276">
        <v>252610288</v>
      </c>
      <c r="C393" s="371" t="s">
        <v>1479</v>
      </c>
      <c r="D393" s="431" t="s">
        <v>1480</v>
      </c>
      <c r="E393" s="341" t="s">
        <v>18</v>
      </c>
      <c r="F393" s="318"/>
      <c r="G393" s="318"/>
      <c r="H393" s="318"/>
      <c r="I393" s="318"/>
    </row>
    <row r="394" s="289" customFormat="1" ht="12.75" customHeight="1" spans="1:9">
      <c r="A394" s="293"/>
      <c r="B394" s="344"/>
      <c r="C394" s="345"/>
      <c r="D394" s="379" t="s">
        <v>1481</v>
      </c>
      <c r="E394" s="347">
        <f>COUNTIF(E347:E393,"L")</f>
        <v>21</v>
      </c>
    </row>
    <row r="395" s="289" customFormat="1" ht="12.75" customHeight="1" spans="1:9">
      <c r="A395" s="293"/>
      <c r="B395" s="333"/>
      <c r="C395" s="345"/>
      <c r="D395" s="346" t="s">
        <v>90</v>
      </c>
      <c r="E395" s="347">
        <f>COUNTIF(E347:E393,"P")</f>
        <v>26</v>
      </c>
    </row>
    <row r="396" s="289" customFormat="1" ht="12.75" customHeight="1" spans="1:9">
      <c r="A396" s="293"/>
      <c r="B396" s="334" t="s">
        <v>91</v>
      </c>
      <c r="C396" s="423"/>
      <c r="D396" s="304"/>
      <c r="E396" s="293"/>
      <c r="F396" s="289" t="s">
        <v>92</v>
      </c>
    </row>
    <row r="397" s="289" customFormat="1" ht="12.75" customHeight="1" spans="1:9">
      <c r="A397" s="293"/>
      <c r="B397" s="334"/>
      <c r="C397" s="423"/>
      <c r="D397" s="304"/>
      <c r="E397" s="293"/>
    </row>
    <row r="398" s="289" customFormat="1" ht="12.75" customHeight="1" spans="1:9">
      <c r="A398" s="293"/>
      <c r="B398" s="334"/>
      <c r="C398" s="423"/>
      <c r="D398" s="304"/>
      <c r="E398" s="293"/>
    </row>
    <row r="399" s="289" customFormat="1" ht="12.75" customHeight="1" spans="1:9">
      <c r="A399" s="293"/>
      <c r="B399" s="334"/>
      <c r="C399" s="423"/>
      <c r="D399" s="304"/>
      <c r="E399" s="293"/>
    </row>
    <row r="400" s="289" customFormat="1" ht="12.75" customHeight="1" spans="1:9">
      <c r="A400" s="293"/>
      <c r="B400" s="338" t="s">
        <v>93</v>
      </c>
      <c r="C400" s="423"/>
      <c r="D400" s="304"/>
      <c r="E400" s="293"/>
      <c r="F400" s="289" t="s">
        <v>94</v>
      </c>
    </row>
    <row r="401" s="289" customFormat="1" ht="12.75" customHeight="1" spans="1:9">
      <c r="A401" s="293"/>
      <c r="B401" s="339" t="s">
        <v>95</v>
      </c>
      <c r="C401" s="423"/>
      <c r="D401" s="304"/>
      <c r="E401" s="293"/>
    </row>
    <row r="402" s="289" customFormat="1" ht="12.75" customHeight="1" spans="1:9">
      <c r="A402" s="293"/>
      <c r="B402" s="339"/>
      <c r="C402" s="423"/>
      <c r="D402" s="304"/>
      <c r="E402" s="293"/>
    </row>
    <row r="403" ht="12.75" customHeight="1" spans="1:9">
      <c r="A403" s="297" t="s">
        <v>1</v>
      </c>
      <c r="B403" s="297"/>
      <c r="C403" s="297"/>
      <c r="D403" s="297"/>
      <c r="E403" s="297"/>
      <c r="F403" s="297"/>
      <c r="G403" s="297"/>
      <c r="H403" s="297"/>
      <c r="I403" s="297"/>
    </row>
    <row r="404" ht="12.75" customHeight="1" spans="1:9">
      <c r="A404" s="297" t="s">
        <v>2</v>
      </c>
      <c r="B404" s="297"/>
      <c r="C404" s="297"/>
      <c r="D404" s="297"/>
      <c r="E404" s="297"/>
      <c r="F404" s="297"/>
      <c r="G404" s="297"/>
      <c r="H404" s="297"/>
      <c r="I404" s="297"/>
    </row>
    <row r="405" ht="12.75" customHeight="1" spans="1:9">
      <c r="A405" s="297" t="s">
        <v>3</v>
      </c>
      <c r="B405" s="297"/>
      <c r="C405" s="297"/>
      <c r="D405" s="297"/>
      <c r="E405" s="297"/>
      <c r="F405" s="297"/>
      <c r="G405" s="297"/>
      <c r="H405" s="297"/>
      <c r="I405" s="297"/>
    </row>
    <row r="406" s="291" customFormat="1" ht="16.5" customHeight="1" spans="1:9">
      <c r="A406" s="298" t="s">
        <v>4</v>
      </c>
      <c r="B406" s="298"/>
      <c r="C406" s="298"/>
      <c r="D406" s="298"/>
      <c r="E406" s="298"/>
      <c r="F406" s="298"/>
      <c r="G406" s="298"/>
      <c r="H406" s="298"/>
      <c r="I406" s="298"/>
    </row>
    <row r="407" ht="12.75" customHeight="1" spans="1:9">
      <c r="A407" s="299" t="s">
        <v>5</v>
      </c>
      <c r="B407" s="299"/>
      <c r="C407" s="299"/>
      <c r="D407" s="299"/>
      <c r="E407" s="299"/>
      <c r="F407" s="299"/>
      <c r="G407" s="299"/>
      <c r="H407" s="299"/>
      <c r="I407" s="299"/>
    </row>
    <row r="408" customHeight="1" spans="1:9">
      <c r="A408" s="299"/>
      <c r="B408" s="299"/>
      <c r="C408" s="299"/>
      <c r="D408" s="299"/>
      <c r="E408" s="299"/>
      <c r="F408" s="299"/>
      <c r="G408" s="299"/>
      <c r="H408" s="299"/>
      <c r="I408" s="299"/>
    </row>
    <row r="409" ht="12.75" customHeight="1" spans="1:9">
      <c r="A409" s="299"/>
      <c r="B409" s="299"/>
      <c r="C409" s="299"/>
      <c r="D409" s="299"/>
      <c r="E409" s="299"/>
      <c r="F409" s="299"/>
      <c r="G409" s="299"/>
      <c r="H409" s="299"/>
      <c r="I409" s="299"/>
    </row>
    <row r="410" s="289" customFormat="1" ht="12.75" customHeight="1" spans="1:9">
      <c r="A410" s="300" t="s">
        <v>6</v>
      </c>
      <c r="B410" s="300"/>
      <c r="C410" s="300"/>
      <c r="D410" s="300"/>
      <c r="E410" s="300"/>
      <c r="F410" s="300"/>
      <c r="G410" s="300"/>
      <c r="H410" s="300"/>
      <c r="I410" s="300"/>
    </row>
    <row r="411" s="289" customFormat="1" ht="12.75" customHeight="1" spans="1:9">
      <c r="A411" s="300"/>
      <c r="B411" s="300"/>
      <c r="C411" s="300"/>
      <c r="D411" s="300"/>
      <c r="E411" s="300"/>
      <c r="F411" s="300"/>
      <c r="G411" s="300"/>
      <c r="H411" s="300"/>
      <c r="I411" s="300"/>
    </row>
    <row r="412" s="289" customFormat="1" ht="12.75" customHeight="1" spans="1:9">
      <c r="A412" s="301"/>
      <c r="B412" s="302" t="s">
        <v>1482</v>
      </c>
      <c r="C412" s="406"/>
      <c r="D412" s="304"/>
      <c r="E412" s="407" t="s">
        <v>8</v>
      </c>
      <c r="F412" s="306" t="s">
        <v>1483</v>
      </c>
    </row>
    <row r="413" s="289" customFormat="1" ht="19.5" customHeight="1" spans="1:9">
      <c r="A413" s="307" t="s">
        <v>10</v>
      </c>
      <c r="B413" s="308" t="s">
        <v>11</v>
      </c>
      <c r="C413" s="309" t="s">
        <v>12</v>
      </c>
      <c r="D413" s="308" t="s">
        <v>13</v>
      </c>
      <c r="E413" s="308" t="s">
        <v>14</v>
      </c>
      <c r="F413" s="310"/>
      <c r="G413" s="310"/>
      <c r="H413" s="310"/>
      <c r="I413" s="310"/>
    </row>
    <row r="414" ht="12.75" customHeight="1" spans="1:9">
      <c r="A414" s="314">
        <v>1</v>
      </c>
      <c r="B414" s="278">
        <v>252610241</v>
      </c>
      <c r="C414" s="371" t="s">
        <v>1484</v>
      </c>
      <c r="D414" s="431" t="s">
        <v>1485</v>
      </c>
      <c r="E414" s="341" t="s">
        <v>23</v>
      </c>
      <c r="F414" s="317"/>
      <c r="G414" s="318"/>
      <c r="H414" s="318"/>
      <c r="I414" s="318"/>
    </row>
    <row r="415" s="291" customFormat="1" ht="12.75" customHeight="1" spans="1:9">
      <c r="A415" s="314">
        <v>2</v>
      </c>
      <c r="B415" s="276">
        <v>252610483</v>
      </c>
      <c r="C415" s="371" t="s">
        <v>1486</v>
      </c>
      <c r="D415" s="431" t="s">
        <v>1487</v>
      </c>
      <c r="E415" s="341" t="s">
        <v>23</v>
      </c>
      <c r="F415" s="317"/>
      <c r="G415" s="318"/>
      <c r="H415" s="318"/>
      <c r="I415" s="318"/>
    </row>
    <row r="416" ht="12.75" customHeight="1" spans="1:9">
      <c r="A416" s="314">
        <v>3</v>
      </c>
      <c r="B416" s="278">
        <v>252610531</v>
      </c>
      <c r="C416" s="371" t="s">
        <v>1488</v>
      </c>
      <c r="D416" s="431" t="s">
        <v>1489</v>
      </c>
      <c r="E416" s="341" t="s">
        <v>23</v>
      </c>
      <c r="F416" s="317"/>
      <c r="G416" s="318"/>
      <c r="H416" s="318"/>
      <c r="I416" s="318"/>
    </row>
    <row r="417" ht="12.75" customHeight="1" spans="1:9">
      <c r="A417" s="314">
        <v>4</v>
      </c>
      <c r="B417" s="276">
        <v>252610193</v>
      </c>
      <c r="C417" s="371" t="s">
        <v>1490</v>
      </c>
      <c r="D417" s="431" t="s">
        <v>1491</v>
      </c>
      <c r="E417" s="341" t="s">
        <v>23</v>
      </c>
      <c r="F417" s="317"/>
      <c r="G417" s="318"/>
      <c r="H417" s="318"/>
      <c r="I417" s="318"/>
    </row>
    <row r="418" ht="12.75" customHeight="1" spans="1:9">
      <c r="A418" s="314">
        <v>5</v>
      </c>
      <c r="B418" s="286">
        <v>252610005</v>
      </c>
      <c r="C418" s="439" t="s">
        <v>1492</v>
      </c>
      <c r="D418" s="440" t="s">
        <v>1493</v>
      </c>
      <c r="E418" s="314" t="s">
        <v>23</v>
      </c>
      <c r="F418" s="317"/>
      <c r="G418" s="318"/>
      <c r="H418" s="318"/>
      <c r="I418" s="318"/>
    </row>
    <row r="419" ht="12.75" customHeight="1" spans="1:9">
      <c r="A419" s="314">
        <v>6</v>
      </c>
      <c r="B419" s="278">
        <v>252610051</v>
      </c>
      <c r="C419" s="371" t="s">
        <v>1494</v>
      </c>
      <c r="D419" s="431" t="s">
        <v>1495</v>
      </c>
      <c r="E419" s="341" t="s">
        <v>23</v>
      </c>
      <c r="F419" s="317"/>
      <c r="G419" s="318"/>
      <c r="H419" s="318"/>
      <c r="I419" s="318"/>
    </row>
    <row r="420" ht="12.75" customHeight="1" spans="1:9">
      <c r="A420" s="314">
        <v>7</v>
      </c>
      <c r="B420" s="276">
        <v>252610339</v>
      </c>
      <c r="C420" s="371" t="s">
        <v>1496</v>
      </c>
      <c r="D420" s="431" t="s">
        <v>1497</v>
      </c>
      <c r="E420" s="341" t="s">
        <v>23</v>
      </c>
      <c r="F420" s="317"/>
      <c r="G420" s="318"/>
      <c r="H420" s="318"/>
      <c r="I420" s="318"/>
    </row>
    <row r="421" ht="12.75" customHeight="1" spans="1:9">
      <c r="A421" s="314">
        <v>8</v>
      </c>
      <c r="B421" s="278">
        <v>252610294</v>
      </c>
      <c r="C421" s="356" t="s">
        <v>1498</v>
      </c>
      <c r="D421" s="431" t="s">
        <v>1499</v>
      </c>
      <c r="E421" s="341" t="s">
        <v>23</v>
      </c>
      <c r="F421" s="317"/>
      <c r="G421" s="318"/>
      <c r="H421" s="318"/>
      <c r="I421" s="318"/>
    </row>
    <row r="422" ht="12.75" customHeight="1" spans="1:9">
      <c r="A422" s="314">
        <v>9</v>
      </c>
      <c r="B422" s="284">
        <v>252610010</v>
      </c>
      <c r="C422" s="439" t="s">
        <v>1500</v>
      </c>
      <c r="D422" s="440" t="s">
        <v>1501</v>
      </c>
      <c r="E422" s="314" t="s">
        <v>18</v>
      </c>
      <c r="F422" s="317"/>
      <c r="G422" s="318"/>
      <c r="H422" s="318"/>
      <c r="I422" s="318"/>
    </row>
    <row r="423" ht="12.75" customHeight="1" spans="1:9">
      <c r="A423" s="314">
        <v>10</v>
      </c>
      <c r="B423" s="278">
        <v>252610055</v>
      </c>
      <c r="C423" s="356" t="s">
        <v>1502</v>
      </c>
      <c r="D423" s="431" t="s">
        <v>1503</v>
      </c>
      <c r="E423" s="341" t="s">
        <v>18</v>
      </c>
      <c r="F423" s="317"/>
      <c r="G423" s="318"/>
      <c r="H423" s="318"/>
      <c r="I423" s="318"/>
    </row>
    <row r="424" ht="12.75" customHeight="1" spans="1:9">
      <c r="A424" s="314">
        <v>11</v>
      </c>
      <c r="B424" s="276">
        <v>252610391</v>
      </c>
      <c r="C424" s="356" t="s">
        <v>1504</v>
      </c>
      <c r="D424" s="431" t="s">
        <v>1505</v>
      </c>
      <c r="E424" s="341" t="s">
        <v>23</v>
      </c>
      <c r="F424" s="317"/>
      <c r="G424" s="318"/>
      <c r="H424" s="318"/>
      <c r="I424" s="318"/>
    </row>
    <row r="425" ht="12.75" customHeight="1" spans="1:9">
      <c r="A425" s="314">
        <v>12</v>
      </c>
      <c r="B425" s="278">
        <v>252610392</v>
      </c>
      <c r="C425" s="371" t="s">
        <v>1506</v>
      </c>
      <c r="D425" s="431" t="s">
        <v>1507</v>
      </c>
      <c r="E425" s="341" t="s">
        <v>18</v>
      </c>
      <c r="F425" s="317"/>
      <c r="G425" s="318"/>
      <c r="H425" s="318"/>
      <c r="I425" s="318"/>
    </row>
    <row r="426" ht="12.75" customHeight="1" spans="1:9">
      <c r="A426" s="314">
        <v>13</v>
      </c>
      <c r="B426" s="278">
        <v>252610058</v>
      </c>
      <c r="C426" s="371" t="s">
        <v>1508</v>
      </c>
      <c r="D426" s="431" t="s">
        <v>1509</v>
      </c>
      <c r="E426" s="341" t="s">
        <v>18</v>
      </c>
      <c r="F426" s="317"/>
      <c r="G426" s="318"/>
      <c r="H426" s="318"/>
      <c r="I426" s="318"/>
    </row>
    <row r="427" ht="12.75" customHeight="1" spans="1:9">
      <c r="A427" s="314">
        <v>14</v>
      </c>
      <c r="B427" s="276">
        <v>252610205</v>
      </c>
      <c r="C427" s="371" t="s">
        <v>1510</v>
      </c>
      <c r="D427" s="431" t="s">
        <v>1511</v>
      </c>
      <c r="E427" s="341" t="s">
        <v>23</v>
      </c>
      <c r="F427" s="317"/>
      <c r="G427" s="318"/>
      <c r="H427" s="318"/>
      <c r="I427" s="318"/>
    </row>
    <row r="428" ht="12.75" customHeight="1" spans="1:9">
      <c r="A428" s="314">
        <v>15</v>
      </c>
      <c r="B428" s="278">
        <v>252610302</v>
      </c>
      <c r="C428" s="356" t="s">
        <v>1512</v>
      </c>
      <c r="D428" s="431" t="s">
        <v>1513</v>
      </c>
      <c r="E428" s="341" t="s">
        <v>23</v>
      </c>
      <c r="F428" s="317"/>
      <c r="G428" s="318"/>
      <c r="H428" s="318"/>
      <c r="I428" s="318"/>
    </row>
    <row r="429" ht="12.75" customHeight="1" spans="1:9">
      <c r="A429" s="314">
        <v>16</v>
      </c>
      <c r="B429" s="276">
        <v>252610349</v>
      </c>
      <c r="C429" s="371" t="s">
        <v>1514</v>
      </c>
      <c r="D429" s="431" t="s">
        <v>1515</v>
      </c>
      <c r="E429" s="341" t="s">
        <v>23</v>
      </c>
      <c r="F429" s="317"/>
      <c r="G429" s="318"/>
      <c r="H429" s="318"/>
      <c r="I429" s="318"/>
    </row>
    <row r="430" ht="12.75" customHeight="1" spans="1:9">
      <c r="A430" s="314">
        <v>17</v>
      </c>
      <c r="B430" s="278">
        <v>252610257</v>
      </c>
      <c r="C430" s="371" t="s">
        <v>1516</v>
      </c>
      <c r="D430" s="438" t="s">
        <v>1517</v>
      </c>
      <c r="E430" s="341" t="s">
        <v>23</v>
      </c>
      <c r="F430" s="317"/>
      <c r="G430" s="318"/>
      <c r="H430" s="318"/>
      <c r="I430" s="318"/>
    </row>
    <row r="431" ht="12.75" customHeight="1" spans="1:9">
      <c r="A431" s="314">
        <v>18</v>
      </c>
      <c r="B431" s="276">
        <v>252610305</v>
      </c>
      <c r="C431" s="371" t="s">
        <v>1518</v>
      </c>
      <c r="D431" s="431" t="s">
        <v>1519</v>
      </c>
      <c r="E431" s="341" t="s">
        <v>23</v>
      </c>
      <c r="F431" s="317"/>
      <c r="G431" s="318"/>
      <c r="H431" s="318"/>
      <c r="I431" s="318"/>
    </row>
    <row r="432" ht="12.75" customHeight="1" spans="1:9">
      <c r="A432" s="314">
        <v>19</v>
      </c>
      <c r="B432" s="278">
        <v>252610068</v>
      </c>
      <c r="C432" s="371" t="s">
        <v>1520</v>
      </c>
      <c r="D432" s="431" t="s">
        <v>1521</v>
      </c>
      <c r="E432" s="341" t="s">
        <v>18</v>
      </c>
      <c r="F432" s="317"/>
      <c r="G432" s="318"/>
      <c r="H432" s="318"/>
      <c r="I432" s="318"/>
    </row>
    <row r="433" ht="12.75" customHeight="1" spans="1:9">
      <c r="A433" s="314">
        <v>20</v>
      </c>
      <c r="B433" s="276">
        <v>252610496</v>
      </c>
      <c r="C433" s="371" t="s">
        <v>1522</v>
      </c>
      <c r="D433" s="431" t="s">
        <v>1523</v>
      </c>
      <c r="E433" s="341" t="s">
        <v>18</v>
      </c>
      <c r="F433" s="317"/>
      <c r="G433" s="318"/>
      <c r="H433" s="318"/>
      <c r="I433" s="318"/>
    </row>
    <row r="434" ht="12.75" customHeight="1" spans="1:9">
      <c r="A434" s="314">
        <v>21</v>
      </c>
      <c r="B434" s="278">
        <v>252610451</v>
      </c>
      <c r="C434" s="371" t="s">
        <v>1524</v>
      </c>
      <c r="D434" s="431" t="s">
        <v>1525</v>
      </c>
      <c r="E434" s="341" t="s">
        <v>18</v>
      </c>
      <c r="F434" s="317"/>
      <c r="G434" s="318"/>
      <c r="H434" s="318"/>
      <c r="I434" s="318"/>
    </row>
    <row r="435" ht="12.75" customHeight="1" spans="1:9">
      <c r="A435" s="314">
        <v>22</v>
      </c>
      <c r="B435" s="284">
        <v>252610026</v>
      </c>
      <c r="C435" s="439" t="s">
        <v>1526</v>
      </c>
      <c r="D435" s="440" t="s">
        <v>1527</v>
      </c>
      <c r="E435" s="314" t="s">
        <v>23</v>
      </c>
      <c r="F435" s="317"/>
      <c r="G435" s="318"/>
      <c r="H435" s="318"/>
      <c r="I435" s="318"/>
    </row>
    <row r="436" ht="12.75" customHeight="1" spans="1:9">
      <c r="A436" s="314">
        <v>23</v>
      </c>
      <c r="B436" s="278">
        <v>252610168</v>
      </c>
      <c r="C436" s="371" t="s">
        <v>1528</v>
      </c>
      <c r="D436" s="431" t="s">
        <v>1529</v>
      </c>
      <c r="E436" s="341" t="s">
        <v>23</v>
      </c>
      <c r="F436" s="317"/>
      <c r="G436" s="318"/>
      <c r="H436" s="318"/>
      <c r="I436" s="318"/>
    </row>
    <row r="437" ht="12.75" customHeight="1" spans="1:9">
      <c r="A437" s="314">
        <v>24</v>
      </c>
      <c r="B437" s="276">
        <v>252610500</v>
      </c>
      <c r="C437" s="371" t="s">
        <v>1530</v>
      </c>
      <c r="D437" s="431" t="s">
        <v>1531</v>
      </c>
      <c r="E437" s="341" t="s">
        <v>23</v>
      </c>
      <c r="F437" s="317"/>
      <c r="G437" s="318"/>
      <c r="H437" s="318"/>
      <c r="I437" s="318"/>
    </row>
    <row r="438" ht="12.75" customHeight="1" spans="1:9">
      <c r="A438" s="314">
        <v>25</v>
      </c>
      <c r="B438" s="278">
        <v>252610072</v>
      </c>
      <c r="C438" s="371" t="s">
        <v>1532</v>
      </c>
      <c r="D438" s="431" t="s">
        <v>1533</v>
      </c>
      <c r="E438" s="341" t="s">
        <v>23</v>
      </c>
      <c r="F438" s="317"/>
      <c r="G438" s="318"/>
      <c r="H438" s="318"/>
      <c r="I438" s="318"/>
    </row>
    <row r="439" ht="12.75" customHeight="1" spans="1:9">
      <c r="A439" s="314">
        <v>26</v>
      </c>
      <c r="B439" s="276">
        <v>252610362</v>
      </c>
      <c r="C439" s="371" t="s">
        <v>1534</v>
      </c>
      <c r="D439" s="431" t="s">
        <v>1535</v>
      </c>
      <c r="E439" s="341" t="s">
        <v>23</v>
      </c>
      <c r="F439" s="317"/>
      <c r="G439" s="318"/>
      <c r="H439" s="318"/>
      <c r="I439" s="318"/>
    </row>
    <row r="440" ht="12.75" customHeight="1" spans="1:9">
      <c r="A440" s="314">
        <v>27</v>
      </c>
      <c r="B440" s="278">
        <v>252610363</v>
      </c>
      <c r="C440" s="371" t="s">
        <v>1536</v>
      </c>
      <c r="D440" s="431" t="s">
        <v>1537</v>
      </c>
      <c r="E440" s="341" t="s">
        <v>23</v>
      </c>
      <c r="F440" s="317"/>
      <c r="G440" s="318"/>
      <c r="H440" s="318"/>
      <c r="I440" s="318"/>
    </row>
    <row r="441" ht="12.75" customHeight="1" spans="1:9">
      <c r="A441" s="314">
        <v>28</v>
      </c>
      <c r="B441" s="276">
        <v>252610458</v>
      </c>
      <c r="C441" s="371" t="s">
        <v>1538</v>
      </c>
      <c r="D441" s="431" t="s">
        <v>1539</v>
      </c>
      <c r="E441" s="341" t="s">
        <v>23</v>
      </c>
      <c r="F441" s="317"/>
      <c r="G441" s="318"/>
      <c r="H441" s="318"/>
      <c r="I441" s="318"/>
    </row>
    <row r="442" ht="12.75" customHeight="1" spans="1:9">
      <c r="A442" s="314">
        <v>29</v>
      </c>
      <c r="B442" s="278">
        <v>252610557</v>
      </c>
      <c r="C442" s="371" t="s">
        <v>1540</v>
      </c>
      <c r="D442" s="431" t="s">
        <v>1541</v>
      </c>
      <c r="E442" s="341" t="s">
        <v>23</v>
      </c>
      <c r="F442" s="317"/>
      <c r="G442" s="318"/>
      <c r="H442" s="318"/>
      <c r="I442" s="318"/>
    </row>
    <row r="443" ht="12.75" customHeight="1" spans="1:9">
      <c r="A443" s="314">
        <v>30</v>
      </c>
      <c r="B443" s="276">
        <v>252610365</v>
      </c>
      <c r="C443" s="371" t="s">
        <v>1542</v>
      </c>
      <c r="D443" s="431" t="s">
        <v>1543</v>
      </c>
      <c r="E443" s="341" t="s">
        <v>18</v>
      </c>
      <c r="F443" s="317"/>
      <c r="G443" s="318"/>
      <c r="H443" s="318"/>
      <c r="I443" s="318"/>
    </row>
    <row r="444" ht="12.75" customHeight="1" spans="1:9">
      <c r="A444" s="314">
        <v>31</v>
      </c>
      <c r="B444" s="278">
        <v>252610220</v>
      </c>
      <c r="C444" s="371" t="s">
        <v>1544</v>
      </c>
      <c r="D444" s="431" t="s">
        <v>1545</v>
      </c>
      <c r="E444" s="343" t="s">
        <v>18</v>
      </c>
      <c r="F444" s="317"/>
      <c r="G444" s="318"/>
      <c r="H444" s="318"/>
      <c r="I444" s="318"/>
    </row>
    <row r="445" ht="12.75" customHeight="1" spans="1:9">
      <c r="A445" s="314">
        <v>32</v>
      </c>
      <c r="B445" s="276">
        <v>252610460</v>
      </c>
      <c r="C445" s="371" t="s">
        <v>1546</v>
      </c>
      <c r="D445" s="431" t="s">
        <v>1547</v>
      </c>
      <c r="E445" s="343" t="s">
        <v>18</v>
      </c>
      <c r="F445" s="317"/>
      <c r="G445" s="318"/>
      <c r="H445" s="318"/>
      <c r="I445" s="318"/>
    </row>
    <row r="446" ht="12.75" customHeight="1" spans="1:9">
      <c r="A446" s="314">
        <v>33</v>
      </c>
      <c r="B446" s="286">
        <v>252610033</v>
      </c>
      <c r="C446" s="439" t="s">
        <v>1548</v>
      </c>
      <c r="D446" s="440" t="s">
        <v>1549</v>
      </c>
      <c r="E446" s="314" t="s">
        <v>18</v>
      </c>
      <c r="F446" s="317"/>
      <c r="G446" s="318"/>
      <c r="H446" s="318"/>
      <c r="I446" s="318"/>
    </row>
    <row r="447" ht="12.75" customHeight="1" spans="1:9">
      <c r="A447" s="314">
        <v>34</v>
      </c>
      <c r="B447" s="276">
        <v>252610563</v>
      </c>
      <c r="C447" s="371" t="s">
        <v>1550</v>
      </c>
      <c r="D447" s="431" t="s">
        <v>1551</v>
      </c>
      <c r="E447" s="341" t="s">
        <v>18</v>
      </c>
      <c r="F447" s="326"/>
      <c r="G447" s="327"/>
      <c r="H447" s="327"/>
      <c r="I447" s="327"/>
    </row>
    <row r="448" ht="12.75" customHeight="1" spans="1:9">
      <c r="A448" s="314">
        <v>35</v>
      </c>
      <c r="B448" s="278">
        <v>252610131</v>
      </c>
      <c r="C448" s="371" t="s">
        <v>1552</v>
      </c>
      <c r="D448" s="431" t="s">
        <v>1553</v>
      </c>
      <c r="E448" s="341" t="s">
        <v>23</v>
      </c>
      <c r="F448" s="318"/>
      <c r="G448" s="318"/>
      <c r="H448" s="318"/>
      <c r="I448" s="318"/>
    </row>
    <row r="449" ht="12.75" customHeight="1" spans="1:9">
      <c r="A449" s="314">
        <v>36</v>
      </c>
      <c r="B449" s="276">
        <v>252610276</v>
      </c>
      <c r="C449" s="371" t="s">
        <v>1554</v>
      </c>
      <c r="D449" s="431" t="s">
        <v>1555</v>
      </c>
      <c r="E449" s="341" t="s">
        <v>23</v>
      </c>
      <c r="F449" s="318"/>
      <c r="G449" s="318"/>
      <c r="H449" s="318"/>
      <c r="I449" s="318"/>
    </row>
    <row r="450" ht="12.75" customHeight="1" spans="1:9">
      <c r="A450" s="314">
        <v>37</v>
      </c>
      <c r="B450" s="442" t="s">
        <v>1556</v>
      </c>
      <c r="C450" s="371"/>
      <c r="D450" s="431" t="s">
        <v>1557</v>
      </c>
      <c r="E450" s="341" t="s">
        <v>23</v>
      </c>
      <c r="F450" s="318"/>
      <c r="G450" s="318"/>
      <c r="H450" s="318"/>
      <c r="I450" s="318"/>
    </row>
    <row r="451" ht="12.75" customHeight="1" spans="1:9">
      <c r="A451" s="314">
        <v>38</v>
      </c>
      <c r="B451" s="284">
        <v>252610039</v>
      </c>
      <c r="C451" s="439" t="s">
        <v>1558</v>
      </c>
      <c r="D451" s="441" t="s">
        <v>1559</v>
      </c>
      <c r="E451" s="314" t="s">
        <v>23</v>
      </c>
      <c r="F451" s="318"/>
      <c r="G451" s="318"/>
      <c r="H451" s="318"/>
      <c r="I451" s="318"/>
    </row>
    <row r="452" ht="12.75" customHeight="1" spans="1:9">
      <c r="A452" s="314">
        <v>39</v>
      </c>
      <c r="B452" s="278">
        <v>252610185</v>
      </c>
      <c r="C452" s="371" t="s">
        <v>1560</v>
      </c>
      <c r="D452" s="431" t="s">
        <v>1561</v>
      </c>
      <c r="E452" s="341" t="s">
        <v>18</v>
      </c>
      <c r="F452" s="318"/>
      <c r="G452" s="318"/>
      <c r="H452" s="318"/>
      <c r="I452" s="318"/>
    </row>
    <row r="453" ht="12.75" customHeight="1" spans="1:9">
      <c r="A453" s="314">
        <v>40</v>
      </c>
      <c r="B453" s="276">
        <v>252610324</v>
      </c>
      <c r="C453" s="371" t="s">
        <v>1562</v>
      </c>
      <c r="D453" s="431" t="s">
        <v>1563</v>
      </c>
      <c r="E453" s="341" t="s">
        <v>23</v>
      </c>
      <c r="F453" s="318"/>
      <c r="G453" s="318"/>
      <c r="H453" s="318"/>
      <c r="I453" s="318"/>
    </row>
    <row r="454" ht="12.75" customHeight="1" spans="1:9">
      <c r="A454" s="314">
        <v>41</v>
      </c>
      <c r="B454" s="278">
        <v>252610136</v>
      </c>
      <c r="C454" s="371" t="s">
        <v>1564</v>
      </c>
      <c r="D454" s="431" t="s">
        <v>1565</v>
      </c>
      <c r="E454" s="341" t="s">
        <v>23</v>
      </c>
      <c r="F454" s="318"/>
      <c r="G454" s="318"/>
      <c r="H454" s="318"/>
      <c r="I454" s="318"/>
    </row>
    <row r="455" ht="12.75" customHeight="1" spans="1:9">
      <c r="A455" s="314">
        <v>42</v>
      </c>
      <c r="B455" s="276">
        <v>252610519</v>
      </c>
      <c r="C455" s="371" t="s">
        <v>1566</v>
      </c>
      <c r="D455" s="431" t="s">
        <v>1567</v>
      </c>
      <c r="E455" s="341" t="s">
        <v>23</v>
      </c>
      <c r="F455" s="318"/>
      <c r="G455" s="318"/>
      <c r="H455" s="318"/>
      <c r="I455" s="318"/>
    </row>
    <row r="456" ht="12.75" customHeight="1" spans="1:9">
      <c r="A456" s="314">
        <v>43</v>
      </c>
      <c r="B456" s="278">
        <v>252610139</v>
      </c>
      <c r="C456" s="371" t="s">
        <v>1568</v>
      </c>
      <c r="D456" s="431" t="s">
        <v>1569</v>
      </c>
      <c r="E456" s="341" t="s">
        <v>18</v>
      </c>
      <c r="F456" s="318"/>
      <c r="G456" s="318"/>
      <c r="H456" s="318"/>
      <c r="I456" s="318"/>
    </row>
    <row r="457" ht="12.75" customHeight="1" spans="1:9">
      <c r="A457" s="314">
        <v>44</v>
      </c>
      <c r="B457" s="276">
        <v>252610188</v>
      </c>
      <c r="C457" s="371" t="s">
        <v>1570</v>
      </c>
      <c r="D457" s="431" t="s">
        <v>1571</v>
      </c>
      <c r="E457" s="341" t="s">
        <v>18</v>
      </c>
      <c r="F457" s="318"/>
      <c r="G457" s="318"/>
      <c r="H457" s="318"/>
      <c r="I457" s="318"/>
    </row>
    <row r="458" ht="12.75" customHeight="1" spans="1:9">
      <c r="A458" s="314">
        <v>45</v>
      </c>
      <c r="B458" s="278">
        <v>252610427</v>
      </c>
      <c r="C458" s="371" t="s">
        <v>1572</v>
      </c>
      <c r="D458" s="431" t="s">
        <v>1573</v>
      </c>
      <c r="E458" s="341" t="s">
        <v>23</v>
      </c>
      <c r="F458" s="318"/>
      <c r="G458" s="318"/>
      <c r="H458" s="318"/>
      <c r="I458" s="318"/>
    </row>
    <row r="459" ht="12.75" customHeight="1" spans="1:9">
      <c r="A459" s="314">
        <v>46</v>
      </c>
      <c r="B459" s="276">
        <v>252610573</v>
      </c>
      <c r="C459" s="443" t="s">
        <v>1574</v>
      </c>
      <c r="D459" s="444" t="s">
        <v>1575</v>
      </c>
      <c r="E459" s="445" t="s">
        <v>18</v>
      </c>
      <c r="F459" s="318"/>
      <c r="G459" s="318"/>
      <c r="H459" s="318"/>
      <c r="I459" s="318"/>
    </row>
    <row r="460" ht="12.75" customHeight="1" spans="1:9">
      <c r="A460" s="314">
        <v>47</v>
      </c>
      <c r="B460" s="278">
        <v>252610480</v>
      </c>
      <c r="C460" s="371" t="s">
        <v>1576</v>
      </c>
      <c r="D460" s="431" t="s">
        <v>1577</v>
      </c>
      <c r="E460" s="341" t="s">
        <v>18</v>
      </c>
      <c r="F460" s="318"/>
      <c r="G460" s="318"/>
      <c r="H460" s="318"/>
      <c r="I460" s="318"/>
    </row>
    <row r="461" s="289" customFormat="1" ht="12.75" customHeight="1" spans="1:9">
      <c r="A461" s="293"/>
      <c r="B461" s="344"/>
      <c r="C461" s="345"/>
      <c r="D461" s="379" t="s">
        <v>1481</v>
      </c>
      <c r="E461" s="347">
        <f>COUNTIF(E414:E460,"L")</f>
        <v>30</v>
      </c>
    </row>
    <row r="462" s="289" customFormat="1" ht="12.75" customHeight="1" spans="1:9">
      <c r="A462" s="293"/>
      <c r="B462" s="333"/>
      <c r="C462" s="345"/>
      <c r="D462" s="346" t="s">
        <v>90</v>
      </c>
      <c r="E462" s="347">
        <f>COUNTIF(E414:E460,"P")</f>
        <v>17</v>
      </c>
    </row>
    <row r="463" s="289" customFormat="1" ht="12.75" customHeight="1" spans="1:9">
      <c r="A463" s="293"/>
      <c r="B463" s="334"/>
      <c r="C463" s="423"/>
      <c r="D463" s="304"/>
      <c r="E463" s="293"/>
    </row>
    <row r="464" s="289" customFormat="1" ht="12.75" customHeight="1" spans="1:9">
      <c r="A464" s="293"/>
      <c r="B464" s="334" t="s">
        <v>91</v>
      </c>
      <c r="C464" s="423"/>
      <c r="D464" s="304"/>
      <c r="E464" s="293"/>
      <c r="F464" s="289" t="s">
        <v>92</v>
      </c>
    </row>
    <row r="465" s="289" customFormat="1" ht="12.75" customHeight="1" spans="1:9">
      <c r="A465" s="293"/>
      <c r="B465" s="334"/>
      <c r="C465" s="423"/>
      <c r="D465" s="304"/>
      <c r="E465" s="293"/>
    </row>
    <row r="466" s="289" customFormat="1" ht="12.75" customHeight="1" spans="1:9">
      <c r="A466" s="293"/>
      <c r="B466" s="334"/>
      <c r="C466" s="423"/>
      <c r="D466" s="304"/>
      <c r="E466" s="293"/>
    </row>
    <row r="467" s="289" customFormat="1" ht="12.75" customHeight="1" spans="1:9">
      <c r="A467" s="293"/>
      <c r="B467" s="334"/>
      <c r="C467" s="423"/>
      <c r="D467" s="304"/>
      <c r="E467" s="293"/>
    </row>
    <row r="468" s="289" customFormat="1" ht="12.75" customHeight="1" spans="1:9">
      <c r="A468" s="293"/>
      <c r="B468" s="338" t="s">
        <v>93</v>
      </c>
      <c r="C468" s="423"/>
      <c r="D468" s="304"/>
      <c r="E468" s="293"/>
      <c r="F468" s="289" t="s">
        <v>94</v>
      </c>
    </row>
    <row r="469" s="289" customFormat="1" ht="12.75" customHeight="1" spans="1:9">
      <c r="A469" s="293"/>
      <c r="B469" s="339" t="s">
        <v>95</v>
      </c>
      <c r="C469" s="423"/>
      <c r="D469" s="304"/>
      <c r="E469" s="293"/>
    </row>
    <row r="470" ht="12.75" customHeight="1" spans="1:9">
      <c r="A470" s="297" t="s">
        <v>1</v>
      </c>
      <c r="B470" s="297"/>
      <c r="C470" s="297"/>
      <c r="D470" s="297"/>
      <c r="E470" s="297"/>
      <c r="F470" s="297"/>
      <c r="G470" s="297"/>
      <c r="H470" s="297"/>
      <c r="I470" s="297"/>
    </row>
    <row r="471" ht="12.75" customHeight="1" spans="1:9">
      <c r="A471" s="297" t="s">
        <v>2</v>
      </c>
      <c r="B471" s="297"/>
      <c r="C471" s="297"/>
      <c r="D471" s="297"/>
      <c r="E471" s="297"/>
      <c r="F471" s="297"/>
      <c r="G471" s="297"/>
      <c r="H471" s="297"/>
      <c r="I471" s="297"/>
    </row>
    <row r="472" ht="12.75" customHeight="1" spans="1:9">
      <c r="A472" s="297" t="s">
        <v>3</v>
      </c>
      <c r="B472" s="297"/>
      <c r="C472" s="297"/>
      <c r="D472" s="297"/>
      <c r="E472" s="297"/>
      <c r="F472" s="297"/>
      <c r="G472" s="297"/>
      <c r="H472" s="297"/>
      <c r="I472" s="297"/>
    </row>
    <row r="473" s="291" customFormat="1" ht="16.5" customHeight="1" spans="1:9">
      <c r="A473" s="298" t="s">
        <v>4</v>
      </c>
      <c r="B473" s="298"/>
      <c r="C473" s="298"/>
      <c r="D473" s="298"/>
      <c r="E473" s="298"/>
      <c r="F473" s="298"/>
      <c r="G473" s="298"/>
      <c r="H473" s="298"/>
      <c r="I473" s="298"/>
    </row>
    <row r="474" ht="12.75" customHeight="1" spans="1:9">
      <c r="A474" s="299" t="s">
        <v>5</v>
      </c>
      <c r="B474" s="299"/>
      <c r="C474" s="299"/>
      <c r="D474" s="299"/>
      <c r="E474" s="299"/>
      <c r="F474" s="299"/>
      <c r="G474" s="299"/>
      <c r="H474" s="299"/>
      <c r="I474" s="299"/>
    </row>
    <row r="475" customHeight="1" spans="1:9">
      <c r="A475" s="299"/>
      <c r="B475" s="299"/>
      <c r="C475" s="299"/>
      <c r="D475" s="299"/>
      <c r="E475" s="299"/>
      <c r="F475" s="299"/>
      <c r="G475" s="299"/>
      <c r="H475" s="299"/>
      <c r="I475" s="299"/>
    </row>
    <row r="476" ht="12.75" customHeight="1" spans="1:9">
      <c r="A476" s="299"/>
      <c r="B476" s="299"/>
      <c r="C476" s="299"/>
      <c r="D476" s="299"/>
      <c r="E476" s="299"/>
      <c r="F476" s="299"/>
      <c r="G476" s="299"/>
      <c r="H476" s="299"/>
      <c r="I476" s="299"/>
    </row>
    <row r="477" s="289" customFormat="1" ht="12.75" customHeight="1" spans="1:9">
      <c r="A477" s="300" t="s">
        <v>6</v>
      </c>
      <c r="B477" s="300"/>
      <c r="C477" s="300"/>
      <c r="D477" s="300"/>
      <c r="E477" s="300"/>
      <c r="F477" s="300"/>
      <c r="G477" s="300"/>
      <c r="H477" s="300"/>
      <c r="I477" s="300"/>
    </row>
    <row r="478" s="289" customFormat="1" ht="12.75" customHeight="1" spans="1:9">
      <c r="A478" s="300"/>
      <c r="B478" s="300"/>
      <c r="C478" s="300"/>
      <c r="D478" s="300"/>
      <c r="E478" s="300"/>
      <c r="F478" s="300"/>
      <c r="G478" s="300"/>
      <c r="H478" s="300"/>
      <c r="I478" s="300"/>
    </row>
    <row r="479" s="289" customFormat="1" ht="12.75" customHeight="1" spans="1:9">
      <c r="A479" s="301"/>
      <c r="B479" s="302" t="s">
        <v>1578</v>
      </c>
      <c r="C479" s="406"/>
      <c r="D479" s="383" t="s">
        <v>8</v>
      </c>
      <c r="E479" s="446" t="s">
        <v>1579</v>
      </c>
      <c r="F479" s="384"/>
      <c r="G479" s="384"/>
      <c r="H479" s="384"/>
      <c r="I479" s="384"/>
    </row>
    <row r="480" s="289" customFormat="1" ht="19.5" customHeight="1" spans="1:9">
      <c r="A480" s="307" t="s">
        <v>10</v>
      </c>
      <c r="B480" s="308" t="s">
        <v>11</v>
      </c>
      <c r="C480" s="309" t="s">
        <v>12</v>
      </c>
      <c r="D480" s="308" t="s">
        <v>13</v>
      </c>
      <c r="E480" s="308" t="s">
        <v>14</v>
      </c>
      <c r="F480" s="310"/>
      <c r="G480" s="310"/>
      <c r="H480" s="310"/>
      <c r="I480" s="310"/>
    </row>
    <row r="481" ht="12.75" customHeight="1" spans="1:9">
      <c r="A481" s="314">
        <v>1</v>
      </c>
      <c r="B481" s="276">
        <v>252610532</v>
      </c>
      <c r="C481" s="315" t="s">
        <v>1580</v>
      </c>
      <c r="D481" s="434" t="s">
        <v>1581</v>
      </c>
      <c r="E481" s="385" t="s">
        <v>23</v>
      </c>
      <c r="F481" s="317"/>
      <c r="G481" s="318"/>
      <c r="H481" s="318"/>
      <c r="I481" s="318"/>
    </row>
    <row r="482" s="291" customFormat="1" ht="12.75" customHeight="1" spans="1:9">
      <c r="A482" s="314">
        <v>2</v>
      </c>
      <c r="B482" s="278">
        <v>252610293</v>
      </c>
      <c r="C482" s="315" t="s">
        <v>1582</v>
      </c>
      <c r="D482" s="434" t="s">
        <v>1583</v>
      </c>
      <c r="E482" s="385" t="s">
        <v>18</v>
      </c>
      <c r="F482" s="317"/>
      <c r="G482" s="318"/>
      <c r="H482" s="318"/>
      <c r="I482" s="318"/>
    </row>
    <row r="483" ht="12.75" customHeight="1" spans="1:9">
      <c r="A483" s="314">
        <v>3</v>
      </c>
      <c r="B483" s="276">
        <v>252610388</v>
      </c>
      <c r="C483" s="315" t="s">
        <v>1584</v>
      </c>
      <c r="D483" s="434" t="s">
        <v>1585</v>
      </c>
      <c r="E483" s="385" t="s">
        <v>23</v>
      </c>
      <c r="F483" s="317"/>
      <c r="G483" s="318"/>
      <c r="H483" s="318"/>
      <c r="I483" s="318"/>
    </row>
    <row r="484" ht="12.75" customHeight="1" spans="1:9">
      <c r="A484" s="314">
        <v>4</v>
      </c>
      <c r="B484" s="278">
        <v>252610053</v>
      </c>
      <c r="C484" s="315" t="s">
        <v>1586</v>
      </c>
      <c r="D484" s="434" t="s">
        <v>1587</v>
      </c>
      <c r="E484" s="385" t="s">
        <v>18</v>
      </c>
      <c r="F484" s="317"/>
      <c r="G484" s="318"/>
      <c r="H484" s="318"/>
      <c r="I484" s="318"/>
    </row>
    <row r="485" ht="12.75" customHeight="1" spans="1:9">
      <c r="A485" s="314">
        <v>5</v>
      </c>
      <c r="B485" s="284">
        <v>252610011</v>
      </c>
      <c r="C485" s="414" t="s">
        <v>1588</v>
      </c>
      <c r="D485" s="435" t="s">
        <v>1589</v>
      </c>
      <c r="E485" s="386" t="s">
        <v>23</v>
      </c>
      <c r="F485" s="317"/>
      <c r="G485" s="318"/>
      <c r="H485" s="318"/>
      <c r="I485" s="318"/>
    </row>
    <row r="486" ht="12.75" customHeight="1" spans="1:9">
      <c r="A486" s="314">
        <v>6</v>
      </c>
      <c r="B486" s="278">
        <v>252610056</v>
      </c>
      <c r="C486" s="315" t="s">
        <v>1590</v>
      </c>
      <c r="D486" s="434" t="s">
        <v>1591</v>
      </c>
      <c r="E486" s="385" t="s">
        <v>23</v>
      </c>
      <c r="F486" s="317"/>
      <c r="G486" s="318"/>
      <c r="H486" s="318"/>
      <c r="I486" s="318"/>
    </row>
    <row r="487" ht="12.75" customHeight="1" spans="1:9">
      <c r="A487" s="314">
        <v>7</v>
      </c>
      <c r="B487" s="276">
        <v>252610441</v>
      </c>
      <c r="C487" s="315" t="s">
        <v>1592</v>
      </c>
      <c r="D487" s="434" t="s">
        <v>1593</v>
      </c>
      <c r="E487" s="385" t="s">
        <v>18</v>
      </c>
      <c r="F487" s="317"/>
      <c r="G487" s="318"/>
      <c r="H487" s="318"/>
      <c r="I487" s="318"/>
    </row>
    <row r="488" ht="12.75" customHeight="1" spans="1:9">
      <c r="A488" s="314">
        <v>8</v>
      </c>
      <c r="B488" s="278">
        <v>252610488</v>
      </c>
      <c r="C488" s="315" t="s">
        <v>1594</v>
      </c>
      <c r="D488" s="434" t="s">
        <v>1595</v>
      </c>
      <c r="E488" s="385" t="s">
        <v>18</v>
      </c>
      <c r="F488" s="317"/>
      <c r="G488" s="318"/>
      <c r="H488" s="318"/>
      <c r="I488" s="318"/>
    </row>
    <row r="489" ht="12.75" customHeight="1" spans="1:9">
      <c r="A489" s="314">
        <v>9</v>
      </c>
      <c r="B489" s="276">
        <v>252610249</v>
      </c>
      <c r="C489" s="315" t="s">
        <v>1596</v>
      </c>
      <c r="D489" s="434" t="s">
        <v>1597</v>
      </c>
      <c r="E489" s="385" t="s">
        <v>18</v>
      </c>
      <c r="F489" s="317"/>
      <c r="G489" s="318"/>
      <c r="H489" s="318"/>
      <c r="I489" s="318"/>
    </row>
    <row r="490" ht="12.75" customHeight="1" spans="1:9">
      <c r="A490" s="314">
        <v>10</v>
      </c>
      <c r="B490" s="278">
        <v>252610489</v>
      </c>
      <c r="C490" s="315" t="s">
        <v>1598</v>
      </c>
      <c r="D490" s="434" t="s">
        <v>1599</v>
      </c>
      <c r="E490" s="385" t="s">
        <v>23</v>
      </c>
      <c r="F490" s="317"/>
      <c r="G490" s="318"/>
      <c r="H490" s="318"/>
      <c r="I490" s="318"/>
    </row>
    <row r="491" ht="12.75" customHeight="1" spans="1:9">
      <c r="A491" s="314">
        <v>11</v>
      </c>
      <c r="B491" s="276">
        <v>252610299</v>
      </c>
      <c r="C491" s="315" t="s">
        <v>1600</v>
      </c>
      <c r="D491" s="434" t="s">
        <v>1601</v>
      </c>
      <c r="E491" s="385" t="s">
        <v>23</v>
      </c>
      <c r="F491" s="317"/>
      <c r="G491" s="318"/>
      <c r="H491" s="318"/>
      <c r="I491" s="318"/>
    </row>
    <row r="492" ht="12.75" customHeight="1" spans="1:9">
      <c r="A492" s="314">
        <v>12</v>
      </c>
      <c r="B492" s="278">
        <v>252610251</v>
      </c>
      <c r="C492" s="315" t="s">
        <v>1602</v>
      </c>
      <c r="D492" s="434" t="s">
        <v>1603</v>
      </c>
      <c r="E492" s="385" t="s">
        <v>18</v>
      </c>
      <c r="F492" s="317"/>
      <c r="G492" s="318"/>
      <c r="H492" s="318"/>
      <c r="I492" s="318"/>
    </row>
    <row r="493" ht="12.75" customHeight="1" spans="1:9">
      <c r="A493" s="314">
        <v>13</v>
      </c>
      <c r="B493" s="276">
        <v>252610394</v>
      </c>
      <c r="C493" s="315" t="s">
        <v>1604</v>
      </c>
      <c r="D493" s="434" t="s">
        <v>1605</v>
      </c>
      <c r="E493" s="385" t="s">
        <v>18</v>
      </c>
      <c r="F493" s="317"/>
      <c r="G493" s="318"/>
      <c r="H493" s="318"/>
      <c r="I493" s="318"/>
    </row>
    <row r="494" ht="12.75" customHeight="1" spans="1:9">
      <c r="A494" s="314">
        <v>14</v>
      </c>
      <c r="B494" s="278">
        <v>252610395</v>
      </c>
      <c r="C494" s="315" t="s">
        <v>1606</v>
      </c>
      <c r="D494" s="434" t="s">
        <v>1607</v>
      </c>
      <c r="E494" s="385" t="s">
        <v>23</v>
      </c>
      <c r="F494" s="317"/>
      <c r="G494" s="318"/>
      <c r="H494" s="318"/>
      <c r="I494" s="318"/>
    </row>
    <row r="495" ht="12.75" customHeight="1" spans="1:9">
      <c r="A495" s="314">
        <v>15</v>
      </c>
      <c r="B495" s="276">
        <v>252610444</v>
      </c>
      <c r="C495" s="315" t="s">
        <v>1608</v>
      </c>
      <c r="D495" s="434" t="s">
        <v>1609</v>
      </c>
      <c r="E495" s="385" t="s">
        <v>23</v>
      </c>
      <c r="F495" s="317"/>
      <c r="G495" s="318"/>
      <c r="H495" s="318"/>
      <c r="I495" s="318"/>
    </row>
    <row r="496" ht="12.75" customHeight="1" spans="1:9">
      <c r="A496" s="314">
        <v>16</v>
      </c>
      <c r="B496" s="286">
        <v>252610019</v>
      </c>
      <c r="C496" s="414" t="s">
        <v>1610</v>
      </c>
      <c r="D496" s="435" t="s">
        <v>1611</v>
      </c>
      <c r="E496" s="386" t="s">
        <v>23</v>
      </c>
      <c r="F496" s="317"/>
      <c r="G496" s="318"/>
      <c r="H496" s="318"/>
      <c r="I496" s="318"/>
    </row>
    <row r="497" ht="12.75" customHeight="1" spans="1:13">
      <c r="A497" s="314">
        <v>17</v>
      </c>
      <c r="B497" s="276">
        <v>252610353</v>
      </c>
      <c r="C497" s="315" t="s">
        <v>1612</v>
      </c>
      <c r="D497" s="434" t="s">
        <v>1613</v>
      </c>
      <c r="E497" s="385" t="s">
        <v>18</v>
      </c>
      <c r="F497" s="317"/>
      <c r="G497" s="318"/>
      <c r="H497" s="318"/>
      <c r="I497" s="318"/>
    </row>
    <row r="498" ht="12.75" customHeight="1" spans="1:13">
      <c r="A498" s="314">
        <v>18</v>
      </c>
      <c r="B498" s="278">
        <v>252610114</v>
      </c>
      <c r="C498" s="321" t="s">
        <v>1614</v>
      </c>
      <c r="D498" s="434" t="s">
        <v>1615</v>
      </c>
      <c r="E498" s="385" t="s">
        <v>18</v>
      </c>
      <c r="F498" s="317"/>
      <c r="G498" s="318"/>
      <c r="H498" s="318"/>
      <c r="I498" s="318"/>
    </row>
    <row r="499" ht="12.75" customHeight="1" spans="1:13">
      <c r="A499" s="314">
        <v>19</v>
      </c>
      <c r="B499" s="276">
        <v>252610159</v>
      </c>
      <c r="C499" s="315" t="s">
        <v>1616</v>
      </c>
      <c r="D499" s="434" t="s">
        <v>1617</v>
      </c>
      <c r="E499" s="385" t="s">
        <v>18</v>
      </c>
      <c r="F499" s="317"/>
      <c r="G499" s="318"/>
      <c r="H499" s="318"/>
      <c r="I499" s="318"/>
    </row>
    <row r="500" ht="12.75" customHeight="1" spans="1:13">
      <c r="A500" s="314">
        <v>20</v>
      </c>
      <c r="B500" s="278">
        <v>252610164</v>
      </c>
      <c r="C500" s="315" t="s">
        <v>1618</v>
      </c>
      <c r="D500" s="434" t="s">
        <v>1619</v>
      </c>
      <c r="E500" s="385" t="s">
        <v>23</v>
      </c>
      <c r="F500" s="317"/>
      <c r="G500" s="318"/>
      <c r="H500" s="318"/>
      <c r="I500" s="318"/>
    </row>
    <row r="501" ht="12.75" customHeight="1" spans="1:13">
      <c r="A501" s="314">
        <v>21</v>
      </c>
      <c r="B501" s="276">
        <v>252610546</v>
      </c>
      <c r="C501" s="321" t="s">
        <v>1620</v>
      </c>
      <c r="D501" s="434" t="s">
        <v>1621</v>
      </c>
      <c r="E501" s="385" t="s">
        <v>18</v>
      </c>
      <c r="F501" s="317"/>
      <c r="G501" s="318"/>
      <c r="H501" s="318"/>
      <c r="I501" s="318"/>
    </row>
    <row r="502" ht="12.75" customHeight="1" spans="1:13">
      <c r="A502" s="314">
        <v>22</v>
      </c>
      <c r="B502" s="278">
        <v>252610497</v>
      </c>
      <c r="C502" s="315" t="s">
        <v>1622</v>
      </c>
      <c r="D502" s="434" t="s">
        <v>1623</v>
      </c>
      <c r="E502" s="385" t="s">
        <v>18</v>
      </c>
      <c r="F502" s="317"/>
      <c r="G502" s="318"/>
      <c r="H502" s="318"/>
      <c r="I502" s="318"/>
    </row>
    <row r="503" ht="12.75" customHeight="1" spans="1:13">
      <c r="A503" s="314">
        <v>23</v>
      </c>
      <c r="B503" s="276">
        <v>252610119</v>
      </c>
      <c r="C503" s="315" t="s">
        <v>1624</v>
      </c>
      <c r="D503" s="434" t="s">
        <v>1625</v>
      </c>
      <c r="E503" s="385" t="s">
        <v>23</v>
      </c>
      <c r="F503" s="317"/>
      <c r="G503" s="318"/>
      <c r="H503" s="318"/>
      <c r="I503" s="318"/>
    </row>
    <row r="504" ht="12.75" customHeight="1" spans="1:13">
      <c r="A504" s="314">
        <v>24</v>
      </c>
      <c r="B504" s="278">
        <v>252610216</v>
      </c>
      <c r="C504" s="315" t="s">
        <v>1626</v>
      </c>
      <c r="D504" s="434" t="s">
        <v>1627</v>
      </c>
      <c r="E504" s="385" t="s">
        <v>23</v>
      </c>
      <c r="F504" s="317"/>
      <c r="G504" s="318"/>
      <c r="H504" s="318"/>
      <c r="I504" s="318"/>
    </row>
    <row r="505" ht="12.75" customHeight="1" spans="1:13">
      <c r="A505" s="314">
        <v>25</v>
      </c>
      <c r="B505" s="276">
        <v>252610456</v>
      </c>
      <c r="C505" s="315" t="s">
        <v>1628</v>
      </c>
      <c r="D505" s="434" t="s">
        <v>1629</v>
      </c>
      <c r="E505" s="385" t="s">
        <v>23</v>
      </c>
      <c r="F505" s="317"/>
      <c r="G505" s="318"/>
      <c r="H505" s="318"/>
      <c r="I505" s="318"/>
    </row>
    <row r="506" ht="12.75" customHeight="1" spans="1:13">
      <c r="A506" s="314">
        <v>26</v>
      </c>
      <c r="B506" s="278">
        <v>252610553</v>
      </c>
      <c r="C506" s="315" t="s">
        <v>1630</v>
      </c>
      <c r="D506" s="434" t="s">
        <v>1631</v>
      </c>
      <c r="E506" s="385" t="s">
        <v>23</v>
      </c>
      <c r="F506" s="317"/>
      <c r="G506" s="318"/>
      <c r="H506" s="318"/>
      <c r="I506" s="318"/>
    </row>
    <row r="507" ht="12.75" customHeight="1" spans="1:13">
      <c r="A507" s="314">
        <v>27</v>
      </c>
      <c r="B507" s="276">
        <v>252610313</v>
      </c>
      <c r="C507" s="315" t="s">
        <v>1632</v>
      </c>
      <c r="D507" s="434" t="s">
        <v>1633</v>
      </c>
      <c r="E507" s="385" t="s">
        <v>23</v>
      </c>
      <c r="F507" s="317"/>
      <c r="G507" s="318"/>
      <c r="H507" s="318"/>
      <c r="I507" s="318"/>
    </row>
    <row r="508" ht="12.75" customHeight="1" spans="1:13">
      <c r="A508" s="314">
        <v>28</v>
      </c>
      <c r="B508" s="278">
        <v>252610505</v>
      </c>
      <c r="C508" s="315" t="s">
        <v>1634</v>
      </c>
      <c r="D508" s="434" t="s">
        <v>1635</v>
      </c>
      <c r="E508" s="385" t="s">
        <v>23</v>
      </c>
      <c r="F508" s="317"/>
      <c r="G508" s="318"/>
      <c r="H508" s="318"/>
      <c r="I508" s="318"/>
    </row>
    <row r="509" ht="12.75" customHeight="1" spans="1:13">
      <c r="A509" s="314">
        <v>29</v>
      </c>
      <c r="B509" s="276">
        <v>252610219</v>
      </c>
      <c r="C509" s="315" t="s">
        <v>1636</v>
      </c>
      <c r="D509" s="434" t="s">
        <v>1637</v>
      </c>
      <c r="E509" s="385" t="s">
        <v>23</v>
      </c>
      <c r="F509" s="317"/>
      <c r="G509" s="318"/>
      <c r="H509" s="318"/>
      <c r="I509" s="318"/>
    </row>
    <row r="510" ht="12.75" customHeight="1" spans="1:13">
      <c r="A510" s="314">
        <v>30</v>
      </c>
      <c r="B510" s="269">
        <v>252610176</v>
      </c>
      <c r="C510" s="315" t="s">
        <v>1638</v>
      </c>
      <c r="D510" s="434" t="s">
        <v>1639</v>
      </c>
      <c r="E510" s="385" t="s">
        <v>18</v>
      </c>
      <c r="F510" s="317"/>
      <c r="G510" s="318"/>
      <c r="H510" s="318"/>
      <c r="I510" s="318"/>
      <c r="K510" s="387"/>
      <c r="L510" s="388"/>
      <c r="M510" s="389"/>
    </row>
    <row r="511" ht="12.75" customHeight="1" spans="1:13">
      <c r="A511" s="314">
        <v>31</v>
      </c>
      <c r="B511" s="278">
        <v>252610174</v>
      </c>
      <c r="C511" s="315" t="s">
        <v>1640</v>
      </c>
      <c r="D511" s="434" t="s">
        <v>1641</v>
      </c>
      <c r="E511" s="385" t="s">
        <v>18</v>
      </c>
      <c r="F511" s="317"/>
      <c r="G511" s="318"/>
      <c r="H511" s="318"/>
      <c r="I511" s="318"/>
    </row>
    <row r="512" ht="12.75" customHeight="1" spans="1:13">
      <c r="A512" s="314">
        <v>32</v>
      </c>
      <c r="B512" s="266">
        <v>252610179</v>
      </c>
      <c r="C512" s="315" t="s">
        <v>1642</v>
      </c>
      <c r="D512" s="434" t="s">
        <v>1643</v>
      </c>
      <c r="E512" s="385" t="s">
        <v>18</v>
      </c>
      <c r="F512" s="317"/>
      <c r="G512" s="318"/>
      <c r="H512" s="318"/>
      <c r="I512" s="318"/>
    </row>
    <row r="513" ht="12.75" customHeight="1" spans="1:9">
      <c r="A513" s="314">
        <v>33</v>
      </c>
      <c r="B513" s="276">
        <v>252610277</v>
      </c>
      <c r="C513" s="315" t="s">
        <v>1644</v>
      </c>
      <c r="D513" s="434" t="s">
        <v>1645</v>
      </c>
      <c r="E513" s="385" t="s">
        <v>18</v>
      </c>
      <c r="F513" s="317"/>
      <c r="G513" s="318"/>
      <c r="H513" s="318"/>
      <c r="I513" s="318"/>
    </row>
    <row r="514" ht="12.75" customHeight="1" spans="1:9">
      <c r="A514" s="314">
        <v>34</v>
      </c>
      <c r="B514" s="278">
        <v>252610516</v>
      </c>
      <c r="C514" s="315" t="s">
        <v>1646</v>
      </c>
      <c r="D514" s="434" t="s">
        <v>1647</v>
      </c>
      <c r="E514" s="385" t="s">
        <v>18</v>
      </c>
      <c r="F514" s="317"/>
      <c r="G514" s="318"/>
      <c r="H514" s="318"/>
      <c r="I514" s="318"/>
    </row>
    <row r="515" ht="12.75" customHeight="1" spans="1:9">
      <c r="A515" s="314">
        <v>35</v>
      </c>
      <c r="B515" s="284">
        <v>252610040</v>
      </c>
      <c r="C515" s="414" t="s">
        <v>1648</v>
      </c>
      <c r="D515" s="437" t="s">
        <v>1649</v>
      </c>
      <c r="E515" s="386" t="s">
        <v>18</v>
      </c>
      <c r="F515" s="317"/>
      <c r="G515" s="318"/>
      <c r="H515" s="318"/>
      <c r="I515" s="318"/>
    </row>
    <row r="516" ht="12.75" customHeight="1" spans="1:9">
      <c r="A516" s="314">
        <v>36</v>
      </c>
      <c r="B516" s="278">
        <v>252610087</v>
      </c>
      <c r="C516" s="321" t="s">
        <v>1650</v>
      </c>
      <c r="D516" s="434" t="s">
        <v>1651</v>
      </c>
      <c r="E516" s="385" t="s">
        <v>18</v>
      </c>
      <c r="F516" s="317"/>
      <c r="G516" s="318"/>
      <c r="H516" s="318"/>
      <c r="I516" s="318"/>
    </row>
    <row r="517" ht="12.75" customHeight="1" spans="1:9">
      <c r="A517" s="314">
        <v>37</v>
      </c>
      <c r="B517" s="276">
        <v>252610088</v>
      </c>
      <c r="C517" s="315" t="s">
        <v>1652</v>
      </c>
      <c r="D517" s="434" t="s">
        <v>1653</v>
      </c>
      <c r="E517" s="385" t="s">
        <v>18</v>
      </c>
      <c r="F517" s="326"/>
      <c r="G517" s="327"/>
      <c r="H517" s="327"/>
      <c r="I517" s="327"/>
    </row>
    <row r="518" ht="12.75" customHeight="1" spans="1:9">
      <c r="A518" s="314">
        <v>38</v>
      </c>
      <c r="B518" s="278">
        <v>252610373</v>
      </c>
      <c r="C518" s="315" t="s">
        <v>1654</v>
      </c>
      <c r="D518" s="434" t="s">
        <v>1655</v>
      </c>
      <c r="E518" s="385" t="s">
        <v>23</v>
      </c>
      <c r="F518" s="318"/>
      <c r="G518" s="318"/>
      <c r="H518" s="318"/>
      <c r="I518" s="318"/>
    </row>
    <row r="519" ht="12.75" customHeight="1" spans="1:9">
      <c r="A519" s="314">
        <v>39</v>
      </c>
      <c r="B519" s="276">
        <v>252610186</v>
      </c>
      <c r="C519" s="315" t="s">
        <v>1656</v>
      </c>
      <c r="D519" s="434" t="s">
        <v>1657</v>
      </c>
      <c r="E519" s="385" t="s">
        <v>18</v>
      </c>
      <c r="F519" s="318"/>
      <c r="G519" s="318"/>
      <c r="H519" s="318"/>
      <c r="I519" s="318"/>
    </row>
    <row r="520" ht="12.75" customHeight="1" spans="1:9">
      <c r="A520" s="314">
        <v>40</v>
      </c>
      <c r="B520" s="278">
        <v>252610472</v>
      </c>
      <c r="C520" s="315" t="s">
        <v>1658</v>
      </c>
      <c r="D520" s="434" t="s">
        <v>1659</v>
      </c>
      <c r="E520" s="385" t="s">
        <v>18</v>
      </c>
      <c r="F520" s="318"/>
      <c r="G520" s="318"/>
      <c r="H520" s="318"/>
      <c r="I520" s="318"/>
    </row>
    <row r="521" ht="12.75" customHeight="1" spans="1:9">
      <c r="A521" s="314">
        <v>41</v>
      </c>
      <c r="B521" s="276">
        <v>252610329</v>
      </c>
      <c r="C521" s="315" t="s">
        <v>1660</v>
      </c>
      <c r="D521" s="434" t="s">
        <v>1661</v>
      </c>
      <c r="E521" s="385" t="s">
        <v>18</v>
      </c>
      <c r="F521" s="318"/>
      <c r="G521" s="318"/>
      <c r="H521" s="318"/>
      <c r="I521" s="318"/>
    </row>
    <row r="522" ht="12.75" customHeight="1" spans="1:9">
      <c r="A522" s="314">
        <v>42</v>
      </c>
      <c r="B522" s="278">
        <v>252610378</v>
      </c>
      <c r="C522" s="315" t="s">
        <v>1662</v>
      </c>
      <c r="D522" s="434" t="s">
        <v>1663</v>
      </c>
      <c r="E522" s="385" t="s">
        <v>18</v>
      </c>
      <c r="F522" s="318"/>
      <c r="G522" s="318"/>
      <c r="H522" s="318"/>
      <c r="I522" s="318"/>
    </row>
    <row r="523" ht="12.75" customHeight="1" spans="1:9">
      <c r="A523" s="314">
        <v>43</v>
      </c>
      <c r="B523" s="284">
        <v>252610044</v>
      </c>
      <c r="C523" s="414" t="s">
        <v>1664</v>
      </c>
      <c r="D523" s="437" t="s">
        <v>1665</v>
      </c>
      <c r="E523" s="386" t="s">
        <v>23</v>
      </c>
      <c r="F523" s="318"/>
      <c r="G523" s="318"/>
      <c r="H523" s="318"/>
      <c r="I523" s="318"/>
    </row>
    <row r="524" ht="12.75" customHeight="1" spans="1:9">
      <c r="A524" s="314">
        <v>44</v>
      </c>
      <c r="B524" s="278">
        <v>252610285</v>
      </c>
      <c r="C524" s="315" t="s">
        <v>1666</v>
      </c>
      <c r="D524" s="434" t="s">
        <v>1667</v>
      </c>
      <c r="E524" s="385" t="s">
        <v>18</v>
      </c>
      <c r="F524" s="318"/>
      <c r="G524" s="318"/>
      <c r="H524" s="318"/>
      <c r="I524" s="318"/>
    </row>
    <row r="525" ht="12.75" customHeight="1" spans="1:9">
      <c r="A525" s="314">
        <v>45</v>
      </c>
      <c r="B525" s="276">
        <v>252610142</v>
      </c>
      <c r="C525" s="315" t="s">
        <v>1668</v>
      </c>
      <c r="D525" s="434" t="s">
        <v>1669</v>
      </c>
      <c r="E525" s="385" t="s">
        <v>23</v>
      </c>
      <c r="F525" s="318"/>
      <c r="G525" s="318"/>
      <c r="H525" s="318"/>
      <c r="I525" s="318"/>
    </row>
    <row r="526" ht="12.75" customHeight="1" spans="1:9">
      <c r="A526" s="314">
        <v>46</v>
      </c>
      <c r="B526" s="278">
        <v>252610380</v>
      </c>
      <c r="C526" s="315" t="s">
        <v>1670</v>
      </c>
      <c r="D526" s="434" t="s">
        <v>1671</v>
      </c>
      <c r="E526" s="385" t="s">
        <v>18</v>
      </c>
      <c r="F526" s="318"/>
      <c r="G526" s="318"/>
      <c r="H526" s="318"/>
      <c r="I526" s="318"/>
    </row>
    <row r="527" ht="12.75" customHeight="1" spans="1:9">
      <c r="A527" s="314">
        <v>47</v>
      </c>
      <c r="B527" s="276">
        <v>252610428</v>
      </c>
      <c r="C527" s="315" t="s">
        <v>1672</v>
      </c>
      <c r="D527" s="434" t="s">
        <v>1673</v>
      </c>
      <c r="E527" s="385" t="s">
        <v>18</v>
      </c>
      <c r="F527" s="318"/>
      <c r="G527" s="318"/>
      <c r="H527" s="318"/>
      <c r="I527" s="318"/>
    </row>
    <row r="528" ht="12.75" customHeight="1" spans="1:9">
      <c r="A528" s="314">
        <v>48</v>
      </c>
      <c r="B528" s="278">
        <v>252610526</v>
      </c>
      <c r="C528" s="315" t="s">
        <v>1674</v>
      </c>
      <c r="D528" s="434" t="s">
        <v>1675</v>
      </c>
      <c r="E528" s="385" t="s">
        <v>23</v>
      </c>
      <c r="F528" s="318"/>
      <c r="G528" s="318"/>
      <c r="H528" s="318"/>
      <c r="I528" s="318"/>
    </row>
    <row r="529" s="292" customFormat="1" ht="12.75" customHeight="1" spans="1:9">
      <c r="A529" s="390"/>
      <c r="B529" s="391"/>
      <c r="C529" s="392"/>
      <c r="D529" s="381" t="s">
        <v>89</v>
      </c>
      <c r="E529" s="382">
        <f>COUNTIF(E481:E528,"L")</f>
        <v>21</v>
      </c>
    </row>
    <row r="530" s="292" customFormat="1" ht="12.75" customHeight="1" spans="1:9">
      <c r="A530" s="390"/>
      <c r="B530" s="393"/>
      <c r="C530" s="392"/>
      <c r="D530" s="381" t="s">
        <v>90</v>
      </c>
      <c r="E530" s="382">
        <f>COUNTIF(E481:E528,"P")</f>
        <v>27</v>
      </c>
    </row>
    <row r="531" s="292" customFormat="1" ht="12.75" customHeight="1" spans="1:9">
      <c r="A531" s="390"/>
      <c r="B531" s="394" t="s">
        <v>91</v>
      </c>
      <c r="C531" s="447"/>
      <c r="D531" s="395"/>
      <c r="E531" s="390"/>
      <c r="F531" s="292" t="s">
        <v>92</v>
      </c>
    </row>
    <row r="532" s="292" customFormat="1" ht="12.75" customHeight="1" spans="1:9">
      <c r="A532" s="390"/>
      <c r="B532" s="394"/>
      <c r="C532" s="447"/>
      <c r="D532" s="395"/>
      <c r="E532" s="390"/>
    </row>
    <row r="533" s="292" customFormat="1" ht="12.75" customHeight="1" spans="1:9">
      <c r="A533" s="390"/>
      <c r="B533" s="394"/>
      <c r="C533" s="447"/>
      <c r="D533" s="395"/>
      <c r="E533" s="390"/>
    </row>
    <row r="534" s="292" customFormat="1" ht="12.75" customHeight="1" spans="1:9">
      <c r="A534" s="390"/>
      <c r="B534" s="394"/>
      <c r="C534" s="447"/>
      <c r="D534" s="395"/>
      <c r="E534" s="390"/>
    </row>
    <row r="535" s="292" customFormat="1" ht="12.75" customHeight="1" spans="1:9">
      <c r="A535" s="390"/>
      <c r="B535" s="397" t="s">
        <v>93</v>
      </c>
      <c r="C535" s="447"/>
      <c r="D535" s="395"/>
      <c r="E535" s="390"/>
      <c r="F535" s="292" t="s">
        <v>94</v>
      </c>
    </row>
    <row r="536" s="292" customFormat="1" ht="12.75" customHeight="1" spans="1:9">
      <c r="A536" s="390"/>
      <c r="B536" s="398" t="s">
        <v>95</v>
      </c>
      <c r="C536" s="447"/>
      <c r="D536" s="395"/>
      <c r="E536" s="390"/>
    </row>
    <row r="537" ht="12.75" customHeight="1" spans="1:9">
      <c r="A537" s="297" t="s">
        <v>1</v>
      </c>
      <c r="B537" s="297"/>
      <c r="C537" s="297"/>
      <c r="D537" s="297"/>
      <c r="E537" s="297"/>
      <c r="F537" s="297"/>
      <c r="G537" s="297"/>
      <c r="H537" s="297"/>
      <c r="I537" s="297"/>
    </row>
    <row r="538" ht="12.75" customHeight="1" spans="1:9">
      <c r="A538" s="297" t="s">
        <v>2</v>
      </c>
      <c r="B538" s="297"/>
      <c r="C538" s="297"/>
      <c r="D538" s="297"/>
      <c r="E538" s="297"/>
      <c r="F538" s="297"/>
      <c r="G538" s="297"/>
      <c r="H538" s="297"/>
      <c r="I538" s="297"/>
    </row>
    <row r="539" ht="12.75" customHeight="1" spans="1:9">
      <c r="A539" s="297" t="s">
        <v>3</v>
      </c>
      <c r="B539" s="297"/>
      <c r="C539" s="297"/>
      <c r="D539" s="297"/>
      <c r="E539" s="297"/>
      <c r="F539" s="297"/>
      <c r="G539" s="297"/>
      <c r="H539" s="297"/>
      <c r="I539" s="297"/>
    </row>
    <row r="540" s="291" customFormat="1" ht="16.5" customHeight="1" spans="1:9">
      <c r="A540" s="298" t="s">
        <v>4</v>
      </c>
      <c r="B540" s="298"/>
      <c r="C540" s="298"/>
      <c r="D540" s="298"/>
      <c r="E540" s="298"/>
      <c r="F540" s="298"/>
      <c r="G540" s="298"/>
      <c r="H540" s="298"/>
      <c r="I540" s="298"/>
    </row>
    <row r="541" ht="12.75" customHeight="1" spans="1:9">
      <c r="A541" s="299" t="s">
        <v>5</v>
      </c>
      <c r="B541" s="299"/>
      <c r="C541" s="299"/>
      <c r="D541" s="299"/>
      <c r="E541" s="299"/>
      <c r="F541" s="299"/>
      <c r="G541" s="299"/>
      <c r="H541" s="299"/>
      <c r="I541" s="299"/>
    </row>
    <row r="542" customHeight="1" spans="1:9">
      <c r="A542" s="299"/>
      <c r="B542" s="299"/>
      <c r="C542" s="299"/>
      <c r="D542" s="299"/>
      <c r="E542" s="299"/>
      <c r="F542" s="299"/>
      <c r="G542" s="299"/>
      <c r="H542" s="299"/>
      <c r="I542" s="299"/>
    </row>
    <row r="543" ht="12.75" customHeight="1" spans="1:9">
      <c r="A543" s="299"/>
      <c r="B543" s="299"/>
      <c r="C543" s="299"/>
      <c r="D543" s="299"/>
      <c r="E543" s="299"/>
      <c r="F543" s="299"/>
      <c r="G543" s="299"/>
      <c r="H543" s="299"/>
      <c r="I543" s="299"/>
    </row>
    <row r="544" s="289" customFormat="1" ht="12.75" customHeight="1" spans="1:9">
      <c r="A544" s="300" t="s">
        <v>6</v>
      </c>
      <c r="B544" s="300"/>
      <c r="C544" s="300"/>
      <c r="D544" s="300"/>
      <c r="E544" s="300"/>
      <c r="F544" s="300"/>
      <c r="G544" s="300"/>
      <c r="H544" s="300"/>
      <c r="I544" s="300"/>
    </row>
    <row r="545" s="289" customFormat="1" ht="12.75" customHeight="1" spans="1:9">
      <c r="A545" s="300"/>
      <c r="B545" s="300"/>
      <c r="C545" s="300"/>
      <c r="D545" s="300"/>
      <c r="E545" s="300"/>
      <c r="F545" s="300"/>
      <c r="G545" s="300"/>
      <c r="H545" s="300"/>
      <c r="I545" s="300"/>
    </row>
    <row r="546" s="289" customFormat="1" ht="12.75" customHeight="1" spans="1:9">
      <c r="A546" s="301"/>
      <c r="B546" s="302" t="s">
        <v>1676</v>
      </c>
      <c r="C546" s="406"/>
      <c r="E546" s="383" t="s">
        <v>8</v>
      </c>
      <c r="F546" s="306" t="s">
        <v>1677</v>
      </c>
      <c r="H546" s="399"/>
      <c r="I546" s="399"/>
    </row>
    <row r="547" s="289" customFormat="1" ht="19.5" customHeight="1" spans="1:9">
      <c r="A547" s="307" t="s">
        <v>10</v>
      </c>
      <c r="B547" s="308" t="s">
        <v>11</v>
      </c>
      <c r="C547" s="309" t="s">
        <v>12</v>
      </c>
      <c r="D547" s="308" t="s">
        <v>13</v>
      </c>
      <c r="E547" s="308" t="s">
        <v>14</v>
      </c>
      <c r="F547" s="310"/>
      <c r="G547" s="310"/>
      <c r="H547" s="310"/>
      <c r="I547" s="310"/>
    </row>
    <row r="548" ht="12.75" customHeight="1" spans="1:9">
      <c r="A548" s="314">
        <v>1</v>
      </c>
      <c r="B548" s="276">
        <v>252610529</v>
      </c>
      <c r="C548" s="315" t="s">
        <v>1678</v>
      </c>
      <c r="D548" s="434" t="s">
        <v>1679</v>
      </c>
      <c r="E548" s="385" t="s">
        <v>18</v>
      </c>
      <c r="F548" s="317"/>
      <c r="G548" s="318"/>
      <c r="H548" s="318"/>
      <c r="I548" s="318"/>
    </row>
    <row r="549" s="291" customFormat="1" ht="12.75" customHeight="1" spans="1:9">
      <c r="A549" s="314">
        <v>2</v>
      </c>
      <c r="B549" s="286">
        <v>252610004</v>
      </c>
      <c r="C549" s="414" t="s">
        <v>1680</v>
      </c>
      <c r="D549" s="435" t="s">
        <v>1681</v>
      </c>
      <c r="E549" s="386" t="s">
        <v>23</v>
      </c>
      <c r="F549" s="317"/>
      <c r="G549" s="318"/>
      <c r="H549" s="318"/>
      <c r="I549" s="318"/>
    </row>
    <row r="550" ht="12.75" customHeight="1" spans="1:9">
      <c r="A550" s="314">
        <v>3</v>
      </c>
      <c r="B550" s="276">
        <v>252610098</v>
      </c>
      <c r="C550" s="315" t="s">
        <v>1682</v>
      </c>
      <c r="D550" s="434" t="s">
        <v>1683</v>
      </c>
      <c r="E550" s="385" t="s">
        <v>18</v>
      </c>
      <c r="F550" s="317"/>
      <c r="G550" s="318"/>
      <c r="H550" s="318"/>
      <c r="I550" s="318"/>
    </row>
    <row r="551" ht="12.75" customHeight="1" spans="1:9">
      <c r="A551" s="314">
        <v>4</v>
      </c>
      <c r="B551" s="286">
        <v>252610007</v>
      </c>
      <c r="C551" s="414" t="s">
        <v>1684</v>
      </c>
      <c r="D551" s="435" t="s">
        <v>1685</v>
      </c>
      <c r="E551" s="386" t="s">
        <v>18</v>
      </c>
      <c r="F551" s="317"/>
      <c r="G551" s="318"/>
      <c r="H551" s="318"/>
      <c r="I551" s="318"/>
    </row>
    <row r="552" ht="12.75" customHeight="1" spans="1:9">
      <c r="A552" s="314">
        <v>5</v>
      </c>
      <c r="B552" s="276">
        <v>252610389</v>
      </c>
      <c r="C552" s="315" t="s">
        <v>1686</v>
      </c>
      <c r="D552" s="434" t="s">
        <v>1687</v>
      </c>
      <c r="E552" s="385" t="s">
        <v>18</v>
      </c>
      <c r="F552" s="317"/>
      <c r="G552" s="318"/>
      <c r="H552" s="318"/>
      <c r="I552" s="318"/>
    </row>
    <row r="553" ht="12.75" customHeight="1" spans="1:9">
      <c r="A553" s="314">
        <v>6</v>
      </c>
      <c r="B553" s="278">
        <v>252610295</v>
      </c>
      <c r="C553" s="321" t="s">
        <v>1688</v>
      </c>
      <c r="D553" s="434" t="s">
        <v>1689</v>
      </c>
      <c r="E553" s="385" t="s">
        <v>18</v>
      </c>
      <c r="F553" s="317"/>
      <c r="G553" s="318"/>
      <c r="H553" s="318"/>
      <c r="I553" s="318"/>
    </row>
    <row r="554" ht="12.75" customHeight="1" spans="1:9">
      <c r="A554" s="314">
        <v>7</v>
      </c>
      <c r="B554" s="284">
        <v>252610009</v>
      </c>
      <c r="C554" s="414" t="s">
        <v>1690</v>
      </c>
      <c r="D554" s="435" t="s">
        <v>1691</v>
      </c>
      <c r="E554" s="386" t="s">
        <v>18</v>
      </c>
      <c r="F554" s="317"/>
      <c r="G554" s="318"/>
      <c r="H554" s="318"/>
      <c r="I554" s="318"/>
    </row>
    <row r="555" ht="12.75" customHeight="1" spans="1:9">
      <c r="A555" s="314">
        <v>8</v>
      </c>
      <c r="B555" s="278">
        <v>252610247</v>
      </c>
      <c r="C555" s="321" t="s">
        <v>1692</v>
      </c>
      <c r="D555" s="434" t="s">
        <v>1693</v>
      </c>
      <c r="E555" s="385" t="s">
        <v>23</v>
      </c>
      <c r="F555" s="317"/>
      <c r="G555" s="318"/>
      <c r="H555" s="318"/>
      <c r="I555" s="318"/>
    </row>
    <row r="556" ht="12.75" customHeight="1" spans="1:9">
      <c r="A556" s="314">
        <v>9</v>
      </c>
      <c r="B556" s="276">
        <v>252610342</v>
      </c>
      <c r="C556" s="321" t="s">
        <v>1694</v>
      </c>
      <c r="D556" s="434" t="s">
        <v>1695</v>
      </c>
      <c r="E556" s="385" t="s">
        <v>18</v>
      </c>
      <c r="F556" s="317"/>
      <c r="G556" s="318"/>
      <c r="H556" s="318"/>
      <c r="I556" s="318"/>
    </row>
    <row r="557" ht="12.75" customHeight="1" spans="1:9">
      <c r="A557" s="314">
        <v>10</v>
      </c>
      <c r="B557" s="278">
        <v>252610343</v>
      </c>
      <c r="C557" s="321" t="s">
        <v>1696</v>
      </c>
      <c r="D557" s="434" t="s">
        <v>1697</v>
      </c>
      <c r="E557" s="385" t="s">
        <v>23</v>
      </c>
      <c r="F557" s="317"/>
      <c r="G557" s="318"/>
      <c r="H557" s="318"/>
      <c r="I557" s="318"/>
    </row>
    <row r="558" ht="12.75" customHeight="1" spans="1:9">
      <c r="A558" s="314">
        <v>11</v>
      </c>
      <c r="B558" s="276">
        <v>252610105</v>
      </c>
      <c r="C558" s="315" t="s">
        <v>1698</v>
      </c>
      <c r="D558" s="434" t="s">
        <v>1699</v>
      </c>
      <c r="E558" s="385" t="s">
        <v>23</v>
      </c>
      <c r="F558" s="317"/>
      <c r="G558" s="318"/>
      <c r="H558" s="318"/>
      <c r="I558" s="318"/>
    </row>
    <row r="559" ht="12.75" customHeight="1" spans="1:9">
      <c r="A559" s="314">
        <v>12</v>
      </c>
      <c r="B559" s="278">
        <v>252610300</v>
      </c>
      <c r="C559" s="315" t="s">
        <v>1700</v>
      </c>
      <c r="D559" s="434" t="s">
        <v>1701</v>
      </c>
      <c r="E559" s="385" t="s">
        <v>18</v>
      </c>
      <c r="F559" s="317"/>
      <c r="G559" s="318"/>
      <c r="H559" s="318"/>
      <c r="I559" s="318"/>
    </row>
    <row r="560" ht="12.75" customHeight="1" spans="1:9">
      <c r="A560" s="314">
        <v>13</v>
      </c>
      <c r="B560" s="276">
        <v>252610061</v>
      </c>
      <c r="C560" s="321" t="s">
        <v>1702</v>
      </c>
      <c r="D560" s="434" t="s">
        <v>1703</v>
      </c>
      <c r="E560" s="385" t="s">
        <v>23</v>
      </c>
      <c r="F560" s="317"/>
      <c r="G560" s="318"/>
      <c r="H560" s="318"/>
      <c r="I560" s="318"/>
    </row>
    <row r="561" ht="12.75" customHeight="1" spans="1:9">
      <c r="A561" s="314">
        <v>14</v>
      </c>
      <c r="B561" s="278">
        <v>252610446</v>
      </c>
      <c r="C561" s="321" t="s">
        <v>1704</v>
      </c>
      <c r="D561" s="434" t="s">
        <v>1705</v>
      </c>
      <c r="E561" s="385" t="s">
        <v>23</v>
      </c>
      <c r="F561" s="317"/>
      <c r="G561" s="318"/>
      <c r="H561" s="318"/>
      <c r="I561" s="318"/>
    </row>
    <row r="562" ht="12.75" customHeight="1" spans="1:9">
      <c r="A562" s="314">
        <v>15</v>
      </c>
      <c r="B562" s="276">
        <v>252610494</v>
      </c>
      <c r="C562" s="321" t="s">
        <v>1706</v>
      </c>
      <c r="D562" s="434" t="s">
        <v>1707</v>
      </c>
      <c r="E562" s="385" t="s">
        <v>23</v>
      </c>
      <c r="F562" s="317"/>
      <c r="G562" s="318"/>
      <c r="H562" s="318"/>
      <c r="I562" s="318"/>
    </row>
    <row r="563" ht="12.75" customHeight="1" spans="1:9">
      <c r="A563" s="314">
        <v>16</v>
      </c>
      <c r="B563" s="278">
        <v>252610064</v>
      </c>
      <c r="C563" s="315" t="s">
        <v>1708</v>
      </c>
      <c r="D563" s="434" t="s">
        <v>1709</v>
      </c>
      <c r="E563" s="385" t="s">
        <v>23</v>
      </c>
      <c r="F563" s="317"/>
      <c r="G563" s="318"/>
      <c r="H563" s="318"/>
      <c r="I563" s="318"/>
    </row>
    <row r="564" ht="12.75" customHeight="1" spans="1:9">
      <c r="A564" s="314">
        <v>17</v>
      </c>
      <c r="B564" s="276">
        <v>252610355</v>
      </c>
      <c r="C564" s="315" t="s">
        <v>1710</v>
      </c>
      <c r="D564" s="434" t="s">
        <v>1711</v>
      </c>
      <c r="E564" s="385" t="s">
        <v>18</v>
      </c>
      <c r="F564" s="317"/>
      <c r="G564" s="318"/>
      <c r="H564" s="318"/>
      <c r="I564" s="318"/>
    </row>
    <row r="565" ht="12.75" customHeight="1" spans="1:9">
      <c r="A565" s="314">
        <v>18</v>
      </c>
      <c r="B565" s="278">
        <v>252610449</v>
      </c>
      <c r="C565" s="315" t="s">
        <v>1712</v>
      </c>
      <c r="D565" s="434" t="s">
        <v>1713</v>
      </c>
      <c r="E565" s="385" t="s">
        <v>18</v>
      </c>
      <c r="F565" s="317"/>
      <c r="G565" s="318"/>
      <c r="H565" s="318"/>
      <c r="I565" s="318"/>
    </row>
    <row r="566" ht="12.75" customHeight="1" spans="1:9">
      <c r="A566" s="314">
        <v>19</v>
      </c>
      <c r="B566" s="276">
        <v>252610166</v>
      </c>
      <c r="C566" s="321" t="s">
        <v>1714</v>
      </c>
      <c r="D566" s="434" t="s">
        <v>1715</v>
      </c>
      <c r="E566" s="385" t="s">
        <v>18</v>
      </c>
      <c r="F566" s="317"/>
      <c r="G566" s="318"/>
      <c r="H566" s="318"/>
      <c r="I566" s="318"/>
    </row>
    <row r="567" ht="12.75" customHeight="1" spans="1:9">
      <c r="A567" s="314">
        <v>20</v>
      </c>
      <c r="B567" s="278">
        <v>252610308</v>
      </c>
      <c r="C567" s="315" t="s">
        <v>1716</v>
      </c>
      <c r="D567" s="434" t="s">
        <v>1717</v>
      </c>
      <c r="E567" s="385" t="s">
        <v>18</v>
      </c>
      <c r="F567" s="317"/>
      <c r="G567" s="318"/>
      <c r="H567" s="318"/>
      <c r="I567" s="318"/>
    </row>
    <row r="568" ht="12.75" customHeight="1" spans="1:9">
      <c r="A568" s="314">
        <v>21</v>
      </c>
      <c r="B568" s="276">
        <v>252610499</v>
      </c>
      <c r="C568" s="315" t="s">
        <v>1718</v>
      </c>
      <c r="D568" s="434" t="s">
        <v>1719</v>
      </c>
      <c r="E568" s="385" t="s">
        <v>23</v>
      </c>
      <c r="F568" s="317"/>
      <c r="G568" s="318"/>
      <c r="H568" s="318"/>
      <c r="I568" s="318"/>
    </row>
    <row r="569" ht="12.75" customHeight="1" spans="1:9">
      <c r="A569" s="314">
        <v>22</v>
      </c>
      <c r="B569" s="278">
        <v>252610120</v>
      </c>
      <c r="C569" s="315" t="s">
        <v>1720</v>
      </c>
      <c r="D569" s="434" t="s">
        <v>1721</v>
      </c>
      <c r="E569" s="385" t="s">
        <v>23</v>
      </c>
      <c r="F569" s="317"/>
      <c r="G569" s="318"/>
      <c r="H569" s="318"/>
      <c r="I569" s="318"/>
    </row>
    <row r="570" ht="12.75" customHeight="1" spans="1:9">
      <c r="A570" s="314">
        <v>23</v>
      </c>
      <c r="B570" s="276">
        <v>252610217</v>
      </c>
      <c r="C570" s="315" t="s">
        <v>1722</v>
      </c>
      <c r="D570" s="434" t="s">
        <v>1723</v>
      </c>
      <c r="E570" s="385" t="s">
        <v>23</v>
      </c>
      <c r="F570" s="317"/>
      <c r="G570" s="318"/>
      <c r="H570" s="318"/>
      <c r="I570" s="318"/>
    </row>
    <row r="571" ht="12.75" customHeight="1" spans="1:9">
      <c r="A571" s="314">
        <v>24</v>
      </c>
      <c r="B571" s="278">
        <v>252610410</v>
      </c>
      <c r="C571" s="315" t="s">
        <v>1724</v>
      </c>
      <c r="D571" s="434" t="s">
        <v>1725</v>
      </c>
      <c r="E571" s="385" t="s">
        <v>23</v>
      </c>
      <c r="F571" s="317"/>
      <c r="G571" s="318"/>
      <c r="H571" s="318"/>
      <c r="I571" s="318"/>
    </row>
    <row r="572" ht="12.75" customHeight="1" spans="1:9">
      <c r="A572" s="314">
        <v>25</v>
      </c>
      <c r="B572" s="284">
        <v>252610028</v>
      </c>
      <c r="C572" s="414" t="s">
        <v>1726</v>
      </c>
      <c r="D572" s="448" t="s">
        <v>1727</v>
      </c>
      <c r="E572" s="386" t="s">
        <v>23</v>
      </c>
      <c r="F572" s="317"/>
      <c r="G572" s="318"/>
      <c r="H572" s="318"/>
      <c r="I572" s="318"/>
    </row>
    <row r="573" ht="12.75" customHeight="1" spans="1:9">
      <c r="A573" s="314">
        <v>26</v>
      </c>
      <c r="B573" s="278">
        <v>252610556</v>
      </c>
      <c r="C573" s="315" t="s">
        <v>1728</v>
      </c>
      <c r="D573" s="434" t="s">
        <v>1729</v>
      </c>
      <c r="E573" s="436" t="s">
        <v>23</v>
      </c>
      <c r="F573" s="317"/>
      <c r="G573" s="318"/>
      <c r="H573" s="318"/>
      <c r="I573" s="318"/>
    </row>
    <row r="574" ht="12.75" customHeight="1" spans="1:9">
      <c r="A574" s="314">
        <v>27</v>
      </c>
      <c r="B574" s="276">
        <v>252610315</v>
      </c>
      <c r="C574" s="315" t="s">
        <v>1730</v>
      </c>
      <c r="D574" s="434" t="s">
        <v>1731</v>
      </c>
      <c r="E574" s="385" t="s">
        <v>23</v>
      </c>
      <c r="F574" s="317"/>
      <c r="G574" s="318"/>
      <c r="H574" s="318"/>
      <c r="I574" s="318"/>
    </row>
    <row r="575" ht="12.75" customHeight="1" spans="1:9">
      <c r="A575" s="314">
        <v>28</v>
      </c>
      <c r="B575" s="278">
        <v>252610269</v>
      </c>
      <c r="C575" s="315" t="s">
        <v>1732</v>
      </c>
      <c r="D575" s="434" t="s">
        <v>1733</v>
      </c>
      <c r="E575" s="385" t="s">
        <v>18</v>
      </c>
      <c r="F575" s="317"/>
      <c r="G575" s="318"/>
      <c r="H575" s="318"/>
      <c r="I575" s="318"/>
    </row>
    <row r="576" ht="12.75" customHeight="1" spans="1:9">
      <c r="A576" s="314">
        <v>29</v>
      </c>
      <c r="B576" s="276">
        <v>252610078</v>
      </c>
      <c r="C576" s="315" t="s">
        <v>1734</v>
      </c>
      <c r="D576" s="434" t="s">
        <v>1735</v>
      </c>
      <c r="E576" s="385" t="s">
        <v>18</v>
      </c>
      <c r="F576" s="317"/>
      <c r="G576" s="318"/>
      <c r="H576" s="318"/>
      <c r="I576" s="318"/>
    </row>
    <row r="577" ht="12.75" customHeight="1" spans="1:9">
      <c r="A577" s="314">
        <v>30</v>
      </c>
      <c r="B577" s="278">
        <v>252610272</v>
      </c>
      <c r="C577" s="315" t="s">
        <v>1736</v>
      </c>
      <c r="D577" s="434" t="s">
        <v>1737</v>
      </c>
      <c r="E577" s="385" t="s">
        <v>18</v>
      </c>
      <c r="F577" s="317"/>
      <c r="G577" s="318"/>
      <c r="H577" s="318"/>
      <c r="I577" s="318"/>
    </row>
    <row r="578" ht="12.75" customHeight="1" spans="1:9">
      <c r="A578" s="314">
        <v>31</v>
      </c>
      <c r="B578" s="276">
        <v>252610178</v>
      </c>
      <c r="C578" s="315" t="s">
        <v>1738</v>
      </c>
      <c r="D578" s="434" t="s">
        <v>1739</v>
      </c>
      <c r="E578" s="385" t="s">
        <v>23</v>
      </c>
      <c r="F578" s="317"/>
      <c r="G578" s="318"/>
      <c r="H578" s="318"/>
      <c r="I578" s="318"/>
    </row>
    <row r="579" ht="12.75" customHeight="1" spans="1:9">
      <c r="A579" s="314">
        <v>32</v>
      </c>
      <c r="B579" s="276">
        <v>252610225</v>
      </c>
      <c r="C579" s="315" t="s">
        <v>1506</v>
      </c>
      <c r="D579" s="434" t="s">
        <v>1740</v>
      </c>
      <c r="E579" s="385" t="s">
        <v>18</v>
      </c>
      <c r="F579" s="317"/>
      <c r="G579" s="318"/>
      <c r="H579" s="318"/>
      <c r="I579" s="318"/>
    </row>
    <row r="580" ht="12.75" customHeight="1" spans="1:9">
      <c r="A580" s="314">
        <v>33</v>
      </c>
      <c r="B580" s="278">
        <v>252610083</v>
      </c>
      <c r="C580" s="315" t="s">
        <v>1741</v>
      </c>
      <c r="D580" s="434" t="s">
        <v>1742</v>
      </c>
      <c r="E580" s="385" t="s">
        <v>23</v>
      </c>
      <c r="F580" s="317"/>
      <c r="G580" s="318"/>
      <c r="H580" s="318"/>
      <c r="I580" s="318"/>
    </row>
    <row r="581" ht="12.75" customHeight="1" spans="1:9">
      <c r="A581" s="314">
        <v>34</v>
      </c>
      <c r="B581" s="276">
        <v>252610466</v>
      </c>
      <c r="C581" s="315" t="s">
        <v>1743</v>
      </c>
      <c r="D581" s="434" t="s">
        <v>1744</v>
      </c>
      <c r="E581" s="385" t="s">
        <v>18</v>
      </c>
      <c r="F581" s="317"/>
      <c r="G581" s="318"/>
      <c r="H581" s="318"/>
      <c r="I581" s="318"/>
    </row>
    <row r="582" ht="12.75" customHeight="1" spans="1:9">
      <c r="A582" s="314">
        <v>35</v>
      </c>
      <c r="B582" s="278">
        <v>252610180</v>
      </c>
      <c r="C582" s="315" t="s">
        <v>1745</v>
      </c>
      <c r="D582" s="434" t="s">
        <v>1746</v>
      </c>
      <c r="E582" s="385" t="s">
        <v>18</v>
      </c>
      <c r="F582" s="326"/>
      <c r="G582" s="327"/>
      <c r="H582" s="327"/>
      <c r="I582" s="327"/>
    </row>
    <row r="583" ht="12.75" customHeight="1" spans="1:9">
      <c r="A583" s="314">
        <v>36</v>
      </c>
      <c r="B583" s="276">
        <v>252610515</v>
      </c>
      <c r="C583" s="315" t="s">
        <v>1747</v>
      </c>
      <c r="D583" s="434" t="s">
        <v>1748</v>
      </c>
      <c r="E583" s="385" t="s">
        <v>18</v>
      </c>
      <c r="F583" s="318"/>
      <c r="G583" s="318"/>
      <c r="H583" s="318"/>
      <c r="I583" s="318"/>
    </row>
    <row r="584" ht="12.75" customHeight="1" spans="1:9">
      <c r="A584" s="314">
        <v>37</v>
      </c>
      <c r="B584" s="278">
        <v>252610565</v>
      </c>
      <c r="C584" s="315" t="s">
        <v>1749</v>
      </c>
      <c r="D584" s="434" t="s">
        <v>1750</v>
      </c>
      <c r="E584" s="385" t="s">
        <v>23</v>
      </c>
      <c r="F584" s="318"/>
      <c r="G584" s="318"/>
      <c r="H584" s="318"/>
      <c r="I584" s="318"/>
    </row>
    <row r="585" ht="12.75" customHeight="1" spans="1:9">
      <c r="A585" s="314">
        <v>38</v>
      </c>
      <c r="B585" s="278">
        <v>252610374</v>
      </c>
      <c r="C585" s="315" t="s">
        <v>1751</v>
      </c>
      <c r="D585" s="434" t="s">
        <v>1752</v>
      </c>
      <c r="E585" s="385" t="s">
        <v>23</v>
      </c>
      <c r="F585" s="318"/>
      <c r="G585" s="318"/>
      <c r="H585" s="318"/>
      <c r="I585" s="318"/>
    </row>
    <row r="586" ht="12.75" customHeight="1" spans="1:9">
      <c r="A586" s="314">
        <v>39</v>
      </c>
      <c r="B586" s="276">
        <v>252610280</v>
      </c>
      <c r="C586" s="315" t="s">
        <v>1753</v>
      </c>
      <c r="D586" s="434" t="s">
        <v>1754</v>
      </c>
      <c r="E586" s="385" t="s">
        <v>18</v>
      </c>
      <c r="F586" s="318"/>
      <c r="G586" s="318"/>
      <c r="H586" s="318"/>
      <c r="I586" s="318"/>
    </row>
    <row r="587" ht="12.75" customHeight="1" spans="1:9">
      <c r="A587" s="314">
        <v>40</v>
      </c>
      <c r="B587" s="278">
        <v>252610281</v>
      </c>
      <c r="C587" s="315" t="s">
        <v>1755</v>
      </c>
      <c r="D587" s="434" t="s">
        <v>1756</v>
      </c>
      <c r="E587" s="385" t="s">
        <v>18</v>
      </c>
      <c r="F587" s="318"/>
      <c r="G587" s="318"/>
      <c r="H587" s="318"/>
      <c r="I587" s="318"/>
    </row>
    <row r="588" ht="12.75" customHeight="1" spans="1:9">
      <c r="A588" s="314">
        <v>41</v>
      </c>
      <c r="B588" s="276">
        <v>252610423</v>
      </c>
      <c r="C588" s="315" t="s">
        <v>1757</v>
      </c>
      <c r="D588" s="434" t="s">
        <v>1758</v>
      </c>
      <c r="E588" s="385" t="s">
        <v>18</v>
      </c>
      <c r="F588" s="318"/>
      <c r="G588" s="318"/>
      <c r="H588" s="318"/>
      <c r="I588" s="318"/>
    </row>
    <row r="589" ht="12.75" customHeight="1" spans="1:9">
      <c r="A589" s="314">
        <v>42</v>
      </c>
      <c r="B589" s="278">
        <v>252610375</v>
      </c>
      <c r="C589" s="315" t="s">
        <v>1759</v>
      </c>
      <c r="D589" s="434" t="s">
        <v>1760</v>
      </c>
      <c r="E589" s="385" t="s">
        <v>18</v>
      </c>
      <c r="F589" s="318"/>
      <c r="G589" s="318"/>
      <c r="H589" s="318"/>
      <c r="I589" s="318"/>
    </row>
    <row r="590" ht="12.75" customHeight="1" spans="1:9">
      <c r="A590" s="314">
        <v>43</v>
      </c>
      <c r="B590" s="276">
        <v>252610189</v>
      </c>
      <c r="C590" s="315" t="s">
        <v>1761</v>
      </c>
      <c r="D590" s="434" t="s">
        <v>1762</v>
      </c>
      <c r="E590" s="385" t="s">
        <v>18</v>
      </c>
      <c r="F590" s="318"/>
      <c r="G590" s="318"/>
      <c r="H590" s="318"/>
      <c r="I590" s="318"/>
    </row>
    <row r="591" ht="12.75" customHeight="1" spans="1:9">
      <c r="A591" s="314">
        <v>44</v>
      </c>
      <c r="B591" s="278">
        <v>252610141</v>
      </c>
      <c r="C591" s="315" t="s">
        <v>1763</v>
      </c>
      <c r="D591" s="434" t="s">
        <v>1764</v>
      </c>
      <c r="E591" s="385" t="s">
        <v>18</v>
      </c>
      <c r="F591" s="318"/>
      <c r="G591" s="318"/>
      <c r="H591" s="318"/>
      <c r="I591" s="318"/>
    </row>
    <row r="592" ht="12.75" customHeight="1" spans="1:9">
      <c r="A592" s="314">
        <v>45</v>
      </c>
      <c r="B592" s="276">
        <v>252610283</v>
      </c>
      <c r="C592" s="315" t="s">
        <v>1765</v>
      </c>
      <c r="D592" s="434" t="s">
        <v>1766</v>
      </c>
      <c r="E592" s="385" t="s">
        <v>18</v>
      </c>
      <c r="F592" s="318"/>
      <c r="G592" s="318"/>
      <c r="H592" s="318"/>
      <c r="I592" s="318"/>
    </row>
    <row r="593" ht="12.75" customHeight="1" spans="1:9">
      <c r="A593" s="314">
        <v>46</v>
      </c>
      <c r="B593" s="278">
        <v>252610475</v>
      </c>
      <c r="C593" s="315" t="s">
        <v>1767</v>
      </c>
      <c r="D593" s="434" t="s">
        <v>1768</v>
      </c>
      <c r="E593" s="385" t="s">
        <v>18</v>
      </c>
      <c r="F593" s="318"/>
      <c r="G593" s="318"/>
      <c r="H593" s="318"/>
      <c r="I593" s="318"/>
    </row>
    <row r="594" ht="12.75" customHeight="1" spans="1:9">
      <c r="A594" s="314">
        <v>47</v>
      </c>
      <c r="B594" s="276">
        <v>252610476</v>
      </c>
      <c r="C594" s="315" t="s">
        <v>1769</v>
      </c>
      <c r="D594" s="434" t="s">
        <v>1770</v>
      </c>
      <c r="E594" s="385" t="s">
        <v>18</v>
      </c>
      <c r="F594" s="318"/>
      <c r="G594" s="318"/>
      <c r="H594" s="318"/>
      <c r="I594" s="318"/>
    </row>
    <row r="595" ht="12.75" customHeight="1" spans="1:9">
      <c r="A595" s="314">
        <v>48</v>
      </c>
      <c r="B595" s="278">
        <v>252610525</v>
      </c>
      <c r="C595" s="315" t="s">
        <v>1771</v>
      </c>
      <c r="D595" s="434" t="s">
        <v>1772</v>
      </c>
      <c r="E595" s="385" t="s">
        <v>18</v>
      </c>
      <c r="F595" s="318"/>
      <c r="G595" s="318"/>
      <c r="H595" s="318"/>
      <c r="I595" s="318"/>
    </row>
    <row r="596" s="289" customFormat="1" ht="12.75" customHeight="1" spans="1:9">
      <c r="A596" s="293"/>
      <c r="B596" s="344"/>
      <c r="C596" s="345"/>
      <c r="D596" s="346" t="s">
        <v>89</v>
      </c>
      <c r="E596" s="347">
        <f>COUNTIF(E548:E595,"L")</f>
        <v>19</v>
      </c>
    </row>
    <row r="597" s="289" customFormat="1" ht="12.75" customHeight="1" spans="1:9">
      <c r="A597" s="293"/>
      <c r="B597" s="333"/>
      <c r="C597" s="345"/>
      <c r="D597" s="346" t="s">
        <v>90</v>
      </c>
      <c r="E597" s="347">
        <f>COUNTIF(E548:E595,"P")</f>
        <v>29</v>
      </c>
    </row>
    <row r="598" s="289" customFormat="1" ht="12.75" customHeight="1" spans="1:9">
      <c r="A598" s="293"/>
      <c r="B598" s="334" t="s">
        <v>91</v>
      </c>
      <c r="C598" s="423"/>
      <c r="D598" s="304"/>
      <c r="E598" s="293"/>
      <c r="F598" s="289" t="s">
        <v>92</v>
      </c>
    </row>
    <row r="599" s="289" customFormat="1" ht="12.75" customHeight="1" spans="1:9">
      <c r="A599" s="293"/>
      <c r="B599" s="334"/>
      <c r="C599" s="423"/>
      <c r="D599" s="304"/>
      <c r="E599" s="293"/>
    </row>
    <row r="600" s="289" customFormat="1" ht="12.75" customHeight="1" spans="1:9">
      <c r="A600" s="293"/>
      <c r="B600" s="334"/>
      <c r="C600" s="423"/>
      <c r="D600" s="304"/>
      <c r="E600" s="293"/>
    </row>
    <row r="601" s="289" customFormat="1" ht="12.75" customHeight="1" spans="1:9">
      <c r="A601" s="293"/>
      <c r="B601" s="334"/>
      <c r="C601" s="423"/>
      <c r="D601" s="304"/>
      <c r="E601" s="293"/>
    </row>
    <row r="602" s="289" customFormat="1" ht="12.75" customHeight="1" spans="1:9">
      <c r="A602" s="293"/>
      <c r="B602" s="338" t="s">
        <v>93</v>
      </c>
      <c r="C602" s="423"/>
      <c r="D602" s="304"/>
      <c r="E602" s="293"/>
      <c r="F602" s="289" t="s">
        <v>94</v>
      </c>
    </row>
    <row r="603" s="289" customFormat="1" ht="12.75" customHeight="1" spans="1:9">
      <c r="A603" s="293"/>
      <c r="B603" s="400" t="s">
        <v>95</v>
      </c>
      <c r="C603" s="423"/>
      <c r="D603" s="304"/>
      <c r="E603" s="293"/>
    </row>
    <row r="604" ht="12.75" customHeight="1" spans="1:9">
      <c r="A604" s="297" t="s">
        <v>1</v>
      </c>
      <c r="B604" s="297"/>
      <c r="C604" s="297"/>
      <c r="D604" s="297"/>
      <c r="E604" s="297"/>
      <c r="F604" s="297"/>
      <c r="G604" s="297"/>
      <c r="H604" s="297"/>
      <c r="I604" s="297"/>
    </row>
    <row r="605" ht="12.75" customHeight="1" spans="1:9">
      <c r="A605" s="297" t="s">
        <v>2</v>
      </c>
      <c r="B605" s="297"/>
      <c r="C605" s="297"/>
      <c r="D605" s="297"/>
      <c r="E605" s="297"/>
      <c r="F605" s="297"/>
      <c r="G605" s="297"/>
      <c r="H605" s="297"/>
      <c r="I605" s="297"/>
    </row>
    <row r="606" ht="12.75" customHeight="1" spans="1:9">
      <c r="A606" s="297" t="s">
        <v>3</v>
      </c>
      <c r="B606" s="297"/>
      <c r="C606" s="297"/>
      <c r="D606" s="297"/>
      <c r="E606" s="297"/>
      <c r="F606" s="297"/>
      <c r="G606" s="297"/>
      <c r="H606" s="297"/>
      <c r="I606" s="297"/>
    </row>
    <row r="607" s="291" customFormat="1" ht="16.5" customHeight="1" spans="1:9">
      <c r="A607" s="298" t="s">
        <v>4</v>
      </c>
      <c r="B607" s="298"/>
      <c r="C607" s="298"/>
      <c r="D607" s="298"/>
      <c r="E607" s="298"/>
      <c r="F607" s="298"/>
      <c r="G607" s="298"/>
      <c r="H607" s="298"/>
      <c r="I607" s="298"/>
    </row>
    <row r="608" ht="12.75" customHeight="1" spans="1:9">
      <c r="A608" s="299" t="s">
        <v>5</v>
      </c>
      <c r="B608" s="299"/>
      <c r="C608" s="299"/>
      <c r="D608" s="299"/>
      <c r="E608" s="299"/>
      <c r="F608" s="299"/>
      <c r="G608" s="299"/>
      <c r="H608" s="299"/>
      <c r="I608" s="299"/>
    </row>
    <row r="609" customHeight="1" spans="1:9">
      <c r="A609" s="299"/>
      <c r="B609" s="299"/>
      <c r="C609" s="299"/>
      <c r="D609" s="299"/>
      <c r="E609" s="299"/>
      <c r="F609" s="299"/>
      <c r="G609" s="299"/>
      <c r="H609" s="299"/>
      <c r="I609" s="299"/>
    </row>
    <row r="610" ht="12.75" customHeight="1" spans="1:9">
      <c r="A610" s="299"/>
      <c r="B610" s="299"/>
      <c r="C610" s="299"/>
      <c r="D610" s="299"/>
      <c r="E610" s="299"/>
      <c r="F610" s="299"/>
      <c r="G610" s="299"/>
      <c r="H610" s="299"/>
      <c r="I610" s="299"/>
    </row>
    <row r="611" s="289" customFormat="1" ht="12.75" customHeight="1" spans="1:9">
      <c r="A611" s="300" t="s">
        <v>6</v>
      </c>
      <c r="B611" s="300"/>
      <c r="C611" s="300"/>
      <c r="D611" s="300"/>
      <c r="E611" s="300"/>
      <c r="F611" s="300"/>
      <c r="G611" s="300"/>
      <c r="H611" s="300"/>
      <c r="I611" s="300"/>
    </row>
    <row r="612" s="289" customFormat="1" ht="12.75" customHeight="1" spans="1:9">
      <c r="A612" s="300"/>
      <c r="B612" s="300"/>
      <c r="C612" s="300"/>
      <c r="D612" s="300"/>
      <c r="E612" s="300"/>
      <c r="F612" s="300"/>
      <c r="G612" s="300"/>
      <c r="H612" s="300"/>
      <c r="I612" s="300"/>
    </row>
    <row r="613" s="289" customFormat="1" ht="12.75" customHeight="1" spans="1:9">
      <c r="A613" s="301"/>
      <c r="B613" s="302" t="s">
        <v>1773</v>
      </c>
      <c r="C613" s="406"/>
      <c r="E613" s="383" t="s">
        <v>8</v>
      </c>
      <c r="F613" s="306" t="s">
        <v>1774</v>
      </c>
      <c r="G613" s="401"/>
      <c r="H613" s="401"/>
      <c r="I613" s="401"/>
    </row>
    <row r="614" s="289" customFormat="1" ht="19.5" customHeight="1" spans="1:9">
      <c r="A614" s="307" t="s">
        <v>10</v>
      </c>
      <c r="B614" s="308" t="s">
        <v>11</v>
      </c>
      <c r="C614" s="309" t="s">
        <v>12</v>
      </c>
      <c r="D614" s="308" t="s">
        <v>13</v>
      </c>
      <c r="E614" s="308" t="s">
        <v>14</v>
      </c>
      <c r="F614" s="310"/>
      <c r="G614" s="310"/>
      <c r="H614" s="310"/>
      <c r="I614" s="310"/>
    </row>
    <row r="615" ht="12.75" customHeight="1" spans="1:9">
      <c r="A615" s="314">
        <v>1</v>
      </c>
      <c r="B615" s="276">
        <v>252610146</v>
      </c>
      <c r="C615" s="371" t="s">
        <v>1775</v>
      </c>
      <c r="D615" s="431" t="s">
        <v>1776</v>
      </c>
      <c r="E615" s="341" t="s">
        <v>23</v>
      </c>
      <c r="F615" s="317"/>
      <c r="G615" s="318"/>
      <c r="H615" s="318"/>
      <c r="I615" s="318"/>
    </row>
    <row r="616" s="291" customFormat="1" ht="12.75" customHeight="1" spans="1:9">
      <c r="A616" s="314">
        <v>2</v>
      </c>
      <c r="B616" s="278">
        <v>252610099</v>
      </c>
      <c r="C616" s="371" t="s">
        <v>1777</v>
      </c>
      <c r="D616" s="431" t="s">
        <v>1778</v>
      </c>
      <c r="E616" s="341" t="s">
        <v>18</v>
      </c>
      <c r="F616" s="317"/>
      <c r="G616" s="318"/>
      <c r="H616" s="318"/>
      <c r="I616" s="318"/>
    </row>
    <row r="617" ht="12.75" customHeight="1" spans="1:9">
      <c r="A617" s="314">
        <v>3</v>
      </c>
      <c r="B617" s="284">
        <v>252610006</v>
      </c>
      <c r="C617" s="439" t="s">
        <v>1779</v>
      </c>
      <c r="D617" s="440" t="s">
        <v>1780</v>
      </c>
      <c r="E617" s="314" t="s">
        <v>23</v>
      </c>
      <c r="F617" s="317"/>
      <c r="G617" s="318"/>
      <c r="H617" s="318"/>
      <c r="I617" s="318"/>
    </row>
    <row r="618" ht="12.75" customHeight="1" spans="1:9">
      <c r="A618" s="314">
        <v>4</v>
      </c>
      <c r="B618" s="278">
        <v>252610533</v>
      </c>
      <c r="C618" s="371" t="s">
        <v>1781</v>
      </c>
      <c r="D618" s="431" t="s">
        <v>1782</v>
      </c>
      <c r="E618" s="341" t="s">
        <v>18</v>
      </c>
      <c r="F618" s="317"/>
      <c r="G618" s="318"/>
      <c r="H618" s="318"/>
      <c r="I618" s="318"/>
    </row>
    <row r="619" ht="12.75" customHeight="1" spans="1:9">
      <c r="A619" s="314">
        <v>5</v>
      </c>
      <c r="B619" s="276">
        <v>252610344</v>
      </c>
      <c r="C619" s="371" t="s">
        <v>1783</v>
      </c>
      <c r="D619" s="431" t="s">
        <v>1784</v>
      </c>
      <c r="E619" s="341" t="s">
        <v>18</v>
      </c>
      <c r="F619" s="317"/>
      <c r="G619" s="318"/>
      <c r="H619" s="318"/>
      <c r="I619" s="318"/>
    </row>
    <row r="620" ht="12.75" customHeight="1" spans="1:9">
      <c r="A620" s="314">
        <v>6</v>
      </c>
      <c r="B620" s="278">
        <v>252610250</v>
      </c>
      <c r="C620" s="371" t="s">
        <v>1785</v>
      </c>
      <c r="D620" s="431" t="s">
        <v>1786</v>
      </c>
      <c r="E620" s="341" t="s">
        <v>23</v>
      </c>
      <c r="F620" s="317"/>
      <c r="G620" s="318"/>
      <c r="H620" s="318"/>
      <c r="I620" s="318"/>
    </row>
    <row r="621" ht="12.75" customHeight="1" spans="1:9">
      <c r="A621" s="314">
        <v>7</v>
      </c>
      <c r="B621" s="276">
        <v>252610539</v>
      </c>
      <c r="C621" s="371" t="s">
        <v>1787</v>
      </c>
      <c r="D621" s="431" t="s">
        <v>1788</v>
      </c>
      <c r="E621" s="341" t="s">
        <v>23</v>
      </c>
      <c r="F621" s="317"/>
      <c r="G621" s="318"/>
      <c r="H621" s="318"/>
      <c r="I621" s="318"/>
    </row>
    <row r="622" ht="12.75" customHeight="1" spans="1:9">
      <c r="A622" s="314">
        <v>8</v>
      </c>
      <c r="B622" s="278">
        <v>252610155</v>
      </c>
      <c r="C622" s="371" t="s">
        <v>1789</v>
      </c>
      <c r="D622" s="431" t="s">
        <v>1790</v>
      </c>
      <c r="E622" s="341" t="s">
        <v>18</v>
      </c>
      <c r="F622" s="317"/>
      <c r="G622" s="318"/>
      <c r="H622" s="318"/>
      <c r="I622" s="318"/>
    </row>
    <row r="623" ht="12.75" customHeight="1" spans="1:9">
      <c r="A623" s="314">
        <v>9</v>
      </c>
      <c r="B623" s="276">
        <v>252610108</v>
      </c>
      <c r="C623" s="371" t="s">
        <v>1791</v>
      </c>
      <c r="D623" s="431" t="s">
        <v>417</v>
      </c>
      <c r="E623" s="341" t="s">
        <v>18</v>
      </c>
      <c r="F623" s="317"/>
      <c r="G623" s="318"/>
      <c r="H623" s="318"/>
      <c r="I623" s="318"/>
    </row>
    <row r="624" ht="12.75" customHeight="1" spans="1:9">
      <c r="A624" s="314">
        <v>10</v>
      </c>
      <c r="B624" s="278">
        <v>252610204</v>
      </c>
      <c r="C624" s="371" t="s">
        <v>1792</v>
      </c>
      <c r="D624" s="431" t="s">
        <v>1793</v>
      </c>
      <c r="E624" s="341" t="s">
        <v>23</v>
      </c>
      <c r="F624" s="317"/>
      <c r="G624" s="318"/>
      <c r="H624" s="318"/>
      <c r="I624" s="318"/>
    </row>
    <row r="625" ht="12.75" customHeight="1" spans="1:11">
      <c r="A625" s="314">
        <v>11</v>
      </c>
      <c r="B625" s="276">
        <v>252610255</v>
      </c>
      <c r="C625" s="371" t="s">
        <v>1794</v>
      </c>
      <c r="D625" s="431" t="s">
        <v>1795</v>
      </c>
      <c r="E625" s="341" t="s">
        <v>18</v>
      </c>
      <c r="F625" s="317"/>
      <c r="G625" s="318"/>
      <c r="H625" s="318"/>
      <c r="I625" s="318"/>
    </row>
    <row r="626" ht="12.75" customHeight="1" spans="1:11">
      <c r="A626" s="314">
        <v>12</v>
      </c>
      <c r="B626" s="278">
        <v>252610490</v>
      </c>
      <c r="C626" s="371" t="s">
        <v>1796</v>
      </c>
      <c r="D626" s="431" t="s">
        <v>1797</v>
      </c>
      <c r="E626" s="341" t="s">
        <v>18</v>
      </c>
      <c r="F626" s="317"/>
      <c r="G626" s="318"/>
      <c r="H626" s="318"/>
      <c r="I626" s="318"/>
    </row>
    <row r="627" ht="12.75" customHeight="1" spans="1:11">
      <c r="A627" s="314">
        <v>13</v>
      </c>
      <c r="B627" s="276">
        <v>252610396</v>
      </c>
      <c r="C627" s="371" t="s">
        <v>1798</v>
      </c>
      <c r="D627" s="431" t="s">
        <v>1799</v>
      </c>
      <c r="E627" s="341" t="s">
        <v>23</v>
      </c>
      <c r="F627" s="317"/>
      <c r="G627" s="318"/>
      <c r="H627" s="318"/>
      <c r="I627" s="318"/>
    </row>
    <row r="628" ht="12.75" customHeight="1" spans="1:11">
      <c r="A628" s="314">
        <v>14</v>
      </c>
      <c r="B628" s="278">
        <v>252610062</v>
      </c>
      <c r="C628" s="371" t="s">
        <v>1800</v>
      </c>
      <c r="D628" s="431" t="s">
        <v>1801</v>
      </c>
      <c r="E628" s="341" t="s">
        <v>18</v>
      </c>
      <c r="F628" s="317"/>
      <c r="G628" s="318"/>
      <c r="H628" s="318"/>
      <c r="I628" s="318"/>
    </row>
    <row r="629" ht="12.75" customHeight="1" spans="1:11">
      <c r="A629" s="314">
        <v>15</v>
      </c>
      <c r="B629" s="276">
        <v>252610256</v>
      </c>
      <c r="C629" s="371" t="s">
        <v>1802</v>
      </c>
      <c r="D629" s="431" t="s">
        <v>1803</v>
      </c>
      <c r="E629" s="341" t="s">
        <v>23</v>
      </c>
      <c r="F629" s="317"/>
      <c r="G629" s="318"/>
      <c r="H629" s="318"/>
      <c r="I629" s="318"/>
    </row>
    <row r="630" ht="12.75" customHeight="1" spans="1:11">
      <c r="A630" s="314">
        <v>16</v>
      </c>
      <c r="B630" s="278">
        <v>252610112</v>
      </c>
      <c r="C630" s="371" t="s">
        <v>1804</v>
      </c>
      <c r="D630" s="431" t="s">
        <v>1805</v>
      </c>
      <c r="E630" s="341" t="s">
        <v>18</v>
      </c>
      <c r="F630" s="317"/>
      <c r="G630" s="318"/>
      <c r="H630" s="318"/>
      <c r="I630" s="318"/>
    </row>
    <row r="631" ht="12.75" customHeight="1" spans="1:11">
      <c r="A631" s="314">
        <v>17</v>
      </c>
      <c r="B631" s="276">
        <v>252610304</v>
      </c>
      <c r="C631" s="371" t="s">
        <v>1806</v>
      </c>
      <c r="D631" s="431" t="s">
        <v>1807</v>
      </c>
      <c r="E631" s="341" t="s">
        <v>23</v>
      </c>
      <c r="F631" s="317"/>
      <c r="G631" s="318"/>
      <c r="H631" s="318"/>
      <c r="I631" s="318"/>
    </row>
    <row r="632" ht="12.75" customHeight="1" spans="1:11">
      <c r="A632" s="314">
        <v>18</v>
      </c>
      <c r="B632" s="278">
        <v>252610113</v>
      </c>
      <c r="C632" s="371" t="s">
        <v>1808</v>
      </c>
      <c r="D632" s="431" t="s">
        <v>1809</v>
      </c>
      <c r="E632" s="341" t="s">
        <v>23</v>
      </c>
      <c r="F632" s="317"/>
      <c r="G632" s="318"/>
      <c r="H632" s="318"/>
      <c r="I632" s="318"/>
    </row>
    <row r="633" ht="12.75" customHeight="1" spans="1:11">
      <c r="A633" s="314">
        <v>19</v>
      </c>
      <c r="B633" s="276">
        <v>252610399</v>
      </c>
      <c r="C633" s="371" t="s">
        <v>1810</v>
      </c>
      <c r="D633" s="431" t="s">
        <v>1811</v>
      </c>
      <c r="E633" s="341" t="s">
        <v>18</v>
      </c>
      <c r="F633" s="317"/>
      <c r="G633" s="318"/>
      <c r="H633" s="318"/>
      <c r="I633" s="318"/>
    </row>
    <row r="634" ht="12.75" customHeight="1" spans="1:11">
      <c r="A634" s="314">
        <v>20</v>
      </c>
      <c r="B634" s="286">
        <v>252610021</v>
      </c>
      <c r="C634" s="439" t="s">
        <v>1812</v>
      </c>
      <c r="D634" s="440" t="s">
        <v>1813</v>
      </c>
      <c r="E634" s="314" t="s">
        <v>18</v>
      </c>
      <c r="F634" s="317"/>
      <c r="G634" s="318"/>
      <c r="H634" s="318"/>
      <c r="I634" s="318"/>
    </row>
    <row r="635" ht="12.75" customHeight="1" spans="1:11">
      <c r="A635" s="314">
        <v>21</v>
      </c>
      <c r="B635" s="276">
        <v>252610209</v>
      </c>
      <c r="C635" s="371" t="s">
        <v>1814</v>
      </c>
      <c r="D635" s="431" t="s">
        <v>1815</v>
      </c>
      <c r="E635" s="341" t="s">
        <v>18</v>
      </c>
      <c r="F635" s="317"/>
      <c r="G635" s="318"/>
      <c r="H635" s="318"/>
      <c r="I635" s="318"/>
    </row>
    <row r="636" ht="12.75" customHeight="1" spans="1:11">
      <c r="A636" s="314">
        <v>22</v>
      </c>
      <c r="B636" s="278">
        <v>252610162</v>
      </c>
      <c r="C636" s="356" t="s">
        <v>1816</v>
      </c>
      <c r="D636" s="431" t="s">
        <v>1817</v>
      </c>
      <c r="E636" s="341" t="s">
        <v>23</v>
      </c>
      <c r="F636" s="317"/>
      <c r="G636" s="318"/>
      <c r="H636" s="318"/>
      <c r="I636" s="318"/>
    </row>
    <row r="637" ht="12.75" customHeight="1" spans="1:11">
      <c r="A637" s="314">
        <v>23</v>
      </c>
      <c r="B637" s="276">
        <v>252611575</v>
      </c>
      <c r="C637" s="371" t="s">
        <v>1818</v>
      </c>
      <c r="D637" s="431" t="s">
        <v>1819</v>
      </c>
      <c r="E637" s="341" t="s">
        <v>23</v>
      </c>
      <c r="F637" s="317"/>
      <c r="G637" s="318"/>
      <c r="H637" s="318"/>
      <c r="I637" s="318"/>
      <c r="K637" s="296" t="s">
        <v>1820</v>
      </c>
    </row>
    <row r="638" ht="12.75" customHeight="1" spans="1:11">
      <c r="A638" s="314">
        <v>24</v>
      </c>
      <c r="B638" s="276">
        <v>252610400</v>
      </c>
      <c r="C638" s="371" t="s">
        <v>1821</v>
      </c>
      <c r="D638" s="431" t="s">
        <v>1822</v>
      </c>
      <c r="E638" s="341" t="s">
        <v>23</v>
      </c>
      <c r="F638" s="317"/>
      <c r="G638" s="318"/>
      <c r="H638" s="318"/>
      <c r="I638" s="318"/>
    </row>
    <row r="639" ht="12.75" customHeight="1" spans="1:11">
      <c r="A639" s="314">
        <v>25</v>
      </c>
      <c r="B639" s="278">
        <v>252610356</v>
      </c>
      <c r="C639" s="371" t="s">
        <v>1823</v>
      </c>
      <c r="D639" s="431" t="s">
        <v>1824</v>
      </c>
      <c r="E639" s="341" t="s">
        <v>23</v>
      </c>
      <c r="F639" s="317"/>
      <c r="G639" s="318"/>
      <c r="H639" s="318"/>
      <c r="I639" s="318"/>
    </row>
    <row r="640" ht="12.75" customHeight="1" spans="1:11">
      <c r="A640" s="314">
        <v>26</v>
      </c>
      <c r="B640" s="284">
        <v>252610023</v>
      </c>
      <c r="C640" s="439" t="s">
        <v>1825</v>
      </c>
      <c r="D640" s="440" t="s">
        <v>1826</v>
      </c>
      <c r="E640" s="314" t="s">
        <v>18</v>
      </c>
      <c r="F640" s="317"/>
      <c r="G640" s="318"/>
      <c r="H640" s="318"/>
      <c r="I640" s="318"/>
    </row>
    <row r="641" ht="12.75" customHeight="1" spans="1:9">
      <c r="A641" s="314">
        <v>27</v>
      </c>
      <c r="B641" s="278">
        <v>252610452</v>
      </c>
      <c r="C641" s="371" t="s">
        <v>1827</v>
      </c>
      <c r="D641" s="431" t="s">
        <v>1828</v>
      </c>
      <c r="E641" s="341" t="s">
        <v>23</v>
      </c>
      <c r="F641" s="317"/>
      <c r="G641" s="318"/>
      <c r="H641" s="318"/>
      <c r="I641" s="318"/>
    </row>
    <row r="642" ht="12.75" customHeight="1" spans="1:9">
      <c r="A642" s="314">
        <v>28</v>
      </c>
      <c r="B642" s="284">
        <v>252610024</v>
      </c>
      <c r="C642" s="439" t="s">
        <v>1829</v>
      </c>
      <c r="D642" s="440" t="s">
        <v>1830</v>
      </c>
      <c r="E642" s="314" t="s">
        <v>18</v>
      </c>
      <c r="F642" s="317"/>
      <c r="G642" s="318"/>
      <c r="H642" s="318"/>
      <c r="I642" s="318"/>
    </row>
    <row r="643" ht="12.75" customHeight="1" spans="1:9">
      <c r="A643" s="314">
        <v>29</v>
      </c>
      <c r="B643" s="276">
        <v>252610262</v>
      </c>
      <c r="C643" s="356" t="s">
        <v>1831</v>
      </c>
      <c r="D643" s="431" t="s">
        <v>1832</v>
      </c>
      <c r="E643" s="341" t="s">
        <v>23</v>
      </c>
      <c r="F643" s="317"/>
      <c r="G643" s="318"/>
      <c r="H643" s="318"/>
      <c r="I643" s="318"/>
    </row>
    <row r="644" ht="12.75" customHeight="1" spans="1:9">
      <c r="A644" s="314">
        <v>30</v>
      </c>
      <c r="B644" s="278">
        <v>252610504</v>
      </c>
      <c r="C644" s="371" t="s">
        <v>1833</v>
      </c>
      <c r="D644" s="431" t="s">
        <v>1834</v>
      </c>
      <c r="E644" s="341" t="s">
        <v>23</v>
      </c>
      <c r="F644" s="317"/>
      <c r="G644" s="318"/>
      <c r="H644" s="318"/>
      <c r="I644" s="318"/>
    </row>
    <row r="645" ht="12.75" customHeight="1" spans="1:9">
      <c r="A645" s="314">
        <v>31</v>
      </c>
      <c r="B645" s="276">
        <v>252610411</v>
      </c>
      <c r="C645" s="371" t="s">
        <v>1835</v>
      </c>
      <c r="D645" s="431" t="s">
        <v>1836</v>
      </c>
      <c r="E645" s="341" t="s">
        <v>23</v>
      </c>
      <c r="F645" s="317"/>
      <c r="G645" s="318"/>
      <c r="H645" s="318"/>
      <c r="I645" s="318"/>
    </row>
    <row r="646" ht="12.75" customHeight="1" spans="1:9">
      <c r="A646" s="314">
        <v>32</v>
      </c>
      <c r="B646" s="278">
        <v>252610222</v>
      </c>
      <c r="C646" s="371" t="s">
        <v>1837</v>
      </c>
      <c r="D646" s="431" t="s">
        <v>1838</v>
      </c>
      <c r="E646" s="341" t="s">
        <v>18</v>
      </c>
      <c r="F646" s="317"/>
      <c r="G646" s="318"/>
      <c r="H646" s="318"/>
      <c r="I646" s="318"/>
    </row>
    <row r="647" ht="12.75" customHeight="1" spans="1:9">
      <c r="A647" s="314">
        <v>33</v>
      </c>
      <c r="B647" s="276">
        <v>252610509</v>
      </c>
      <c r="C647" s="371" t="s">
        <v>1839</v>
      </c>
      <c r="D647" s="431" t="s">
        <v>1840</v>
      </c>
      <c r="E647" s="341" t="s">
        <v>18</v>
      </c>
      <c r="F647" s="317"/>
      <c r="G647" s="318"/>
      <c r="H647" s="318"/>
      <c r="I647" s="318"/>
    </row>
    <row r="648" ht="12.75" customHeight="1" spans="1:9">
      <c r="A648" s="314">
        <v>34</v>
      </c>
      <c r="B648" s="278">
        <v>252610464</v>
      </c>
      <c r="C648" s="371" t="s">
        <v>1841</v>
      </c>
      <c r="D648" s="431" t="s">
        <v>1842</v>
      </c>
      <c r="E648" s="341" t="s">
        <v>23</v>
      </c>
      <c r="F648" s="317"/>
      <c r="G648" s="318"/>
      <c r="H648" s="318"/>
      <c r="I648" s="318"/>
    </row>
    <row r="649" ht="12.75" customHeight="1" spans="1:9">
      <c r="A649" s="314">
        <v>35</v>
      </c>
      <c r="B649" s="276">
        <v>252610084</v>
      </c>
      <c r="C649" s="371" t="s">
        <v>1843</v>
      </c>
      <c r="D649" s="431" t="s">
        <v>1844</v>
      </c>
      <c r="E649" s="341" t="s">
        <v>18</v>
      </c>
      <c r="F649" s="326"/>
      <c r="G649" s="327"/>
      <c r="H649" s="327"/>
      <c r="I649" s="327"/>
    </row>
    <row r="650" ht="12.75" customHeight="1" spans="1:9">
      <c r="A650" s="314">
        <v>36</v>
      </c>
      <c r="B650" s="278">
        <v>252610564</v>
      </c>
      <c r="C650" s="371" t="s">
        <v>1845</v>
      </c>
      <c r="D650" s="431" t="s">
        <v>1846</v>
      </c>
      <c r="E650" s="341" t="s">
        <v>23</v>
      </c>
      <c r="F650" s="318"/>
      <c r="G650" s="318"/>
      <c r="H650" s="318"/>
      <c r="I650" s="318"/>
    </row>
    <row r="651" ht="12.75" customHeight="1" spans="1:9">
      <c r="A651" s="314">
        <v>37</v>
      </c>
      <c r="B651" s="276">
        <v>252610467</v>
      </c>
      <c r="C651" s="371" t="s">
        <v>1847</v>
      </c>
      <c r="D651" s="431" t="s">
        <v>1848</v>
      </c>
      <c r="E651" s="341" t="s">
        <v>23</v>
      </c>
      <c r="F651" s="318"/>
      <c r="G651" s="318"/>
      <c r="H651" s="318"/>
      <c r="I651" s="318"/>
    </row>
    <row r="652" ht="12.75" customHeight="1" spans="1:9">
      <c r="A652" s="314">
        <v>38</v>
      </c>
      <c r="B652" s="278">
        <v>252610322</v>
      </c>
      <c r="C652" s="371" t="s">
        <v>1849</v>
      </c>
      <c r="D652" s="431" t="s">
        <v>1850</v>
      </c>
      <c r="E652" s="341" t="s">
        <v>18</v>
      </c>
      <c r="F652" s="318"/>
      <c r="G652" s="318"/>
      <c r="H652" s="318"/>
      <c r="I652" s="318"/>
    </row>
    <row r="653" ht="12.75" customHeight="1" spans="1:9">
      <c r="A653" s="314">
        <v>39</v>
      </c>
      <c r="B653" s="276">
        <v>252610323</v>
      </c>
      <c r="C653" s="371" t="s">
        <v>1851</v>
      </c>
      <c r="D653" s="431" t="s">
        <v>1852</v>
      </c>
      <c r="E653" s="341" t="s">
        <v>18</v>
      </c>
      <c r="F653" s="318"/>
      <c r="G653" s="318"/>
      <c r="H653" s="318"/>
      <c r="I653" s="318"/>
    </row>
    <row r="654" ht="12.75" customHeight="1" spans="1:9">
      <c r="A654" s="314">
        <v>40</v>
      </c>
      <c r="B654" s="278">
        <v>252610183</v>
      </c>
      <c r="C654" s="371" t="s">
        <v>1853</v>
      </c>
      <c r="D654" s="431" t="s">
        <v>1854</v>
      </c>
      <c r="E654" s="341" t="s">
        <v>23</v>
      </c>
      <c r="F654" s="318"/>
      <c r="G654" s="318"/>
      <c r="H654" s="318"/>
      <c r="I654" s="318"/>
    </row>
    <row r="655" ht="12.75" customHeight="1" spans="1:9">
      <c r="A655" s="314">
        <v>41</v>
      </c>
      <c r="B655" s="276">
        <v>252610092</v>
      </c>
      <c r="C655" s="371" t="s">
        <v>1855</v>
      </c>
      <c r="D655" s="431" t="s">
        <v>1856</v>
      </c>
      <c r="E655" s="341" t="s">
        <v>23</v>
      </c>
      <c r="F655" s="318"/>
      <c r="G655" s="318"/>
      <c r="H655" s="318"/>
      <c r="I655" s="318"/>
    </row>
    <row r="656" ht="12.75" customHeight="1" spans="1:9">
      <c r="A656" s="314">
        <v>42</v>
      </c>
      <c r="B656" s="278">
        <v>252610376</v>
      </c>
      <c r="C656" s="371" t="s">
        <v>1857</v>
      </c>
      <c r="D656" s="431" t="s">
        <v>1858</v>
      </c>
      <c r="E656" s="341" t="s">
        <v>18</v>
      </c>
      <c r="F656" s="318"/>
      <c r="G656" s="318"/>
      <c r="H656" s="318"/>
      <c r="I656" s="318"/>
    </row>
    <row r="657" ht="12.75" customHeight="1" spans="1:9">
      <c r="A657" s="314">
        <v>43</v>
      </c>
      <c r="B657" s="276">
        <v>252610332</v>
      </c>
      <c r="C657" s="371" t="s">
        <v>1859</v>
      </c>
      <c r="D657" s="431" t="s">
        <v>1860</v>
      </c>
      <c r="E657" s="341" t="s">
        <v>18</v>
      </c>
      <c r="F657" s="318"/>
      <c r="G657" s="318"/>
      <c r="H657" s="318"/>
      <c r="I657" s="318"/>
    </row>
    <row r="658" ht="12.75" customHeight="1" spans="1:9">
      <c r="A658" s="314">
        <v>44</v>
      </c>
      <c r="B658" s="278">
        <v>252610096</v>
      </c>
      <c r="C658" s="356" t="s">
        <v>1861</v>
      </c>
      <c r="D658" s="431" t="s">
        <v>1862</v>
      </c>
      <c r="E658" s="341" t="s">
        <v>18</v>
      </c>
      <c r="F658" s="318"/>
      <c r="G658" s="318"/>
      <c r="H658" s="318"/>
      <c r="I658" s="318"/>
    </row>
    <row r="659" ht="12.75" customHeight="1" spans="1:9">
      <c r="A659" s="314">
        <v>45</v>
      </c>
      <c r="B659" s="276">
        <v>252610477</v>
      </c>
      <c r="C659" s="371" t="s">
        <v>1863</v>
      </c>
      <c r="D659" s="431" t="s">
        <v>1864</v>
      </c>
      <c r="E659" s="341" t="s">
        <v>23</v>
      </c>
      <c r="F659" s="318"/>
      <c r="G659" s="318"/>
      <c r="H659" s="318"/>
      <c r="I659" s="318"/>
    </row>
    <row r="660" ht="12.75" customHeight="1" spans="1:9">
      <c r="A660" s="314">
        <v>46</v>
      </c>
      <c r="B660" s="278">
        <v>252610287</v>
      </c>
      <c r="C660" s="356" t="s">
        <v>1865</v>
      </c>
      <c r="D660" s="431" t="s">
        <v>1866</v>
      </c>
      <c r="E660" s="341" t="s">
        <v>23</v>
      </c>
      <c r="F660" s="318"/>
      <c r="G660" s="318"/>
      <c r="H660" s="318"/>
      <c r="I660" s="318"/>
    </row>
    <row r="661" ht="12.75" customHeight="1" spans="1:9">
      <c r="A661" s="314">
        <v>47</v>
      </c>
      <c r="B661" s="276">
        <v>252610384</v>
      </c>
      <c r="C661" s="371" t="s">
        <v>1867</v>
      </c>
      <c r="D661" s="431" t="s">
        <v>1868</v>
      </c>
      <c r="E661" s="341" t="s">
        <v>23</v>
      </c>
      <c r="F661" s="318"/>
      <c r="G661" s="318"/>
      <c r="H661" s="318"/>
      <c r="I661" s="318"/>
    </row>
    <row r="662" ht="12.75" customHeight="1" spans="1:9">
      <c r="A662" s="314">
        <v>48</v>
      </c>
      <c r="B662" s="278">
        <v>252610527</v>
      </c>
      <c r="C662" s="356" t="s">
        <v>1869</v>
      </c>
      <c r="D662" s="431" t="s">
        <v>1870</v>
      </c>
      <c r="E662" s="341" t="s">
        <v>18</v>
      </c>
      <c r="F662" s="318"/>
      <c r="G662" s="318"/>
      <c r="H662" s="318"/>
      <c r="I662" s="318"/>
    </row>
    <row r="663" s="289" customFormat="1" ht="12.75" customHeight="1" spans="1:9">
      <c r="A663" s="293"/>
      <c r="B663" s="333"/>
      <c r="C663" s="345"/>
      <c r="D663" s="346" t="s">
        <v>89</v>
      </c>
      <c r="E663" s="347">
        <f>COUNTIF(E615:E662,"L")</f>
        <v>25</v>
      </c>
    </row>
    <row r="664" s="289" customFormat="1" ht="12.75" customHeight="1" spans="1:9">
      <c r="A664" s="293"/>
      <c r="B664" s="333"/>
      <c r="C664" s="345"/>
      <c r="D664" s="346" t="s">
        <v>90</v>
      </c>
      <c r="E664" s="347">
        <f>COUNTIF(E615:E662,"P")</f>
        <v>23</v>
      </c>
    </row>
    <row r="665" s="289" customFormat="1" ht="12.75" customHeight="1" spans="1:9">
      <c r="A665" s="293"/>
      <c r="B665" s="334" t="s">
        <v>91</v>
      </c>
      <c r="C665" s="423"/>
      <c r="D665" s="304"/>
      <c r="E665" s="293"/>
      <c r="F665" s="289" t="s">
        <v>92</v>
      </c>
    </row>
    <row r="666" s="289" customFormat="1" ht="12.75" customHeight="1" spans="1:9">
      <c r="A666" s="293"/>
      <c r="B666" s="334"/>
      <c r="C666" s="423"/>
      <c r="D666" s="304"/>
      <c r="E666" s="293"/>
    </row>
    <row r="667" s="289" customFormat="1" ht="12.75" customHeight="1" spans="1:9">
      <c r="A667" s="293"/>
      <c r="B667" s="334"/>
      <c r="C667" s="423"/>
      <c r="D667" s="304"/>
      <c r="E667" s="293"/>
    </row>
    <row r="668" s="289" customFormat="1" ht="12.75" customHeight="1" spans="1:9">
      <c r="A668" s="293"/>
      <c r="B668" s="334"/>
      <c r="C668" s="423"/>
      <c r="D668" s="304"/>
      <c r="E668" s="293"/>
    </row>
    <row r="669" s="289" customFormat="1" ht="12.75" customHeight="1" spans="1:9">
      <c r="A669" s="293"/>
      <c r="B669" s="338" t="s">
        <v>93</v>
      </c>
      <c r="C669" s="423"/>
      <c r="D669" s="304"/>
      <c r="E669" s="293"/>
      <c r="F669" s="289" t="s">
        <v>94</v>
      </c>
    </row>
    <row r="670" s="289" customFormat="1" ht="12.75" customHeight="1" spans="1:9">
      <c r="A670" s="293"/>
      <c r="B670" s="339" t="s">
        <v>95</v>
      </c>
      <c r="C670" s="423"/>
      <c r="D670" s="304"/>
      <c r="E670" s="293"/>
    </row>
    <row r="671" ht="12.75" customHeight="1" spans="1:9">
      <c r="A671" s="297" t="s">
        <v>1</v>
      </c>
      <c r="B671" s="297"/>
      <c r="C671" s="297"/>
      <c r="D671" s="297"/>
      <c r="E671" s="297"/>
      <c r="F671" s="297"/>
      <c r="G671" s="297"/>
      <c r="H671" s="297"/>
      <c r="I671" s="297"/>
    </row>
    <row r="672" ht="12.75" customHeight="1" spans="1:9">
      <c r="A672" s="297" t="s">
        <v>2</v>
      </c>
      <c r="B672" s="297"/>
      <c r="C672" s="297"/>
      <c r="D672" s="297"/>
      <c r="E672" s="297"/>
      <c r="F672" s="297"/>
      <c r="G672" s="297"/>
      <c r="H672" s="297"/>
      <c r="I672" s="297"/>
    </row>
    <row r="673" ht="12.75" customHeight="1" spans="1:9">
      <c r="A673" s="297" t="s">
        <v>3</v>
      </c>
      <c r="B673" s="297"/>
      <c r="C673" s="297"/>
      <c r="D673" s="297"/>
      <c r="E673" s="297"/>
      <c r="F673" s="297"/>
      <c r="G673" s="297"/>
      <c r="H673" s="297"/>
      <c r="I673" s="297"/>
    </row>
    <row r="674" s="291" customFormat="1" ht="16.5" customHeight="1" spans="1:9">
      <c r="A674" s="298" t="s">
        <v>4</v>
      </c>
      <c r="B674" s="298"/>
      <c r="C674" s="298"/>
      <c r="D674" s="298"/>
      <c r="E674" s="298"/>
      <c r="F674" s="298"/>
      <c r="G674" s="298"/>
      <c r="H674" s="298"/>
      <c r="I674" s="298"/>
    </row>
    <row r="675" ht="12.75" customHeight="1" spans="1:9">
      <c r="A675" s="299" t="s">
        <v>5</v>
      </c>
      <c r="B675" s="299"/>
      <c r="C675" s="299"/>
      <c r="D675" s="299"/>
      <c r="E675" s="299"/>
      <c r="F675" s="299"/>
      <c r="G675" s="299"/>
      <c r="H675" s="299"/>
      <c r="I675" s="299"/>
    </row>
    <row r="676" customHeight="1" spans="1:9">
      <c r="A676" s="299"/>
      <c r="B676" s="299"/>
      <c r="C676" s="299"/>
      <c r="D676" s="299"/>
      <c r="E676" s="299"/>
      <c r="F676" s="299"/>
      <c r="G676" s="299"/>
      <c r="H676" s="299"/>
      <c r="I676" s="299"/>
    </row>
    <row r="677" ht="12.75" customHeight="1" spans="1:9">
      <c r="A677" s="299"/>
      <c r="B677" s="299"/>
      <c r="C677" s="299"/>
      <c r="D677" s="299"/>
      <c r="E677" s="299"/>
      <c r="F677" s="299"/>
      <c r="G677" s="299"/>
      <c r="H677" s="299"/>
      <c r="I677" s="299"/>
    </row>
    <row r="678" s="289" customFormat="1" ht="12.75" customHeight="1" spans="1:9">
      <c r="A678" s="300" t="s">
        <v>6</v>
      </c>
      <c r="B678" s="300"/>
      <c r="C678" s="300"/>
      <c r="D678" s="300"/>
      <c r="E678" s="300"/>
      <c r="F678" s="300"/>
      <c r="G678" s="300"/>
      <c r="H678" s="300"/>
      <c r="I678" s="300"/>
    </row>
    <row r="679" s="289" customFormat="1" ht="12.75" customHeight="1" spans="1:9">
      <c r="A679" s="300"/>
      <c r="B679" s="300"/>
      <c r="C679" s="300"/>
      <c r="D679" s="300"/>
      <c r="E679" s="300"/>
      <c r="F679" s="300"/>
      <c r="G679" s="300"/>
      <c r="H679" s="300"/>
      <c r="I679" s="300"/>
    </row>
    <row r="680" s="289" customFormat="1" ht="12.75" customHeight="1" spans="1:9">
      <c r="A680" s="301"/>
      <c r="B680" s="302" t="s">
        <v>1871</v>
      </c>
      <c r="C680" s="406"/>
      <c r="D680" s="383"/>
      <c r="E680" s="402" t="s">
        <v>8</v>
      </c>
      <c r="F680" s="306" t="s">
        <v>1872</v>
      </c>
      <c r="G680" s="399"/>
      <c r="H680" s="399"/>
      <c r="I680" s="399"/>
    </row>
    <row r="681" ht="19.5" customHeight="1" spans="1:9">
      <c r="A681" s="307" t="s">
        <v>10</v>
      </c>
      <c r="B681" s="76" t="s">
        <v>11</v>
      </c>
      <c r="C681" s="449" t="s">
        <v>12</v>
      </c>
      <c r="D681" s="76" t="s">
        <v>13</v>
      </c>
      <c r="E681" s="76" t="s">
        <v>14</v>
      </c>
      <c r="F681" s="426"/>
      <c r="G681" s="426"/>
      <c r="H681" s="426"/>
      <c r="I681" s="426"/>
    </row>
    <row r="682" ht="12.75" customHeight="1" spans="1:9">
      <c r="A682" s="314">
        <v>1</v>
      </c>
      <c r="B682" s="276">
        <v>252610097</v>
      </c>
      <c r="C682" s="315" t="s">
        <v>1873</v>
      </c>
      <c r="D682" s="434" t="s">
        <v>1874</v>
      </c>
      <c r="E682" s="385" t="s">
        <v>23</v>
      </c>
      <c r="F682" s="317"/>
      <c r="G682" s="318"/>
      <c r="H682" s="318"/>
      <c r="I682" s="318"/>
    </row>
    <row r="683" s="291" customFormat="1" ht="12.75" customHeight="1" spans="1:9">
      <c r="A683" s="314">
        <v>2</v>
      </c>
      <c r="B683" s="286">
        <v>252610001</v>
      </c>
      <c r="C683" s="414" t="s">
        <v>1875</v>
      </c>
      <c r="D683" s="435" t="s">
        <v>1876</v>
      </c>
      <c r="E683" s="386" t="s">
        <v>18</v>
      </c>
      <c r="F683" s="317"/>
      <c r="G683" s="318"/>
      <c r="H683" s="318"/>
      <c r="I683" s="318"/>
    </row>
    <row r="684" ht="12.75" customHeight="1" spans="1:9">
      <c r="A684" s="314">
        <v>3</v>
      </c>
      <c r="B684" s="276">
        <v>252610530</v>
      </c>
      <c r="C684" s="315" t="s">
        <v>1877</v>
      </c>
      <c r="D684" s="434" t="s">
        <v>1878</v>
      </c>
      <c r="E684" s="385" t="s">
        <v>18</v>
      </c>
      <c r="F684" s="317"/>
      <c r="G684" s="318"/>
      <c r="H684" s="318"/>
      <c r="I684" s="318"/>
    </row>
    <row r="685" ht="12.75" customHeight="1" spans="1:9">
      <c r="A685" s="314">
        <v>4</v>
      </c>
      <c r="B685" s="278">
        <v>252610385</v>
      </c>
      <c r="C685" s="315" t="s">
        <v>1879</v>
      </c>
      <c r="D685" s="434" t="s">
        <v>1880</v>
      </c>
      <c r="E685" s="385" t="s">
        <v>23</v>
      </c>
      <c r="F685" s="317"/>
      <c r="G685" s="318"/>
      <c r="H685" s="318"/>
      <c r="I685" s="318"/>
    </row>
    <row r="686" ht="12.75" customHeight="1" spans="1:9">
      <c r="A686" s="314">
        <v>5</v>
      </c>
      <c r="B686" s="276">
        <v>252610243</v>
      </c>
      <c r="C686" s="315" t="s">
        <v>1881</v>
      </c>
      <c r="D686" s="434" t="s">
        <v>1882</v>
      </c>
      <c r="E686" s="385" t="s">
        <v>23</v>
      </c>
      <c r="F686" s="317"/>
      <c r="G686" s="318"/>
      <c r="H686" s="318"/>
      <c r="I686" s="318"/>
    </row>
    <row r="687" ht="12.75" customHeight="1" spans="1:9">
      <c r="A687" s="314">
        <v>6</v>
      </c>
      <c r="B687" s="278">
        <v>252610244</v>
      </c>
      <c r="C687" s="315" t="s">
        <v>1883</v>
      </c>
      <c r="D687" s="434" t="s">
        <v>1884</v>
      </c>
      <c r="E687" s="385" t="s">
        <v>18</v>
      </c>
      <c r="F687" s="317"/>
      <c r="G687" s="318"/>
      <c r="H687" s="318"/>
      <c r="I687" s="318"/>
    </row>
    <row r="688" ht="12.75" customHeight="1" spans="1:9">
      <c r="A688" s="314">
        <v>7</v>
      </c>
      <c r="B688" s="276">
        <v>252610438</v>
      </c>
      <c r="C688" s="321" t="s">
        <v>1885</v>
      </c>
      <c r="D688" s="434" t="s">
        <v>1886</v>
      </c>
      <c r="E688" s="385" t="s">
        <v>18</v>
      </c>
      <c r="F688" s="317"/>
      <c r="G688" s="318"/>
      <c r="H688" s="318"/>
      <c r="I688" s="318"/>
    </row>
    <row r="689" ht="12.75" customHeight="1" spans="1:9">
      <c r="A689" s="314">
        <v>8</v>
      </c>
      <c r="B689" s="278">
        <v>252610439</v>
      </c>
      <c r="C689" s="321" t="s">
        <v>1887</v>
      </c>
      <c r="D689" s="434" t="s">
        <v>1888</v>
      </c>
      <c r="E689" s="385" t="s">
        <v>18</v>
      </c>
      <c r="F689" s="317"/>
      <c r="G689" s="318"/>
      <c r="H689" s="318"/>
      <c r="I689" s="318"/>
    </row>
    <row r="690" ht="12.75" customHeight="1" spans="1:9">
      <c r="A690" s="314">
        <v>9</v>
      </c>
      <c r="B690" s="276">
        <v>252610104</v>
      </c>
      <c r="C690" s="315" t="s">
        <v>1889</v>
      </c>
      <c r="D690" s="434" t="s">
        <v>1890</v>
      </c>
      <c r="E690" s="385" t="s">
        <v>23</v>
      </c>
      <c r="F690" s="317"/>
      <c r="G690" s="318"/>
      <c r="H690" s="318"/>
      <c r="I690" s="318"/>
    </row>
    <row r="691" ht="12.75" customHeight="1" spans="1:9">
      <c r="A691" s="314">
        <v>10</v>
      </c>
      <c r="B691" s="278">
        <v>252610200</v>
      </c>
      <c r="C691" s="315" t="s">
        <v>1891</v>
      </c>
      <c r="D691" s="434" t="s">
        <v>1892</v>
      </c>
      <c r="E691" s="385" t="s">
        <v>23</v>
      </c>
      <c r="F691" s="317"/>
      <c r="G691" s="318"/>
      <c r="H691" s="318"/>
      <c r="I691" s="318"/>
    </row>
    <row r="692" ht="12.75" customHeight="1" spans="1:9">
      <c r="A692" s="314">
        <v>11</v>
      </c>
      <c r="B692" s="276">
        <v>252610301</v>
      </c>
      <c r="C692" s="315" t="s">
        <v>1893</v>
      </c>
      <c r="D692" s="434" t="s">
        <v>1894</v>
      </c>
      <c r="E692" s="385" t="s">
        <v>23</v>
      </c>
      <c r="F692" s="317"/>
      <c r="G692" s="318"/>
      <c r="H692" s="318"/>
      <c r="I692" s="318"/>
    </row>
    <row r="693" ht="12.75" customHeight="1" spans="1:9">
      <c r="A693" s="314">
        <v>12</v>
      </c>
      <c r="B693" s="278">
        <v>252610351</v>
      </c>
      <c r="C693" s="315" t="s">
        <v>1895</v>
      </c>
      <c r="D693" s="434" t="s">
        <v>1896</v>
      </c>
      <c r="E693" s="385" t="s">
        <v>23</v>
      </c>
      <c r="F693" s="317"/>
      <c r="G693" s="318"/>
      <c r="H693" s="318"/>
      <c r="I693" s="318"/>
    </row>
    <row r="694" ht="12.75" customHeight="1" spans="1:9">
      <c r="A694" s="314">
        <v>13</v>
      </c>
      <c r="B694" s="276">
        <v>252610445</v>
      </c>
      <c r="C694" s="315" t="s">
        <v>1897</v>
      </c>
      <c r="D694" s="434" t="s">
        <v>1898</v>
      </c>
      <c r="E694" s="385" t="s">
        <v>23</v>
      </c>
      <c r="F694" s="317"/>
      <c r="G694" s="318"/>
      <c r="H694" s="318"/>
      <c r="I694" s="318"/>
    </row>
    <row r="695" ht="12.75" customHeight="1" spans="1:9">
      <c r="A695" s="314">
        <v>14</v>
      </c>
      <c r="B695" s="278">
        <v>252610206</v>
      </c>
      <c r="C695" s="321" t="s">
        <v>1899</v>
      </c>
      <c r="D695" s="434" t="s">
        <v>1900</v>
      </c>
      <c r="E695" s="385" t="s">
        <v>23</v>
      </c>
      <c r="F695" s="317"/>
      <c r="G695" s="318"/>
      <c r="H695" s="318"/>
      <c r="I695" s="318"/>
    </row>
    <row r="696" ht="12.75" customHeight="1" spans="1:9">
      <c r="A696" s="314">
        <v>15</v>
      </c>
      <c r="B696" s="276">
        <v>252610352</v>
      </c>
      <c r="C696" s="315" t="s">
        <v>1901</v>
      </c>
      <c r="D696" s="434" t="s">
        <v>1902</v>
      </c>
      <c r="E696" s="385" t="s">
        <v>18</v>
      </c>
      <c r="F696" s="317"/>
      <c r="G696" s="318"/>
      <c r="H696" s="318"/>
      <c r="I696" s="318"/>
    </row>
    <row r="697" ht="12.75" customHeight="1" spans="1:9">
      <c r="A697" s="314">
        <v>16</v>
      </c>
      <c r="B697" s="286">
        <v>252610018</v>
      </c>
      <c r="C697" s="414" t="s">
        <v>1903</v>
      </c>
      <c r="D697" s="435" t="s">
        <v>1904</v>
      </c>
      <c r="E697" s="403" t="s">
        <v>23</v>
      </c>
      <c r="F697" s="317"/>
      <c r="G697" s="318"/>
      <c r="H697" s="318"/>
      <c r="I697" s="318"/>
    </row>
    <row r="698" ht="12.75" customHeight="1" spans="1:9">
      <c r="A698" s="314">
        <v>17</v>
      </c>
      <c r="B698" s="276">
        <v>252610163</v>
      </c>
      <c r="C698" s="315" t="s">
        <v>1905</v>
      </c>
      <c r="D698" s="434" t="s">
        <v>1906</v>
      </c>
      <c r="E698" s="385" t="s">
        <v>18</v>
      </c>
      <c r="F698" s="317"/>
      <c r="G698" s="318"/>
      <c r="H698" s="318"/>
      <c r="I698" s="318"/>
    </row>
    <row r="699" ht="12.75" customHeight="1" spans="1:9">
      <c r="A699" s="314">
        <v>18</v>
      </c>
      <c r="B699" s="278">
        <v>252610212</v>
      </c>
      <c r="C699" s="315" t="s">
        <v>1907</v>
      </c>
      <c r="D699" s="434" t="s">
        <v>1908</v>
      </c>
      <c r="E699" s="385" t="s">
        <v>18</v>
      </c>
      <c r="F699" s="317"/>
      <c r="G699" s="318"/>
      <c r="H699" s="318"/>
      <c r="I699" s="318"/>
    </row>
    <row r="700" ht="12.75" customHeight="1" spans="1:9">
      <c r="A700" s="314">
        <v>19</v>
      </c>
      <c r="B700" s="276">
        <v>252610549</v>
      </c>
      <c r="C700" s="315" t="s">
        <v>1909</v>
      </c>
      <c r="D700" s="434" t="s">
        <v>1910</v>
      </c>
      <c r="E700" s="385" t="s">
        <v>23</v>
      </c>
      <c r="F700" s="317"/>
      <c r="G700" s="318"/>
      <c r="H700" s="318"/>
      <c r="I700" s="318"/>
    </row>
    <row r="701" ht="12.75" customHeight="1" spans="1:9">
      <c r="A701" s="314">
        <v>20</v>
      </c>
      <c r="B701" s="278">
        <v>252610406</v>
      </c>
      <c r="C701" s="321" t="s">
        <v>1911</v>
      </c>
      <c r="D701" s="434" t="s">
        <v>1912</v>
      </c>
      <c r="E701" s="385" t="s">
        <v>18</v>
      </c>
      <c r="F701" s="317"/>
      <c r="G701" s="318"/>
      <c r="H701" s="318"/>
      <c r="I701" s="318"/>
    </row>
    <row r="702" ht="12.75" customHeight="1" spans="1:9">
      <c r="A702" s="314">
        <v>21</v>
      </c>
      <c r="B702" s="276">
        <v>252610071</v>
      </c>
      <c r="C702" s="315" t="s">
        <v>1913</v>
      </c>
      <c r="D702" s="434" t="s">
        <v>1914</v>
      </c>
      <c r="E702" s="385" t="s">
        <v>23</v>
      </c>
      <c r="F702" s="317"/>
      <c r="G702" s="318"/>
      <c r="H702" s="318"/>
      <c r="I702" s="318"/>
    </row>
    <row r="703" ht="12.75" customHeight="1" spans="1:9">
      <c r="A703" s="314">
        <v>22</v>
      </c>
      <c r="B703" s="278">
        <v>252610170</v>
      </c>
      <c r="C703" s="315" t="s">
        <v>1915</v>
      </c>
      <c r="D703" s="434" t="s">
        <v>1916</v>
      </c>
      <c r="E703" s="385" t="s">
        <v>23</v>
      </c>
      <c r="F703" s="317"/>
      <c r="G703" s="318"/>
      <c r="H703" s="318"/>
      <c r="I703" s="318"/>
    </row>
    <row r="704" ht="12.75" customHeight="1" spans="1:9">
      <c r="A704" s="314">
        <v>23</v>
      </c>
      <c r="B704" s="276">
        <v>252610266</v>
      </c>
      <c r="C704" s="315" t="s">
        <v>1917</v>
      </c>
      <c r="D704" s="434" t="s">
        <v>1918</v>
      </c>
      <c r="E704" s="385" t="s">
        <v>23</v>
      </c>
      <c r="F704" s="317"/>
      <c r="G704" s="318"/>
      <c r="H704" s="318"/>
      <c r="I704" s="318"/>
    </row>
    <row r="705" ht="12.75" customHeight="1" spans="1:9">
      <c r="A705" s="314">
        <v>24</v>
      </c>
      <c r="B705" s="278">
        <v>252610555</v>
      </c>
      <c r="C705" s="315" t="s">
        <v>1919</v>
      </c>
      <c r="D705" s="434" t="s">
        <v>1920</v>
      </c>
      <c r="E705" s="385" t="s">
        <v>23</v>
      </c>
      <c r="F705" s="317"/>
      <c r="G705" s="318"/>
      <c r="H705" s="318"/>
      <c r="I705" s="318"/>
    </row>
    <row r="706" ht="12.75" customHeight="1" spans="1:9">
      <c r="A706" s="314">
        <v>25</v>
      </c>
      <c r="B706" s="276">
        <v>252610267</v>
      </c>
      <c r="C706" s="315" t="s">
        <v>1921</v>
      </c>
      <c r="D706" s="434" t="s">
        <v>1922</v>
      </c>
      <c r="E706" s="385" t="s">
        <v>23</v>
      </c>
      <c r="F706" s="317"/>
      <c r="G706" s="318"/>
      <c r="H706" s="318"/>
      <c r="I706" s="318"/>
    </row>
    <row r="707" ht="12.75" customHeight="1" spans="1:9">
      <c r="A707" s="314">
        <v>26</v>
      </c>
      <c r="B707" s="286">
        <v>252610031</v>
      </c>
      <c r="C707" s="414" t="s">
        <v>1923</v>
      </c>
      <c r="D707" s="435" t="s">
        <v>1924</v>
      </c>
      <c r="E707" s="386" t="s">
        <v>23</v>
      </c>
      <c r="F707" s="317"/>
      <c r="G707" s="318"/>
      <c r="H707" s="318"/>
      <c r="I707" s="318"/>
    </row>
    <row r="708" ht="12.75" customHeight="1" spans="1:9">
      <c r="A708" s="314">
        <v>27</v>
      </c>
      <c r="B708" s="276">
        <v>252610076</v>
      </c>
      <c r="C708" s="315" t="s">
        <v>1925</v>
      </c>
      <c r="D708" s="434" t="s">
        <v>1926</v>
      </c>
      <c r="E708" s="385" t="s">
        <v>18</v>
      </c>
      <c r="F708" s="317"/>
      <c r="G708" s="318"/>
      <c r="H708" s="318"/>
      <c r="I708" s="318"/>
    </row>
    <row r="709" ht="12.75" customHeight="1" spans="1:9">
      <c r="A709" s="314">
        <v>28</v>
      </c>
      <c r="B709" s="278">
        <v>252610414</v>
      </c>
      <c r="C709" s="315" t="s">
        <v>1927</v>
      </c>
      <c r="D709" s="434" t="s">
        <v>1928</v>
      </c>
      <c r="E709" s="385" t="s">
        <v>23</v>
      </c>
      <c r="F709" s="317"/>
      <c r="G709" s="318"/>
      <c r="H709" s="318"/>
      <c r="I709" s="318"/>
    </row>
    <row r="710" ht="12.75" customHeight="1" spans="1:9">
      <c r="A710" s="314">
        <v>29</v>
      </c>
      <c r="B710" s="276">
        <v>252610177</v>
      </c>
      <c r="C710" s="315" t="s">
        <v>1929</v>
      </c>
      <c r="D710" s="434" t="s">
        <v>1930</v>
      </c>
      <c r="E710" s="385" t="s">
        <v>18</v>
      </c>
      <c r="F710" s="317"/>
      <c r="G710" s="318"/>
      <c r="H710" s="318"/>
      <c r="I710" s="318"/>
    </row>
    <row r="711" ht="12.75" customHeight="1" spans="1:9">
      <c r="A711" s="314">
        <v>30</v>
      </c>
      <c r="B711" s="278">
        <v>252610319</v>
      </c>
      <c r="C711" s="315" t="s">
        <v>1931</v>
      </c>
      <c r="D711" s="434" t="s">
        <v>1932</v>
      </c>
      <c r="E711" s="385" t="s">
        <v>18</v>
      </c>
      <c r="F711" s="317"/>
      <c r="G711" s="318"/>
      <c r="H711" s="318"/>
      <c r="I711" s="318"/>
    </row>
    <row r="712" ht="12.75" customHeight="1" spans="1:9">
      <c r="A712" s="314">
        <v>31</v>
      </c>
      <c r="B712" s="276">
        <v>252610416</v>
      </c>
      <c r="C712" s="315" t="s">
        <v>1933</v>
      </c>
      <c r="D712" s="434" t="s">
        <v>1934</v>
      </c>
      <c r="E712" s="385" t="s">
        <v>18</v>
      </c>
      <c r="F712" s="317"/>
      <c r="G712" s="318"/>
      <c r="H712" s="318"/>
      <c r="I712" s="318"/>
    </row>
    <row r="713" ht="12.75" customHeight="1" spans="1:9">
      <c r="A713" s="314">
        <v>32</v>
      </c>
      <c r="B713" s="278">
        <v>252610320</v>
      </c>
      <c r="C713" s="315" t="s">
        <v>1935</v>
      </c>
      <c r="D713" s="434" t="s">
        <v>1936</v>
      </c>
      <c r="E713" s="385" t="s">
        <v>18</v>
      </c>
      <c r="F713" s="317"/>
      <c r="G713" s="318"/>
      <c r="H713" s="318"/>
      <c r="I713" s="318"/>
    </row>
    <row r="714" ht="12.75" customHeight="1" spans="1:9">
      <c r="A714" s="314">
        <v>33</v>
      </c>
      <c r="B714" s="276">
        <v>252610368</v>
      </c>
      <c r="C714" s="315" t="s">
        <v>1937</v>
      </c>
      <c r="D714" s="434" t="s">
        <v>1938</v>
      </c>
      <c r="E714" s="385" t="s">
        <v>18</v>
      </c>
      <c r="F714" s="317"/>
      <c r="G714" s="318"/>
      <c r="H714" s="318"/>
      <c r="I714" s="318"/>
    </row>
    <row r="715" ht="12.75" customHeight="1" spans="1:9">
      <c r="A715" s="314">
        <v>34</v>
      </c>
      <c r="B715" s="278">
        <v>252610082</v>
      </c>
      <c r="C715" s="315" t="s">
        <v>1939</v>
      </c>
      <c r="D715" s="434" t="s">
        <v>1940</v>
      </c>
      <c r="E715" s="385" t="s">
        <v>18</v>
      </c>
      <c r="F715" s="317"/>
      <c r="G715" s="318"/>
      <c r="H715" s="318"/>
      <c r="I715" s="318"/>
    </row>
    <row r="716" ht="12.75" customHeight="1" spans="1:9">
      <c r="A716" s="314">
        <v>35</v>
      </c>
      <c r="B716" s="276">
        <v>252610227</v>
      </c>
      <c r="C716" s="315" t="s">
        <v>1941</v>
      </c>
      <c r="D716" s="438" t="s">
        <v>1942</v>
      </c>
      <c r="E716" s="385" t="s">
        <v>18</v>
      </c>
      <c r="F716" s="326"/>
      <c r="G716" s="327"/>
      <c r="H716" s="327"/>
      <c r="I716" s="327"/>
    </row>
    <row r="717" ht="12.75" customHeight="1" spans="1:9">
      <c r="A717" s="314">
        <v>36</v>
      </c>
      <c r="B717" s="278">
        <v>252610513</v>
      </c>
      <c r="C717" s="315" t="s">
        <v>1943</v>
      </c>
      <c r="D717" s="434" t="s">
        <v>1944</v>
      </c>
      <c r="E717" s="385" t="s">
        <v>23</v>
      </c>
      <c r="F717" s="318"/>
      <c r="G717" s="318"/>
      <c r="H717" s="318"/>
      <c r="I717" s="318"/>
    </row>
    <row r="718" ht="12.75" customHeight="1" spans="1:9">
      <c r="A718" s="314">
        <v>37</v>
      </c>
      <c r="B718" s="276">
        <v>252610230</v>
      </c>
      <c r="C718" s="315" t="s">
        <v>1945</v>
      </c>
      <c r="D718" s="434" t="s">
        <v>1946</v>
      </c>
      <c r="E718" s="385" t="s">
        <v>23</v>
      </c>
      <c r="F718" s="318"/>
      <c r="G718" s="318"/>
      <c r="H718" s="318"/>
      <c r="I718" s="318"/>
    </row>
    <row r="719" ht="12.75" customHeight="1" spans="1:9">
      <c r="A719" s="314">
        <v>38</v>
      </c>
      <c r="B719" s="286">
        <v>252610042</v>
      </c>
      <c r="C719" s="414" t="s">
        <v>1947</v>
      </c>
      <c r="D719" s="437" t="s">
        <v>1948</v>
      </c>
      <c r="E719" s="386" t="s">
        <v>18</v>
      </c>
      <c r="F719" s="318"/>
      <c r="G719" s="318"/>
      <c r="H719" s="318"/>
      <c r="I719" s="318"/>
    </row>
    <row r="720" ht="12.75" customHeight="1" spans="1:9">
      <c r="A720" s="314">
        <v>39</v>
      </c>
      <c r="B720" s="276">
        <v>252610471</v>
      </c>
      <c r="C720" s="315" t="s">
        <v>1949</v>
      </c>
      <c r="D720" s="434" t="s">
        <v>1950</v>
      </c>
      <c r="E720" s="385" t="s">
        <v>23</v>
      </c>
      <c r="F720" s="318"/>
      <c r="G720" s="318"/>
      <c r="H720" s="318"/>
      <c r="I720" s="318"/>
    </row>
    <row r="721" ht="12.75" customHeight="1" spans="1:9">
      <c r="A721" s="314">
        <v>40</v>
      </c>
      <c r="B721" s="278">
        <v>252610520</v>
      </c>
      <c r="C721" s="315" t="s">
        <v>1951</v>
      </c>
      <c r="D721" s="434" t="s">
        <v>1952</v>
      </c>
      <c r="E721" s="385" t="s">
        <v>18</v>
      </c>
      <c r="F721" s="318"/>
      <c r="G721" s="318"/>
      <c r="H721" s="318"/>
      <c r="I721" s="318"/>
    </row>
    <row r="722" ht="12.75" customHeight="1" spans="1:9">
      <c r="A722" s="314">
        <v>41</v>
      </c>
      <c r="B722" s="276">
        <v>252610093</v>
      </c>
      <c r="C722" s="315" t="s">
        <v>1953</v>
      </c>
      <c r="D722" s="434" t="s">
        <v>1954</v>
      </c>
      <c r="E722" s="385" t="s">
        <v>23</v>
      </c>
      <c r="F722" s="318"/>
      <c r="G722" s="318"/>
      <c r="H722" s="318"/>
      <c r="I722" s="318"/>
    </row>
    <row r="723" ht="12.75" customHeight="1" spans="1:9">
      <c r="A723" s="314">
        <v>42</v>
      </c>
      <c r="B723" s="278">
        <v>252610571</v>
      </c>
      <c r="C723" s="315" t="s">
        <v>1955</v>
      </c>
      <c r="D723" s="434" t="s">
        <v>1956</v>
      </c>
      <c r="E723" s="385" t="s">
        <v>18</v>
      </c>
      <c r="F723" s="318"/>
      <c r="G723" s="318"/>
      <c r="H723" s="318"/>
      <c r="I723" s="318"/>
    </row>
    <row r="724" ht="12.75" customHeight="1" spans="1:9">
      <c r="A724" s="314">
        <v>43</v>
      </c>
      <c r="B724" s="276">
        <v>252610140</v>
      </c>
      <c r="C724" s="315" t="s">
        <v>1957</v>
      </c>
      <c r="D724" s="434" t="s">
        <v>1958</v>
      </c>
      <c r="E724" s="385" t="s">
        <v>18</v>
      </c>
      <c r="F724" s="318"/>
      <c r="G724" s="318"/>
      <c r="H724" s="318"/>
      <c r="I724" s="318"/>
    </row>
    <row r="725" ht="12.75" customHeight="1" spans="1:9">
      <c r="A725" s="314">
        <v>44</v>
      </c>
      <c r="B725" s="278">
        <v>252610523</v>
      </c>
      <c r="C725" s="315" t="s">
        <v>1959</v>
      </c>
      <c r="D725" s="434" t="s">
        <v>1960</v>
      </c>
      <c r="E725" s="385" t="s">
        <v>18</v>
      </c>
      <c r="F725" s="318"/>
      <c r="G725" s="318"/>
      <c r="H725" s="318"/>
      <c r="I725" s="318"/>
    </row>
    <row r="726" ht="12.75" customHeight="1" spans="1:9">
      <c r="A726" s="314">
        <v>45</v>
      </c>
      <c r="B726" s="276">
        <v>252610333</v>
      </c>
      <c r="C726" s="315" t="s">
        <v>1961</v>
      </c>
      <c r="D726" s="434" t="s">
        <v>1962</v>
      </c>
      <c r="E726" s="385" t="s">
        <v>23</v>
      </c>
      <c r="F726" s="318"/>
      <c r="G726" s="318"/>
      <c r="H726" s="318"/>
      <c r="I726" s="318"/>
    </row>
    <row r="727" ht="12.75" customHeight="1" spans="1:9">
      <c r="A727" s="314">
        <v>46</v>
      </c>
      <c r="B727" s="286">
        <v>252610048</v>
      </c>
      <c r="C727" s="414" t="s">
        <v>1963</v>
      </c>
      <c r="D727" s="437" t="s">
        <v>1964</v>
      </c>
      <c r="E727" s="386" t="s">
        <v>18</v>
      </c>
      <c r="F727" s="318"/>
      <c r="G727" s="318"/>
      <c r="H727" s="318"/>
      <c r="I727" s="318"/>
    </row>
    <row r="728" ht="12.75" customHeight="1" spans="1:9">
      <c r="A728" s="314">
        <v>47</v>
      </c>
      <c r="B728" s="276">
        <v>252610144</v>
      </c>
      <c r="C728" s="315" t="s">
        <v>1965</v>
      </c>
      <c r="D728" s="434" t="s">
        <v>1966</v>
      </c>
      <c r="E728" s="385" t="s">
        <v>18</v>
      </c>
      <c r="F728" s="318"/>
      <c r="G728" s="318"/>
      <c r="H728" s="318"/>
      <c r="I728" s="318"/>
    </row>
    <row r="729" ht="12.75" customHeight="1" spans="1:9">
      <c r="A729" s="314">
        <v>48</v>
      </c>
      <c r="B729" s="278">
        <v>252610528</v>
      </c>
      <c r="C729" s="315" t="s">
        <v>1967</v>
      </c>
      <c r="D729" s="434" t="s">
        <v>1968</v>
      </c>
      <c r="E729" s="385" t="s">
        <v>23</v>
      </c>
      <c r="F729" s="318"/>
      <c r="G729" s="318"/>
      <c r="H729" s="318"/>
      <c r="I729" s="318"/>
    </row>
    <row r="730" s="289" customFormat="1" ht="12.75" customHeight="1" spans="1:9">
      <c r="A730" s="293"/>
      <c r="B730" s="344"/>
      <c r="C730" s="345"/>
      <c r="D730" s="346" t="s">
        <v>89</v>
      </c>
      <c r="E730" s="336">
        <f>COUNTIF(E682:E729,"L")</f>
        <v>24</v>
      </c>
    </row>
    <row r="731" s="289" customFormat="1" ht="12.75" customHeight="1" spans="1:9">
      <c r="A731" s="293"/>
      <c r="B731" s="333"/>
      <c r="C731" s="345"/>
      <c r="D731" s="346" t="s">
        <v>90</v>
      </c>
      <c r="E731" s="336">
        <f>COUNTIF(E682:E729,"P")</f>
        <v>24</v>
      </c>
    </row>
    <row r="732" s="289" customFormat="1" ht="12.75" customHeight="1" spans="1:9">
      <c r="A732" s="293"/>
      <c r="B732" s="334" t="s">
        <v>91</v>
      </c>
      <c r="C732" s="423"/>
      <c r="D732" s="304"/>
      <c r="E732" s="293"/>
      <c r="F732" s="289" t="s">
        <v>92</v>
      </c>
    </row>
    <row r="733" s="289" customFormat="1" ht="12.75" customHeight="1" spans="1:9">
      <c r="A733" s="293"/>
      <c r="B733" s="334"/>
      <c r="C733" s="423"/>
      <c r="D733" s="304"/>
      <c r="E733" s="293"/>
    </row>
    <row r="734" s="289" customFormat="1" ht="12.75" customHeight="1" spans="1:9">
      <c r="A734" s="293"/>
      <c r="B734" s="334"/>
      <c r="C734" s="423"/>
      <c r="D734" s="304"/>
      <c r="E734" s="293"/>
    </row>
    <row r="735" s="289" customFormat="1" ht="12.75" customHeight="1" spans="1:9">
      <c r="A735" s="293"/>
      <c r="B735" s="334"/>
      <c r="C735" s="423"/>
      <c r="D735" s="304"/>
      <c r="E735" s="293"/>
    </row>
    <row r="736" s="289" customFormat="1" ht="12.75" customHeight="1" spans="1:9">
      <c r="A736" s="293"/>
      <c r="B736" s="338" t="s">
        <v>93</v>
      </c>
      <c r="C736" s="423"/>
      <c r="D736" s="304"/>
      <c r="E736" s="293"/>
      <c r="F736" s="289" t="s">
        <v>94</v>
      </c>
    </row>
    <row r="737" s="289" customFormat="1" ht="12.75" customHeight="1" spans="1:9">
      <c r="A737" s="293"/>
      <c r="B737" s="339" t="s">
        <v>95</v>
      </c>
      <c r="C737" s="423"/>
      <c r="D737" s="304"/>
      <c r="E737" s="293"/>
    </row>
    <row r="738" ht="12.75" customHeight="1" spans="1:9">
      <c r="A738" s="297" t="s">
        <v>1</v>
      </c>
      <c r="B738" s="297"/>
      <c r="C738" s="297"/>
      <c r="D738" s="297"/>
      <c r="E738" s="297"/>
      <c r="F738" s="297"/>
      <c r="G738" s="297"/>
      <c r="H738" s="297"/>
      <c r="I738" s="297"/>
    </row>
    <row r="739" ht="12.75" customHeight="1" spans="1:9">
      <c r="A739" s="297" t="s">
        <v>2</v>
      </c>
      <c r="B739" s="297"/>
      <c r="C739" s="297"/>
      <c r="D739" s="297"/>
      <c r="E739" s="297"/>
      <c r="F739" s="297"/>
      <c r="G739" s="297"/>
      <c r="H739" s="297"/>
      <c r="I739" s="297"/>
    </row>
    <row r="740" ht="12.75" customHeight="1" spans="1:9">
      <c r="A740" s="297" t="s">
        <v>3</v>
      </c>
      <c r="B740" s="297"/>
      <c r="C740" s="297"/>
      <c r="D740" s="297"/>
      <c r="E740" s="297"/>
      <c r="F740" s="297"/>
      <c r="G740" s="297"/>
      <c r="H740" s="297"/>
      <c r="I740" s="297"/>
    </row>
    <row r="741" s="291" customFormat="1" ht="16.5" customHeight="1" spans="1:9">
      <c r="A741" s="298" t="s">
        <v>4</v>
      </c>
      <c r="B741" s="298"/>
      <c r="C741" s="298"/>
      <c r="D741" s="298"/>
      <c r="E741" s="298"/>
      <c r="F741" s="298"/>
      <c r="G741" s="298"/>
      <c r="H741" s="298"/>
      <c r="I741" s="298"/>
    </row>
    <row r="742" ht="12.75" customHeight="1" spans="1:9">
      <c r="A742" s="299" t="s">
        <v>5</v>
      </c>
      <c r="B742" s="299"/>
      <c r="C742" s="299"/>
      <c r="D742" s="299"/>
      <c r="E742" s="299"/>
      <c r="F742" s="299"/>
      <c r="G742" s="299"/>
      <c r="H742" s="299"/>
      <c r="I742" s="299"/>
    </row>
    <row r="743" customHeight="1" spans="1:9">
      <c r="A743" s="299"/>
      <c r="B743" s="299"/>
      <c r="C743" s="299"/>
      <c r="D743" s="299"/>
      <c r="E743" s="299"/>
      <c r="F743" s="299"/>
      <c r="G743" s="299"/>
      <c r="H743" s="299"/>
      <c r="I743" s="299"/>
    </row>
    <row r="744" ht="12.75" customHeight="1" spans="1:9">
      <c r="A744" s="299"/>
      <c r="B744" s="299"/>
      <c r="C744" s="299"/>
      <c r="D744" s="299"/>
      <c r="E744" s="299"/>
      <c r="F744" s="299"/>
      <c r="G744" s="299"/>
      <c r="H744" s="299"/>
      <c r="I744" s="299"/>
    </row>
    <row r="745" s="289" customFormat="1" ht="12.75" customHeight="1" spans="1:9">
      <c r="A745" s="300" t="s">
        <v>6</v>
      </c>
      <c r="B745" s="300"/>
      <c r="C745" s="300"/>
      <c r="D745" s="300"/>
      <c r="E745" s="300"/>
      <c r="F745" s="300"/>
      <c r="G745" s="300"/>
      <c r="H745" s="300"/>
      <c r="I745" s="300"/>
    </row>
    <row r="746" s="289" customFormat="1" ht="12.75" customHeight="1" spans="1:9">
      <c r="A746" s="300"/>
      <c r="B746" s="300"/>
      <c r="C746" s="300"/>
      <c r="D746" s="300"/>
      <c r="E746" s="300"/>
      <c r="F746" s="300"/>
      <c r="G746" s="300"/>
      <c r="H746" s="300"/>
      <c r="I746" s="300"/>
    </row>
    <row r="747" ht="12.75" customHeight="1" spans="1:9">
      <c r="A747" s="301"/>
      <c r="B747" s="302" t="s">
        <v>1969</v>
      </c>
      <c r="C747" s="450"/>
      <c r="D747" s="383" t="s">
        <v>8</v>
      </c>
      <c r="E747" s="451" t="s">
        <v>1970</v>
      </c>
      <c r="F747" s="452"/>
      <c r="G747" s="452"/>
      <c r="H747" s="452"/>
      <c r="I747" s="452"/>
    </row>
    <row r="748" s="289" customFormat="1" ht="19.5" customHeight="1" spans="1:9">
      <c r="A748" s="307" t="s">
        <v>10</v>
      </c>
      <c r="B748" s="308" t="s">
        <v>11</v>
      </c>
      <c r="C748" s="309" t="s">
        <v>12</v>
      </c>
      <c r="D748" s="308" t="s">
        <v>13</v>
      </c>
      <c r="E748" s="308" t="s">
        <v>14</v>
      </c>
      <c r="F748" s="310"/>
      <c r="G748" s="310"/>
      <c r="H748" s="310"/>
      <c r="I748" s="310"/>
    </row>
    <row r="749" ht="12.75" customHeight="1" spans="1:9">
      <c r="A749" s="314">
        <v>1</v>
      </c>
      <c r="B749" s="276">
        <v>252610386</v>
      </c>
      <c r="C749" s="315" t="s">
        <v>1971</v>
      </c>
      <c r="D749" s="434" t="s">
        <v>1972</v>
      </c>
      <c r="E749" s="385" t="s">
        <v>23</v>
      </c>
      <c r="F749" s="317"/>
      <c r="G749" s="318"/>
      <c r="H749" s="318"/>
      <c r="I749" s="318"/>
    </row>
    <row r="750" s="291" customFormat="1" ht="12.75" customHeight="1" spans="1:9">
      <c r="A750" s="314">
        <v>2</v>
      </c>
      <c r="B750" s="276">
        <v>252610148</v>
      </c>
      <c r="C750" s="315" t="s">
        <v>1973</v>
      </c>
      <c r="D750" s="434" t="s">
        <v>1974</v>
      </c>
      <c r="E750" s="385" t="s">
        <v>18</v>
      </c>
      <c r="F750" s="317"/>
      <c r="G750" s="318"/>
      <c r="H750" s="318"/>
      <c r="I750" s="318"/>
    </row>
    <row r="751" ht="12.75" customHeight="1" spans="1:9">
      <c r="A751" s="314">
        <v>3</v>
      </c>
      <c r="B751" s="278">
        <v>252610194</v>
      </c>
      <c r="C751" s="315" t="s">
        <v>1975</v>
      </c>
      <c r="D751" s="434" t="s">
        <v>1976</v>
      </c>
      <c r="E751" s="385" t="s">
        <v>18</v>
      </c>
      <c r="F751" s="317"/>
      <c r="G751" s="318"/>
      <c r="H751" s="318"/>
      <c r="I751" s="318"/>
    </row>
    <row r="752" ht="12.75" customHeight="1" spans="1:9">
      <c r="A752" s="314">
        <v>4</v>
      </c>
      <c r="B752" s="276">
        <v>252610196</v>
      </c>
      <c r="C752" s="315" t="s">
        <v>1977</v>
      </c>
      <c r="D752" s="434" t="s">
        <v>1978</v>
      </c>
      <c r="E752" s="385" t="s">
        <v>18</v>
      </c>
      <c r="F752" s="317"/>
      <c r="G752" s="318"/>
      <c r="H752" s="318"/>
      <c r="I752" s="318"/>
    </row>
    <row r="753" ht="12.75" customHeight="1" spans="1:9">
      <c r="A753" s="314">
        <v>5</v>
      </c>
      <c r="B753" s="278">
        <v>252610197</v>
      </c>
      <c r="C753" s="315" t="s">
        <v>1979</v>
      </c>
      <c r="D753" s="434" t="s">
        <v>1980</v>
      </c>
      <c r="E753" s="385" t="s">
        <v>23</v>
      </c>
      <c r="F753" s="317"/>
      <c r="G753" s="318"/>
      <c r="H753" s="318"/>
      <c r="I753" s="318"/>
    </row>
    <row r="754" ht="12.75" customHeight="1" spans="1:9">
      <c r="A754" s="314">
        <v>6</v>
      </c>
      <c r="B754" s="276">
        <v>252610536</v>
      </c>
      <c r="C754" s="315" t="s">
        <v>1981</v>
      </c>
      <c r="D754" s="434" t="s">
        <v>1982</v>
      </c>
      <c r="E754" s="385" t="s">
        <v>23</v>
      </c>
      <c r="F754" s="317"/>
      <c r="G754" s="318"/>
      <c r="H754" s="318"/>
      <c r="I754" s="318"/>
    </row>
    <row r="755" ht="12.75" customHeight="1" spans="1:9">
      <c r="A755" s="314">
        <v>7</v>
      </c>
      <c r="B755" s="278">
        <v>252610487</v>
      </c>
      <c r="C755" s="321" t="s">
        <v>1983</v>
      </c>
      <c r="D755" s="434" t="s">
        <v>1984</v>
      </c>
      <c r="E755" s="385" t="s">
        <v>18</v>
      </c>
      <c r="F755" s="317"/>
      <c r="G755" s="318"/>
      <c r="H755" s="318"/>
      <c r="I755" s="318"/>
    </row>
    <row r="756" ht="12.75" customHeight="1" spans="1:9">
      <c r="A756" s="314">
        <v>8</v>
      </c>
      <c r="B756" s="276">
        <v>252610297</v>
      </c>
      <c r="C756" s="315" t="s">
        <v>1985</v>
      </c>
      <c r="D756" s="434" t="s">
        <v>1986</v>
      </c>
      <c r="E756" s="385" t="s">
        <v>18</v>
      </c>
      <c r="F756" s="317"/>
      <c r="G756" s="318"/>
      <c r="H756" s="318"/>
      <c r="I756" s="318"/>
    </row>
    <row r="757" ht="12.75" customHeight="1" spans="1:9">
      <c r="A757" s="314">
        <v>9</v>
      </c>
      <c r="B757" s="278">
        <v>252610156</v>
      </c>
      <c r="C757" s="315" t="s">
        <v>1987</v>
      </c>
      <c r="D757" s="434" t="s">
        <v>1988</v>
      </c>
      <c r="E757" s="385" t="s">
        <v>18</v>
      </c>
      <c r="F757" s="317"/>
      <c r="G757" s="318"/>
      <c r="H757" s="318"/>
      <c r="I757" s="318"/>
    </row>
    <row r="758" ht="12.75" customHeight="1" spans="1:9">
      <c r="A758" s="314">
        <v>10</v>
      </c>
      <c r="B758" s="276">
        <v>252610060</v>
      </c>
      <c r="C758" s="315" t="s">
        <v>1989</v>
      </c>
      <c r="D758" s="434" t="s">
        <v>1990</v>
      </c>
      <c r="E758" s="385" t="s">
        <v>23</v>
      </c>
      <c r="F758" s="317"/>
      <c r="G758" s="318"/>
      <c r="H758" s="318"/>
      <c r="I758" s="318"/>
    </row>
    <row r="759" ht="12.75" customHeight="1" spans="1:9">
      <c r="A759" s="314">
        <v>11</v>
      </c>
      <c r="B759" s="278">
        <v>252610253</v>
      </c>
      <c r="C759" s="315" t="s">
        <v>1991</v>
      </c>
      <c r="D759" s="434" t="s">
        <v>1992</v>
      </c>
      <c r="E759" s="385" t="s">
        <v>23</v>
      </c>
      <c r="F759" s="317"/>
      <c r="G759" s="318"/>
      <c r="H759" s="318"/>
      <c r="I759" s="318"/>
    </row>
    <row r="760" ht="12.75" customHeight="1" spans="1:9">
      <c r="A760" s="314">
        <v>12</v>
      </c>
      <c r="B760" s="276">
        <v>252610442</v>
      </c>
      <c r="C760" s="315" t="s">
        <v>1993</v>
      </c>
      <c r="D760" s="434" t="s">
        <v>1994</v>
      </c>
      <c r="E760" s="385" t="s">
        <v>18</v>
      </c>
      <c r="F760" s="317"/>
      <c r="G760" s="318"/>
      <c r="H760" s="318"/>
      <c r="I760" s="318"/>
    </row>
    <row r="761" ht="12.75" customHeight="1" spans="1:9">
      <c r="A761" s="314">
        <v>13</v>
      </c>
      <c r="B761" s="276">
        <v>252610348</v>
      </c>
      <c r="C761" s="315" t="s">
        <v>1995</v>
      </c>
      <c r="D761" s="434" t="s">
        <v>1996</v>
      </c>
      <c r="E761" s="385" t="s">
        <v>18</v>
      </c>
      <c r="F761" s="317"/>
      <c r="G761" s="318"/>
      <c r="H761" s="318"/>
      <c r="I761" s="318"/>
    </row>
    <row r="762" ht="12.75" customHeight="1" spans="1:9">
      <c r="A762" s="314">
        <v>14</v>
      </c>
      <c r="B762" s="278">
        <v>252610254</v>
      </c>
      <c r="C762" s="321" t="s">
        <v>1997</v>
      </c>
      <c r="D762" s="434" t="s">
        <v>1998</v>
      </c>
      <c r="E762" s="385" t="s">
        <v>23</v>
      </c>
      <c r="F762" s="317"/>
      <c r="G762" s="318"/>
      <c r="H762" s="318"/>
      <c r="I762" s="318"/>
    </row>
    <row r="763" ht="12.75" customHeight="1" spans="1:9">
      <c r="A763" s="314">
        <v>15</v>
      </c>
      <c r="B763" s="276">
        <v>252610350</v>
      </c>
      <c r="C763" s="321" t="s">
        <v>1999</v>
      </c>
      <c r="D763" s="434" t="s">
        <v>2000</v>
      </c>
      <c r="E763" s="385" t="s">
        <v>23</v>
      </c>
      <c r="F763" s="317"/>
      <c r="G763" s="318"/>
      <c r="H763" s="318"/>
      <c r="I763" s="318"/>
    </row>
    <row r="764" ht="12.75" customHeight="1" spans="1:9">
      <c r="A764" s="314">
        <v>16</v>
      </c>
      <c r="B764" s="278">
        <v>252610541</v>
      </c>
      <c r="C764" s="315" t="s">
        <v>2001</v>
      </c>
      <c r="D764" s="434" t="s">
        <v>2002</v>
      </c>
      <c r="E764" s="385" t="s">
        <v>18</v>
      </c>
      <c r="F764" s="317"/>
      <c r="G764" s="318"/>
      <c r="H764" s="318"/>
      <c r="I764" s="318"/>
    </row>
    <row r="765" ht="12.75" customHeight="1" spans="1:9">
      <c r="A765" s="314">
        <v>17</v>
      </c>
      <c r="B765" s="276">
        <v>252610492</v>
      </c>
      <c r="C765" s="315" t="s">
        <v>2003</v>
      </c>
      <c r="D765" s="434" t="s">
        <v>2004</v>
      </c>
      <c r="E765" s="385" t="s">
        <v>23</v>
      </c>
      <c r="F765" s="317"/>
      <c r="G765" s="318"/>
      <c r="H765" s="318"/>
      <c r="I765" s="318"/>
    </row>
    <row r="766" ht="12.75" customHeight="1" spans="1:9">
      <c r="A766" s="314">
        <v>18</v>
      </c>
      <c r="B766" s="278">
        <v>252610544</v>
      </c>
      <c r="C766" s="321" t="s">
        <v>2005</v>
      </c>
      <c r="D766" s="434" t="s">
        <v>1707</v>
      </c>
      <c r="E766" s="385" t="s">
        <v>23</v>
      </c>
      <c r="F766" s="317"/>
      <c r="G766" s="318"/>
      <c r="H766" s="318"/>
      <c r="I766" s="318"/>
    </row>
    <row r="767" ht="12.75" customHeight="1" spans="1:9">
      <c r="A767" s="314">
        <v>19</v>
      </c>
      <c r="B767" s="278">
        <v>252610066</v>
      </c>
      <c r="C767" s="315" t="s">
        <v>2006</v>
      </c>
      <c r="D767" s="434" t="s">
        <v>2007</v>
      </c>
      <c r="E767" s="385" t="s">
        <v>23</v>
      </c>
      <c r="F767" s="318"/>
      <c r="G767" s="318"/>
      <c r="H767" s="318"/>
      <c r="I767" s="318"/>
    </row>
    <row r="768" ht="12.75" customHeight="1" spans="1:9">
      <c r="A768" s="314">
        <v>20</v>
      </c>
      <c r="B768" s="276">
        <v>252610213</v>
      </c>
      <c r="C768" s="315" t="s">
        <v>2008</v>
      </c>
      <c r="D768" s="434" t="s">
        <v>2009</v>
      </c>
      <c r="E768" s="385" t="s">
        <v>18</v>
      </c>
      <c r="F768" s="317"/>
      <c r="G768" s="318"/>
      <c r="H768" s="318"/>
      <c r="I768" s="318"/>
    </row>
    <row r="769" ht="12.75" customHeight="1" spans="1:9">
      <c r="A769" s="314">
        <v>21</v>
      </c>
      <c r="B769" s="278">
        <v>252610498</v>
      </c>
      <c r="C769" s="321" t="s">
        <v>2010</v>
      </c>
      <c r="D769" s="434" t="s">
        <v>2011</v>
      </c>
      <c r="E769" s="385" t="s">
        <v>23</v>
      </c>
      <c r="F769" s="317"/>
      <c r="G769" s="318"/>
      <c r="H769" s="318"/>
      <c r="I769" s="318"/>
    </row>
    <row r="770" ht="12.75" customHeight="1" spans="1:9">
      <c r="A770" s="314">
        <v>22</v>
      </c>
      <c r="B770" s="276">
        <v>252610311</v>
      </c>
      <c r="C770" s="315" t="s">
        <v>2012</v>
      </c>
      <c r="D770" s="434" t="s">
        <v>2013</v>
      </c>
      <c r="E770" s="385" t="s">
        <v>23</v>
      </c>
      <c r="F770" s="317"/>
      <c r="G770" s="318"/>
      <c r="H770" s="318"/>
      <c r="I770" s="318"/>
    </row>
    <row r="771" ht="12.75" customHeight="1" spans="1:9">
      <c r="A771" s="314">
        <v>23</v>
      </c>
      <c r="B771" s="278">
        <v>252610455</v>
      </c>
      <c r="C771" s="315" t="s">
        <v>2014</v>
      </c>
      <c r="D771" s="434" t="s">
        <v>2015</v>
      </c>
      <c r="E771" s="385" t="s">
        <v>23</v>
      </c>
      <c r="F771" s="317"/>
      <c r="G771" s="318"/>
      <c r="H771" s="318"/>
      <c r="I771" s="318"/>
    </row>
    <row r="772" ht="12.75" customHeight="1" spans="1:9">
      <c r="A772" s="314">
        <v>24</v>
      </c>
      <c r="B772" s="276">
        <v>252610502</v>
      </c>
      <c r="C772" s="321" t="s">
        <v>2016</v>
      </c>
      <c r="D772" s="434" t="s">
        <v>2017</v>
      </c>
      <c r="E772" s="385" t="s">
        <v>23</v>
      </c>
      <c r="F772" s="317"/>
      <c r="G772" s="318"/>
      <c r="H772" s="318"/>
      <c r="I772" s="318"/>
    </row>
    <row r="773" ht="12.75" customHeight="1" spans="1:9">
      <c r="A773" s="314">
        <v>25</v>
      </c>
      <c r="B773" s="286">
        <v>252610029</v>
      </c>
      <c r="C773" s="414" t="s">
        <v>2018</v>
      </c>
      <c r="D773" s="435" t="s">
        <v>2019</v>
      </c>
      <c r="E773" s="386" t="s">
        <v>23</v>
      </c>
      <c r="F773" s="317"/>
      <c r="G773" s="318"/>
      <c r="H773" s="318"/>
      <c r="I773" s="318"/>
    </row>
    <row r="774" ht="12.75" customHeight="1" spans="1:9">
      <c r="A774" s="314">
        <v>26</v>
      </c>
      <c r="B774" s="276">
        <v>252610121</v>
      </c>
      <c r="C774" s="315" t="s">
        <v>2020</v>
      </c>
      <c r="D774" s="453" t="s">
        <v>2021</v>
      </c>
      <c r="E774" s="385" t="s">
        <v>23</v>
      </c>
      <c r="F774" s="317"/>
      <c r="G774" s="318"/>
      <c r="H774" s="318"/>
      <c r="I774" s="318"/>
    </row>
    <row r="775" ht="12.75" customHeight="1" spans="1:9">
      <c r="A775" s="314">
        <v>27</v>
      </c>
      <c r="B775" s="278">
        <v>252610218</v>
      </c>
      <c r="C775" s="315" t="s">
        <v>2022</v>
      </c>
      <c r="D775" s="434" t="s">
        <v>2023</v>
      </c>
      <c r="E775" s="385" t="s">
        <v>23</v>
      </c>
      <c r="F775" s="317"/>
      <c r="G775" s="318"/>
      <c r="H775" s="318"/>
      <c r="I775" s="318"/>
    </row>
    <row r="776" ht="12.75" customHeight="1" spans="1:9">
      <c r="A776" s="314">
        <v>28</v>
      </c>
      <c r="B776" s="276">
        <v>252610073</v>
      </c>
      <c r="C776" s="315" t="s">
        <v>2024</v>
      </c>
      <c r="D776" s="434" t="s">
        <v>2025</v>
      </c>
      <c r="E776" s="385" t="s">
        <v>23</v>
      </c>
      <c r="F776" s="317"/>
      <c r="G776" s="318"/>
      <c r="H776" s="318"/>
      <c r="I776" s="318"/>
    </row>
    <row r="777" ht="12.75" customHeight="1" spans="1:9">
      <c r="A777" s="314">
        <v>29</v>
      </c>
      <c r="B777" s="278">
        <v>252610366</v>
      </c>
      <c r="C777" s="315" t="s">
        <v>2026</v>
      </c>
      <c r="D777" s="434" t="s">
        <v>2027</v>
      </c>
      <c r="E777" s="385" t="s">
        <v>23</v>
      </c>
      <c r="F777" s="317"/>
      <c r="G777" s="318"/>
      <c r="H777" s="318"/>
      <c r="I777" s="318"/>
    </row>
    <row r="778" ht="12.75" customHeight="1" spans="1:9">
      <c r="A778" s="314">
        <v>30</v>
      </c>
      <c r="B778" s="276">
        <v>252610271</v>
      </c>
      <c r="C778" s="315" t="s">
        <v>2028</v>
      </c>
      <c r="D778" s="434" t="s">
        <v>2029</v>
      </c>
      <c r="E778" s="385" t="s">
        <v>18</v>
      </c>
      <c r="F778" s="317"/>
      <c r="G778" s="318"/>
      <c r="H778" s="318"/>
      <c r="I778" s="318"/>
    </row>
    <row r="779" ht="12.75" customHeight="1" spans="1:9">
      <c r="A779" s="314">
        <v>31</v>
      </c>
      <c r="B779" s="278">
        <v>252610128</v>
      </c>
      <c r="C779" s="315" t="s">
        <v>2030</v>
      </c>
      <c r="D779" s="434" t="s">
        <v>2031</v>
      </c>
      <c r="E779" s="385" t="s">
        <v>18</v>
      </c>
      <c r="F779" s="317"/>
      <c r="G779" s="318"/>
      <c r="H779" s="318"/>
      <c r="I779" s="318"/>
    </row>
    <row r="780" ht="12.75" customHeight="1" spans="1:9">
      <c r="A780" s="314">
        <v>32</v>
      </c>
      <c r="B780" s="278">
        <v>252610274</v>
      </c>
      <c r="C780" s="315" t="s">
        <v>2032</v>
      </c>
      <c r="D780" s="434" t="s">
        <v>2033</v>
      </c>
      <c r="E780" s="385" t="s">
        <v>18</v>
      </c>
      <c r="F780" s="317"/>
      <c r="G780" s="318"/>
      <c r="H780" s="318"/>
      <c r="I780" s="318"/>
    </row>
    <row r="781" ht="12.75" customHeight="1" spans="1:9">
      <c r="A781" s="314">
        <v>33</v>
      </c>
      <c r="B781" s="276">
        <v>252610081</v>
      </c>
      <c r="C781" s="315" t="s">
        <v>2034</v>
      </c>
      <c r="D781" s="434" t="s">
        <v>2035</v>
      </c>
      <c r="E781" s="385" t="s">
        <v>18</v>
      </c>
      <c r="F781" s="317"/>
      <c r="G781" s="318"/>
      <c r="H781" s="318"/>
      <c r="I781" s="318"/>
    </row>
    <row r="782" ht="12.75" customHeight="1" spans="1:9">
      <c r="A782" s="314">
        <v>34</v>
      </c>
      <c r="B782" s="278">
        <v>252610417</v>
      </c>
      <c r="C782" s="315" t="s">
        <v>2036</v>
      </c>
      <c r="D782" s="434" t="s">
        <v>2037</v>
      </c>
      <c r="E782" s="385" t="s">
        <v>18</v>
      </c>
      <c r="F782" s="317"/>
      <c r="G782" s="318"/>
      <c r="H782" s="318"/>
      <c r="I782" s="318"/>
    </row>
    <row r="783" ht="12.75" customHeight="1" spans="1:9">
      <c r="A783" s="314">
        <v>35</v>
      </c>
      <c r="B783" s="284">
        <v>252610037</v>
      </c>
      <c r="C783" s="414" t="s">
        <v>2038</v>
      </c>
      <c r="D783" s="437" t="s">
        <v>2039</v>
      </c>
      <c r="E783" s="386" t="s">
        <v>23</v>
      </c>
      <c r="F783" s="317"/>
      <c r="G783" s="318"/>
      <c r="H783" s="318"/>
      <c r="I783" s="318"/>
    </row>
    <row r="784" ht="12.75" customHeight="1" spans="1:9">
      <c r="A784" s="314">
        <v>36</v>
      </c>
      <c r="B784" s="278">
        <v>252610321</v>
      </c>
      <c r="C784" s="315" t="s">
        <v>2040</v>
      </c>
      <c r="D784" s="434" t="s">
        <v>2041</v>
      </c>
      <c r="E784" s="385" t="s">
        <v>23</v>
      </c>
      <c r="F784" s="317"/>
      <c r="G784" s="318"/>
      <c r="H784" s="318"/>
      <c r="I784" s="318"/>
    </row>
    <row r="785" ht="12.75" customHeight="1" spans="1:9">
      <c r="A785" s="314">
        <v>37</v>
      </c>
      <c r="B785" s="276">
        <v>252610132</v>
      </c>
      <c r="C785" s="315" t="s">
        <v>2042</v>
      </c>
      <c r="D785" s="434" t="s">
        <v>2043</v>
      </c>
      <c r="E785" s="385" t="s">
        <v>23</v>
      </c>
      <c r="F785" s="326"/>
      <c r="G785" s="327"/>
      <c r="H785" s="327"/>
      <c r="I785" s="327"/>
    </row>
    <row r="786" ht="12.75" customHeight="1" spans="1:9">
      <c r="A786" s="314">
        <v>38</v>
      </c>
      <c r="B786" s="278">
        <v>252610469</v>
      </c>
      <c r="C786" s="315" t="s">
        <v>2044</v>
      </c>
      <c r="D786" s="434" t="s">
        <v>2045</v>
      </c>
      <c r="E786" s="385" t="s">
        <v>18</v>
      </c>
      <c r="F786" s="318"/>
      <c r="G786" s="318"/>
      <c r="H786" s="318"/>
      <c r="I786" s="318"/>
    </row>
    <row r="787" ht="12.75" customHeight="1" spans="1:9">
      <c r="A787" s="314">
        <v>39</v>
      </c>
      <c r="B787" s="276">
        <v>252610566</v>
      </c>
      <c r="C787" s="315" t="s">
        <v>2046</v>
      </c>
      <c r="D787" s="434" t="s">
        <v>2047</v>
      </c>
      <c r="E787" s="385" t="s">
        <v>18</v>
      </c>
      <c r="F787" s="318"/>
      <c r="G787" s="318"/>
      <c r="H787" s="318"/>
      <c r="I787" s="318"/>
    </row>
    <row r="788" ht="12.75" customHeight="1" spans="1:9">
      <c r="A788" s="314">
        <v>40</v>
      </c>
      <c r="B788" s="278">
        <v>252610090</v>
      </c>
      <c r="C788" s="315" t="s">
        <v>2048</v>
      </c>
      <c r="D788" s="434" t="s">
        <v>2049</v>
      </c>
      <c r="E788" s="385" t="s">
        <v>23</v>
      </c>
      <c r="F788" s="318"/>
      <c r="G788" s="318"/>
      <c r="H788" s="318"/>
      <c r="I788" s="318"/>
    </row>
    <row r="789" ht="12.75" customHeight="1" spans="1:9">
      <c r="A789" s="314">
        <v>41</v>
      </c>
      <c r="B789" s="276">
        <v>252610279</v>
      </c>
      <c r="C789" s="315" t="s">
        <v>2050</v>
      </c>
      <c r="D789" s="434" t="s">
        <v>2051</v>
      </c>
      <c r="E789" s="385" t="s">
        <v>18</v>
      </c>
      <c r="F789" s="318"/>
      <c r="G789" s="318"/>
      <c r="H789" s="318"/>
      <c r="I789" s="318"/>
    </row>
    <row r="790" ht="12.75" customHeight="1" spans="1:9">
      <c r="A790" s="314">
        <v>42</v>
      </c>
      <c r="B790" s="278">
        <v>252610138</v>
      </c>
      <c r="C790" s="315" t="s">
        <v>2052</v>
      </c>
      <c r="D790" s="434" t="s">
        <v>2053</v>
      </c>
      <c r="E790" s="385" t="s">
        <v>18</v>
      </c>
      <c r="F790" s="318"/>
      <c r="G790" s="318"/>
      <c r="H790" s="318"/>
      <c r="I790" s="318"/>
    </row>
    <row r="791" ht="12.75" customHeight="1" spans="1:9">
      <c r="A791" s="314">
        <v>43</v>
      </c>
      <c r="B791" s="276">
        <v>252610187</v>
      </c>
      <c r="C791" s="315" t="s">
        <v>2054</v>
      </c>
      <c r="D791" s="434" t="s">
        <v>2055</v>
      </c>
      <c r="E791" s="385" t="s">
        <v>18</v>
      </c>
      <c r="F791" s="318"/>
      <c r="G791" s="318"/>
      <c r="H791" s="318"/>
      <c r="I791" s="318"/>
    </row>
    <row r="792" ht="12.75" customHeight="1" spans="1:9">
      <c r="A792" s="314">
        <v>44</v>
      </c>
      <c r="B792" s="278">
        <v>252610331</v>
      </c>
      <c r="C792" s="315" t="s">
        <v>2056</v>
      </c>
      <c r="D792" s="434" t="s">
        <v>2057</v>
      </c>
      <c r="E792" s="385" t="s">
        <v>18</v>
      </c>
      <c r="F792" s="318"/>
      <c r="G792" s="318"/>
      <c r="H792" s="318"/>
      <c r="I792" s="318"/>
    </row>
    <row r="793" ht="12.75" customHeight="1" spans="1:9">
      <c r="A793" s="314">
        <v>45</v>
      </c>
      <c r="B793" s="276">
        <v>252610474</v>
      </c>
      <c r="C793" s="315" t="s">
        <v>2058</v>
      </c>
      <c r="D793" s="434" t="s">
        <v>2059</v>
      </c>
      <c r="E793" s="385" t="s">
        <v>18</v>
      </c>
      <c r="F793" s="318"/>
      <c r="G793" s="318"/>
      <c r="H793" s="318"/>
      <c r="I793" s="318"/>
    </row>
    <row r="794" ht="12.75" customHeight="1" spans="1:9">
      <c r="A794" s="314">
        <v>46</v>
      </c>
      <c r="B794" s="278">
        <v>252610334</v>
      </c>
      <c r="C794" s="315" t="s">
        <v>2060</v>
      </c>
      <c r="D794" s="434" t="s">
        <v>2061</v>
      </c>
      <c r="E794" s="385" t="s">
        <v>18</v>
      </c>
      <c r="F794" s="318"/>
      <c r="G794" s="318"/>
      <c r="H794" s="318"/>
      <c r="I794" s="318"/>
    </row>
    <row r="795" ht="12.75" customHeight="1" spans="1:9">
      <c r="A795" s="314">
        <v>47</v>
      </c>
      <c r="B795" s="276">
        <v>252610479</v>
      </c>
      <c r="C795" s="321" t="s">
        <v>2062</v>
      </c>
      <c r="D795" s="434" t="s">
        <v>2063</v>
      </c>
      <c r="E795" s="385" t="s">
        <v>23</v>
      </c>
      <c r="F795" s="327"/>
      <c r="G795" s="327"/>
      <c r="H795" s="327"/>
      <c r="I795" s="327"/>
    </row>
    <row r="796" ht="12.75" customHeight="1" spans="1:9">
      <c r="A796" s="314">
        <v>48</v>
      </c>
      <c r="B796" s="278">
        <v>252610432</v>
      </c>
      <c r="C796" s="315" t="s">
        <v>2064</v>
      </c>
      <c r="D796" s="434" t="s">
        <v>2065</v>
      </c>
      <c r="E796" s="385" t="s">
        <v>23</v>
      </c>
      <c r="F796" s="318"/>
      <c r="G796" s="318"/>
      <c r="H796" s="318"/>
      <c r="I796" s="318"/>
    </row>
    <row r="797" s="289" customFormat="1" ht="12.75" customHeight="1" spans="1:9">
      <c r="A797" s="293"/>
      <c r="B797" s="334"/>
      <c r="C797" s="423"/>
      <c r="D797" s="346" t="s">
        <v>89</v>
      </c>
      <c r="E797" s="336">
        <f>COUNTIF(E749:E796,"L")</f>
        <v>25</v>
      </c>
    </row>
    <row r="798" s="289" customFormat="1" ht="12.75" customHeight="1" spans="1:9">
      <c r="A798" s="293"/>
      <c r="C798" s="423"/>
      <c r="D798" s="346" t="s">
        <v>90</v>
      </c>
      <c r="E798" s="336">
        <f>COUNTIF(E749:E796,"P")</f>
        <v>23</v>
      </c>
    </row>
    <row r="799" s="289" customFormat="1" ht="12.75" customHeight="1" spans="1:9">
      <c r="A799" s="293"/>
      <c r="B799" s="334" t="s">
        <v>91</v>
      </c>
      <c r="C799" s="423"/>
      <c r="D799" s="304"/>
      <c r="E799" s="293"/>
      <c r="F799" s="289" t="s">
        <v>92</v>
      </c>
    </row>
    <row r="800" s="289" customFormat="1" ht="12.75" customHeight="1" spans="1:9">
      <c r="A800" s="293"/>
      <c r="B800" s="334"/>
      <c r="C800" s="423"/>
      <c r="D800" s="304"/>
      <c r="E800" s="293"/>
    </row>
    <row r="801" s="289" customFormat="1" ht="12.75" customHeight="1" spans="1:6">
      <c r="A801" s="293"/>
      <c r="B801" s="334"/>
      <c r="C801" s="423"/>
      <c r="D801" s="304"/>
      <c r="E801" s="293"/>
    </row>
    <row r="802" s="289" customFormat="1" ht="12.75" customHeight="1" spans="1:6">
      <c r="A802" s="293"/>
      <c r="B802" s="334"/>
      <c r="C802" s="423"/>
      <c r="D802" s="304"/>
      <c r="E802" s="293"/>
    </row>
    <row r="803" s="289" customFormat="1" ht="12.75" customHeight="1" spans="1:6">
      <c r="A803" s="293"/>
      <c r="B803" s="338" t="s">
        <v>93</v>
      </c>
      <c r="C803" s="423"/>
      <c r="D803" s="304"/>
      <c r="E803" s="293"/>
      <c r="F803" s="289" t="s">
        <v>94</v>
      </c>
    </row>
    <row r="804" s="289" customFormat="1" ht="12.75" customHeight="1" spans="1:6">
      <c r="B804" s="339" t="s">
        <v>95</v>
      </c>
      <c r="C804" s="423"/>
      <c r="D804" s="304"/>
      <c r="E804" s="293"/>
    </row>
  </sheetData>
  <autoFilter xmlns:etc="http://www.wps.cn/officeDocument/2017/etCustomData" ref="A12:E329" etc:filterBottomFollowUsedRange="0">
    <extLst/>
  </autoFilter>
  <mergeCells count="72">
    <mergeCell ref="A2:I2"/>
    <mergeCell ref="A3:I3"/>
    <mergeCell ref="A4:I4"/>
    <mergeCell ref="A5:I5"/>
    <mergeCell ref="A68:I68"/>
    <mergeCell ref="A69:I69"/>
    <mergeCell ref="A70:I70"/>
    <mergeCell ref="A71:I71"/>
    <mergeCell ref="A136:I136"/>
    <mergeCell ref="A137:I137"/>
    <mergeCell ref="A138:I138"/>
    <mergeCell ref="A139:I139"/>
    <mergeCell ref="A202:I202"/>
    <mergeCell ref="A203:I203"/>
    <mergeCell ref="A204:I204"/>
    <mergeCell ref="A205:I205"/>
    <mergeCell ref="A269:I269"/>
    <mergeCell ref="A270:I270"/>
    <mergeCell ref="A271:I271"/>
    <mergeCell ref="A272:I272"/>
    <mergeCell ref="A336:I336"/>
    <mergeCell ref="A337:I337"/>
    <mergeCell ref="A338:I338"/>
    <mergeCell ref="A339:I339"/>
    <mergeCell ref="A403:I403"/>
    <mergeCell ref="A404:I404"/>
    <mergeCell ref="A405:I405"/>
    <mergeCell ref="A406:I406"/>
    <mergeCell ref="A470:I470"/>
    <mergeCell ref="A471:I471"/>
    <mergeCell ref="A472:I472"/>
    <mergeCell ref="A473:I473"/>
    <mergeCell ref="A537:I537"/>
    <mergeCell ref="A538:I538"/>
    <mergeCell ref="A539:I539"/>
    <mergeCell ref="A540:I540"/>
    <mergeCell ref="A604:I604"/>
    <mergeCell ref="A605:I605"/>
    <mergeCell ref="A606:I606"/>
    <mergeCell ref="A607:I607"/>
    <mergeCell ref="A671:I671"/>
    <mergeCell ref="A672:I672"/>
    <mergeCell ref="A673:I673"/>
    <mergeCell ref="A674:I674"/>
    <mergeCell ref="A738:I738"/>
    <mergeCell ref="A739:I739"/>
    <mergeCell ref="A740:I740"/>
    <mergeCell ref="A741:I741"/>
    <mergeCell ref="A6:I8"/>
    <mergeCell ref="A9:I10"/>
    <mergeCell ref="A72:I74"/>
    <mergeCell ref="A75:I76"/>
    <mergeCell ref="A140:I142"/>
    <mergeCell ref="A143:I144"/>
    <mergeCell ref="A206:I208"/>
    <mergeCell ref="A209:I210"/>
    <mergeCell ref="A273:I275"/>
    <mergeCell ref="A276:I277"/>
    <mergeCell ref="A340:I342"/>
    <mergeCell ref="A343:I344"/>
    <mergeCell ref="A407:I409"/>
    <mergeCell ref="A410:I411"/>
    <mergeCell ref="A474:I476"/>
    <mergeCell ref="A477:I478"/>
    <mergeCell ref="A541:I543"/>
    <mergeCell ref="A544:I545"/>
    <mergeCell ref="A608:I610"/>
    <mergeCell ref="A611:I612"/>
    <mergeCell ref="A675:I677"/>
    <mergeCell ref="A678:I679"/>
    <mergeCell ref="A742:I744"/>
    <mergeCell ref="A745:I746"/>
  </mergeCells>
  <conditionalFormatting sqref="B23">
    <cfRule type="expression" dxfId="0" priority="4">
      <formula>COUNTIF(XEX:XEX,B23)&gt;1</formula>
    </cfRule>
  </conditionalFormatting>
  <conditionalFormatting sqref="K23">
    <cfRule type="expression" dxfId="0" priority="43">
      <formula>COUNTIF(C:C,K23)&gt;1</formula>
    </cfRule>
  </conditionalFormatting>
  <conditionalFormatting sqref="B59">
    <cfRule type="expression" dxfId="0" priority="35">
      <formula>COUNTIF(B:B,B59)&gt;1</formula>
    </cfRule>
  </conditionalFormatting>
  <conditionalFormatting sqref="B166">
    <cfRule type="expression" dxfId="0" priority="3">
      <formula>COUNTIF(C:C,B166)&gt;1</formula>
    </cfRule>
  </conditionalFormatting>
  <conditionalFormatting sqref="B235">
    <cfRule type="expression" dxfId="0" priority="19">
      <formula>COUNTIF(C:C,B235)&gt;1</formula>
    </cfRule>
  </conditionalFormatting>
  <conditionalFormatting sqref="B311">
    <cfRule type="expression" dxfId="0" priority="17">
      <formula>COUNTIF(C:C,B311)&gt;1</formula>
    </cfRule>
  </conditionalFormatting>
  <conditionalFormatting sqref="B418">
    <cfRule type="expression" dxfId="0" priority="14">
      <formula>COUNTIF(C:C,B418)&gt;1</formula>
    </cfRule>
  </conditionalFormatting>
  <conditionalFormatting sqref="B450">
    <cfRule type="expression" dxfId="0" priority="2">
      <formula>COUNTIF(B:B,B450)&gt;1</formula>
    </cfRule>
  </conditionalFormatting>
  <conditionalFormatting sqref="B510">
    <cfRule type="expression" dxfId="0" priority="39">
      <formula>COUNTIF(C:C,B510)&gt;1</formula>
    </cfRule>
  </conditionalFormatting>
  <conditionalFormatting sqref="K510">
    <cfRule type="expression" dxfId="0" priority="37">
      <formula>COUNTIF(C:C,K510)&gt;1</formula>
    </cfRule>
  </conditionalFormatting>
  <conditionalFormatting sqref="B512">
    <cfRule type="expression" dxfId="0" priority="40">
      <formula>COUNTIF(C:C,B512)&gt;1</formula>
    </cfRule>
  </conditionalFormatting>
  <conditionalFormatting sqref="K512">
    <cfRule type="expression" dxfId="0" priority="38">
      <formula>COUNTIF(C:C,K512)&gt;1</formula>
    </cfRule>
  </conditionalFormatting>
  <conditionalFormatting sqref="B578">
    <cfRule type="expression" dxfId="0" priority="36">
      <formula>COUNTIF(C:C,B578)&gt;1</formula>
    </cfRule>
  </conditionalFormatting>
  <conditionalFormatting sqref="B761">
    <cfRule type="expression" dxfId="0" priority="42">
      <formula>COUNTIF(C:C,B761)&gt;1</formula>
    </cfRule>
  </conditionalFormatting>
  <conditionalFormatting sqref="K761">
    <cfRule type="expression" dxfId="0" priority="41">
      <formula>COUNTIF(C:C,K761)&gt;1</formula>
    </cfRule>
  </conditionalFormatting>
  <conditionalFormatting sqref="B767">
    <cfRule type="expression" dxfId="0" priority="6">
      <formula>COUNTIF(B:B,B767)&gt;1</formula>
    </cfRule>
  </conditionalFormatting>
  <conditionalFormatting sqref="C767">
    <cfRule type="expression" dxfId="0" priority="8">
      <formula>COUNTIF(C:C,C767)&gt;1</formula>
    </cfRule>
  </conditionalFormatting>
  <conditionalFormatting sqref="B797">
    <cfRule type="expression" dxfId="0" priority="24">
      <formula>COUNTIF(B:B,B797)&gt;1</formula>
    </cfRule>
  </conditionalFormatting>
  <conditionalFormatting sqref="B79:B126">
    <cfRule type="expression" dxfId="0" priority="21">
      <formula>COUNTIF(C:C,B79)&gt;1</formula>
    </cfRule>
  </conditionalFormatting>
  <conditionalFormatting sqref="B127:B128">
    <cfRule type="expression" dxfId="0" priority="34">
      <formula>COUNTIF(B:B,B127)&gt;1</formula>
    </cfRule>
  </conditionalFormatting>
  <conditionalFormatting sqref="B192:B194">
    <cfRule type="expression" dxfId="0" priority="33">
      <formula>COUNTIF(B:B,B192)&gt;1</formula>
    </cfRule>
  </conditionalFormatting>
  <conditionalFormatting sqref="B259:B261">
    <cfRule type="expression" dxfId="0" priority="32">
      <formula>COUNTIF(B:B,B259)&gt;1</formula>
    </cfRule>
  </conditionalFormatting>
  <conditionalFormatting sqref="B326:B328">
    <cfRule type="expression" dxfId="0" priority="31">
      <formula>COUNTIF(B:B,B326)&gt;1</formula>
    </cfRule>
  </conditionalFormatting>
  <conditionalFormatting sqref="B347:B393">
    <cfRule type="expression" dxfId="0" priority="15">
      <formula>COUNTIF(C:C,B347)&gt;1</formula>
    </cfRule>
  </conditionalFormatting>
  <conditionalFormatting sqref="B394:B395">
    <cfRule type="expression" dxfId="0" priority="30">
      <formula>COUNTIF(B:B,B394)&gt;1</formula>
    </cfRule>
  </conditionalFormatting>
  <conditionalFormatting sqref="B461:B463">
    <cfRule type="expression" dxfId="0" priority="29">
      <formula>COUNTIF(B:B,B461)&gt;1</formula>
    </cfRule>
  </conditionalFormatting>
  <conditionalFormatting sqref="B529:B530">
    <cfRule type="expression" dxfId="0" priority="28">
      <formula>COUNTIF(B:B,B529)&gt;1</formula>
    </cfRule>
  </conditionalFormatting>
  <conditionalFormatting sqref="B596:B597">
    <cfRule type="expression" dxfId="0" priority="27">
      <formula>COUNTIF(B:B,B596)&gt;1</formula>
    </cfRule>
  </conditionalFormatting>
  <conditionalFormatting sqref="B615:B662">
    <cfRule type="expression" dxfId="0" priority="10">
      <formula>COUNTIF(C:C,B615)&gt;1</formula>
    </cfRule>
  </conditionalFormatting>
  <conditionalFormatting sqref="B663:B664">
    <cfRule type="expression" dxfId="0" priority="26">
      <formula>COUNTIF(B:B,B663)&gt;1</formula>
    </cfRule>
  </conditionalFormatting>
  <conditionalFormatting sqref="B682:B729">
    <cfRule type="expression" dxfId="0" priority="9">
      <formula>COUNTIF(C:C,B682)&gt;1</formula>
    </cfRule>
  </conditionalFormatting>
  <conditionalFormatting sqref="B730:B731">
    <cfRule type="expression" dxfId="0" priority="25">
      <formula>COUNTIF(B:B,B730)&gt;1</formula>
    </cfRule>
  </conditionalFormatting>
  <conditionalFormatting sqref="B13:B22 B24:B32 B34:B56">
    <cfRule type="expression" dxfId="0" priority="22">
      <formula>COUNTIF(C:C,B13)&gt;1</formula>
    </cfRule>
  </conditionalFormatting>
  <conditionalFormatting sqref="B33 B57:B58">
    <cfRule type="expression" dxfId="0" priority="23">
      <formula>COUNTIF(C:C,B33)&gt;1</formula>
    </cfRule>
  </conditionalFormatting>
  <conditionalFormatting sqref="B147:B165 B167:B191">
    <cfRule type="expression" dxfId="0" priority="20">
      <formula>COUNTIF(C:C,B147)&gt;1</formula>
    </cfRule>
  </conditionalFormatting>
  <conditionalFormatting sqref="B213:B234 B236:B258">
    <cfRule type="expression" dxfId="0" priority="18">
      <formula>COUNTIF(C:C,B213)&gt;1</formula>
    </cfRule>
  </conditionalFormatting>
  <conditionalFormatting sqref="B280:B310 B312:B325">
    <cfRule type="expression" dxfId="0" priority="16">
      <formula>COUNTIF(C:C,B280)&gt;1</formula>
    </cfRule>
  </conditionalFormatting>
  <conditionalFormatting sqref="B414:B417 B419:B449 B451:B460">
    <cfRule type="expression" dxfId="0" priority="13">
      <formula>COUNTIF(C:C,B414)&gt;1</formula>
    </cfRule>
  </conditionalFormatting>
  <conditionalFormatting sqref="B481:B509 B511 B513:B528">
    <cfRule type="expression" dxfId="0" priority="12">
      <formula>COUNTIF(C:C,B481)&gt;1</formula>
    </cfRule>
  </conditionalFormatting>
  <conditionalFormatting sqref="B548:B577 B579:B595">
    <cfRule type="expression" dxfId="0" priority="11">
      <formula>COUNTIF(C:C,B548)&gt;1</formula>
    </cfRule>
  </conditionalFormatting>
  <conditionalFormatting sqref="B749:B760 B762:B766 B768:B796">
    <cfRule type="expression" dxfId="0" priority="5">
      <formula>COUNTIF(B:B,B749)&gt;1</formula>
    </cfRule>
  </conditionalFormatting>
  <conditionalFormatting sqref="C749:C760 C762:C766 C768:C796">
    <cfRule type="expression" dxfId="0" priority="7">
      <formula>COUNTIF(C:C,C749)&gt;1</formula>
    </cfRule>
  </conditionalFormatting>
  <pageMargins left="0.66875" right="0.156944444444444" top="0.275" bottom="0.786805555555556" header="0.511811023622047" footer="0.511811023622047"/>
  <pageSetup paperSize="1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737"/>
  <sheetViews>
    <sheetView showGridLines="0" tabSelected="1" zoomScale="150" zoomScaleNormal="150" topLeftCell="C71" workbookViewId="0">
      <selection activeCell="S83" sqref="S83"/>
    </sheetView>
  </sheetViews>
  <sheetFormatPr defaultColWidth="11.5333333333333" defaultRowHeight="15" customHeight="1"/>
  <cols>
    <col min="1" max="1" width="4.51666666666667" style="293" customWidth="1"/>
    <col min="2" max="2" width="13.1416666666667" style="294" customWidth="1"/>
    <col min="3" max="3" width="13.2916666666667" style="294" customWidth="1"/>
    <col min="4" max="4" width="37.0083333333333" style="295" customWidth="1"/>
    <col min="5" max="5" width="5.70833333333333" style="229" customWidth="1"/>
    <col min="6" max="9" width="5.70833333333333" style="296" hidden="1" customWidth="1"/>
    <col min="10" max="10" width="11.5333333333333" style="296" hidden="1" customWidth="1"/>
    <col min="11" max="11" width="12" style="296" hidden="1" customWidth="1"/>
    <col min="12" max="12" width="9.58333333333333" style="296" customWidth="1"/>
    <col min="13" max="13" width="9.5" style="296" customWidth="1"/>
    <col min="14" max="14" width="10.0833333333333" style="296" customWidth="1"/>
    <col min="15" max="16" width="5.625" style="296" customWidth="1"/>
    <col min="17" max="18" width="11.5333333333333" style="296"/>
    <col min="19" max="19" width="15.4333333333333" style="296" customWidth="1"/>
    <col min="20" max="16384" width="11.5333333333333" style="296"/>
  </cols>
  <sheetData>
    <row r="2" ht="12.75" customHeight="1" spans="1:14">
      <c r="A2" s="297" t="s">
        <v>1</v>
      </c>
      <c r="B2" s="297"/>
      <c r="C2" s="297"/>
      <c r="D2" s="297"/>
      <c r="E2" s="297"/>
      <c r="F2" s="297"/>
      <c r="G2" s="297"/>
      <c r="H2" s="297"/>
      <c r="I2" s="297"/>
    </row>
    <row r="3" ht="12.75" customHeight="1" spans="1:14">
      <c r="A3" s="297" t="s">
        <v>2</v>
      </c>
      <c r="B3" s="297"/>
      <c r="C3" s="297"/>
      <c r="D3" s="297"/>
      <c r="E3" s="297"/>
      <c r="F3" s="297"/>
      <c r="G3" s="297"/>
      <c r="H3" s="297"/>
      <c r="I3" s="297"/>
    </row>
    <row r="4" ht="12.75" customHeight="1" spans="1:14">
      <c r="A4" s="297" t="s">
        <v>3</v>
      </c>
      <c r="B4" s="297"/>
      <c r="C4" s="297"/>
      <c r="D4" s="297"/>
      <c r="E4" s="297"/>
      <c r="F4" s="297"/>
      <c r="G4" s="297"/>
      <c r="H4" s="297"/>
      <c r="I4" s="297"/>
    </row>
    <row r="5" ht="16.5" customHeight="1" spans="1:14">
      <c r="A5" s="298" t="s">
        <v>4</v>
      </c>
      <c r="B5" s="298"/>
      <c r="C5" s="298"/>
      <c r="D5" s="298"/>
      <c r="E5" s="298"/>
      <c r="F5" s="298"/>
      <c r="G5" s="298"/>
      <c r="H5" s="298"/>
      <c r="I5" s="298"/>
    </row>
    <row r="6" ht="12.75" customHeight="1" spans="1:14">
      <c r="A6" s="299" t="s">
        <v>5</v>
      </c>
      <c r="B6" s="299"/>
      <c r="C6" s="299"/>
      <c r="D6" s="299"/>
      <c r="E6" s="299"/>
      <c r="F6" s="299"/>
      <c r="G6" s="299"/>
      <c r="H6" s="299"/>
      <c r="I6" s="299"/>
    </row>
    <row r="7" customHeight="1" spans="1:14">
      <c r="A7" s="299"/>
      <c r="B7" s="299"/>
      <c r="C7" s="299"/>
      <c r="D7" s="299"/>
      <c r="E7" s="299"/>
      <c r="F7" s="299"/>
      <c r="G7" s="299"/>
      <c r="H7" s="299"/>
      <c r="I7" s="299"/>
    </row>
    <row r="8" ht="12.75" customHeight="1" spans="1:14">
      <c r="A8" s="299"/>
      <c r="B8" s="299"/>
      <c r="C8" s="299"/>
      <c r="D8" s="299"/>
      <c r="E8" s="299"/>
      <c r="F8" s="299"/>
      <c r="G8" s="299"/>
      <c r="H8" s="299"/>
      <c r="I8" s="299"/>
    </row>
    <row r="9" s="289" customFormat="1" ht="12.75" customHeight="1" spans="1:14">
      <c r="A9" s="300" t="s">
        <v>6</v>
      </c>
      <c r="B9" s="300"/>
      <c r="C9" s="300"/>
      <c r="D9" s="300"/>
      <c r="E9" s="300"/>
      <c r="F9" s="300"/>
      <c r="G9" s="300"/>
      <c r="H9" s="300"/>
      <c r="I9" s="300"/>
    </row>
    <row r="10" s="289" customFormat="1" ht="12.75" customHeight="1" spans="1:14">
      <c r="A10" s="300"/>
      <c r="B10" s="300"/>
      <c r="C10" s="300"/>
      <c r="D10" s="300"/>
      <c r="E10" s="300"/>
      <c r="F10" s="300"/>
      <c r="G10" s="300"/>
      <c r="H10" s="300"/>
      <c r="I10" s="300"/>
    </row>
    <row r="11" s="289" customFormat="1" ht="12.75" customHeight="1" spans="1:14">
      <c r="A11" s="301"/>
      <c r="B11" s="302" t="s">
        <v>2066</v>
      </c>
      <c r="C11" s="303"/>
      <c r="D11" s="304"/>
      <c r="E11" s="305" t="s">
        <v>8</v>
      </c>
      <c r="F11" s="306" t="s">
        <v>2067</v>
      </c>
    </row>
    <row r="12" s="290" customFormat="1" ht="19.5" customHeight="1" spans="1:14">
      <c r="A12" s="307" t="s">
        <v>10</v>
      </c>
      <c r="B12" s="308" t="s">
        <v>11</v>
      </c>
      <c r="C12" s="308" t="s">
        <v>12</v>
      </c>
      <c r="D12" s="308" t="s">
        <v>13</v>
      </c>
      <c r="E12" s="309" t="s">
        <v>14</v>
      </c>
      <c r="F12" s="310"/>
      <c r="G12" s="311">
        <v>46266</v>
      </c>
      <c r="H12" s="310"/>
      <c r="I12" s="312">
        <v>46280</v>
      </c>
      <c r="J12" s="313" t="s">
        <v>2068</v>
      </c>
      <c r="K12" s="313" t="s">
        <v>2069</v>
      </c>
      <c r="L12" s="313" t="s">
        <v>2070</v>
      </c>
      <c r="M12" s="313" t="s">
        <v>2071</v>
      </c>
      <c r="N12" s="313" t="s">
        <v>2072</v>
      </c>
    </row>
    <row r="13" ht="12.75" customHeight="1" spans="1:14">
      <c r="A13" s="314">
        <v>1</v>
      </c>
      <c r="B13" s="266">
        <v>262710001</v>
      </c>
      <c r="C13" s="315" t="s">
        <v>2073</v>
      </c>
      <c r="D13" s="316" t="s">
        <v>2074</v>
      </c>
      <c r="E13" s="314" t="s">
        <v>23</v>
      </c>
      <c r="F13" s="317"/>
      <c r="G13" s="296">
        <v>1</v>
      </c>
      <c r="H13" s="318"/>
      <c r="I13" s="318">
        <v>1</v>
      </c>
      <c r="J13" s="319">
        <v>1</v>
      </c>
      <c r="K13" s="319">
        <v>1</v>
      </c>
      <c r="L13" s="319">
        <v>1</v>
      </c>
      <c r="M13" s="319"/>
      <c r="N13" s="319"/>
    </row>
    <row r="14" ht="12.75" customHeight="1" spans="1:14">
      <c r="A14" s="314">
        <v>2</v>
      </c>
      <c r="B14" s="269">
        <f t="shared" ref="B14:B58" si="0">B13+1</f>
        <v>262710002</v>
      </c>
      <c r="C14" s="315" t="s">
        <v>2075</v>
      </c>
      <c r="D14" s="316" t="s">
        <v>2076</v>
      </c>
      <c r="E14" s="314" t="s">
        <v>23</v>
      </c>
      <c r="F14" s="317"/>
      <c r="G14" s="318">
        <v>1</v>
      </c>
      <c r="H14" s="318">
        <v>1</v>
      </c>
      <c r="I14" s="318">
        <v>1</v>
      </c>
      <c r="J14" s="319">
        <v>1</v>
      </c>
      <c r="K14" s="319">
        <v>1</v>
      </c>
      <c r="L14" s="319">
        <v>1</v>
      </c>
      <c r="M14" s="319"/>
      <c r="N14" s="319"/>
    </row>
    <row r="15" ht="12.75" customHeight="1" spans="1:14">
      <c r="A15" s="314">
        <v>3</v>
      </c>
      <c r="B15" s="266">
        <f t="shared" si="0"/>
        <v>262710003</v>
      </c>
      <c r="C15" s="315" t="s">
        <v>2077</v>
      </c>
      <c r="D15" s="316" t="s">
        <v>2078</v>
      </c>
      <c r="E15" s="314" t="s">
        <v>18</v>
      </c>
      <c r="F15" s="317"/>
      <c r="G15" s="318">
        <v>1</v>
      </c>
      <c r="H15" s="318">
        <v>1</v>
      </c>
      <c r="I15" s="318">
        <v>1</v>
      </c>
      <c r="J15" s="319">
        <v>1</v>
      </c>
      <c r="K15" s="319">
        <v>1</v>
      </c>
      <c r="L15" s="319">
        <v>1</v>
      </c>
      <c r="M15" s="319"/>
      <c r="N15" s="319"/>
    </row>
    <row r="16" ht="12.75" customHeight="1" spans="1:14">
      <c r="A16" s="314">
        <v>4</v>
      </c>
      <c r="B16" s="269">
        <f t="shared" si="0"/>
        <v>262710004</v>
      </c>
      <c r="C16" s="315" t="s">
        <v>2079</v>
      </c>
      <c r="D16" s="316" t="s">
        <v>2080</v>
      </c>
      <c r="E16" s="314" t="s">
        <v>23</v>
      </c>
      <c r="F16" s="317" t="s">
        <v>2081</v>
      </c>
      <c r="G16" s="318">
        <v>1</v>
      </c>
      <c r="H16" s="318">
        <v>1</v>
      </c>
      <c r="I16" s="318">
        <v>1</v>
      </c>
      <c r="J16" s="319">
        <v>1</v>
      </c>
      <c r="K16" s="319">
        <v>1</v>
      </c>
      <c r="L16" s="319">
        <v>1</v>
      </c>
      <c r="M16" s="319"/>
      <c r="N16" s="319"/>
    </row>
    <row r="17" ht="12.75" customHeight="1" spans="1:14">
      <c r="A17" s="314">
        <v>5</v>
      </c>
      <c r="B17" s="269">
        <f t="shared" si="0"/>
        <v>262710005</v>
      </c>
      <c r="C17" s="320" t="s">
        <v>2082</v>
      </c>
      <c r="D17" s="316" t="s">
        <v>2083</v>
      </c>
      <c r="E17" s="314" t="s">
        <v>18</v>
      </c>
      <c r="F17" s="317" t="s">
        <v>2084</v>
      </c>
      <c r="G17" s="318">
        <v>1</v>
      </c>
      <c r="H17" s="318">
        <v>1</v>
      </c>
      <c r="I17" s="318">
        <v>1</v>
      </c>
      <c r="J17" s="319"/>
      <c r="K17" s="319"/>
      <c r="L17" s="319"/>
      <c r="M17" s="319"/>
      <c r="N17" s="319"/>
    </row>
    <row r="18" ht="12.75" customHeight="1" spans="1:14">
      <c r="A18" s="314">
        <v>6</v>
      </c>
      <c r="B18" s="266">
        <f t="shared" si="0"/>
        <v>262710006</v>
      </c>
      <c r="C18" s="315" t="s">
        <v>2085</v>
      </c>
      <c r="D18" s="316" t="s">
        <v>2086</v>
      </c>
      <c r="E18" s="314" t="s">
        <v>18</v>
      </c>
      <c r="F18" s="317"/>
      <c r="G18" s="318">
        <v>1</v>
      </c>
      <c r="H18" s="318">
        <v>1</v>
      </c>
      <c r="I18" s="318">
        <v>1</v>
      </c>
      <c r="J18" s="319">
        <v>1</v>
      </c>
      <c r="K18" s="319">
        <v>1</v>
      </c>
      <c r="L18" s="319">
        <v>1</v>
      </c>
      <c r="M18" s="319"/>
      <c r="N18" s="319"/>
    </row>
    <row r="19" ht="12.75" customHeight="1" spans="1:14">
      <c r="A19" s="314">
        <v>7</v>
      </c>
      <c r="B19" s="269">
        <f t="shared" si="0"/>
        <v>262710007</v>
      </c>
      <c r="C19" s="315" t="s">
        <v>2087</v>
      </c>
      <c r="D19" s="316" t="s">
        <v>2088</v>
      </c>
      <c r="E19" s="314" t="s">
        <v>23</v>
      </c>
      <c r="F19" s="317"/>
      <c r="G19" s="318">
        <v>1</v>
      </c>
      <c r="H19" s="318">
        <v>1</v>
      </c>
      <c r="I19" s="318">
        <v>1</v>
      </c>
      <c r="J19" s="319">
        <v>1</v>
      </c>
      <c r="K19" s="319">
        <v>1</v>
      </c>
      <c r="L19" s="319">
        <v>1</v>
      </c>
      <c r="M19" s="319"/>
      <c r="N19" s="319"/>
    </row>
    <row r="20" ht="12.75" customHeight="1" spans="1:14">
      <c r="A20" s="314">
        <v>8</v>
      </c>
      <c r="B20" s="269">
        <f t="shared" si="0"/>
        <v>262710008</v>
      </c>
      <c r="C20" s="315" t="s">
        <v>2089</v>
      </c>
      <c r="D20" s="316" t="s">
        <v>2090</v>
      </c>
      <c r="E20" s="314" t="s">
        <v>23</v>
      </c>
      <c r="F20" s="317"/>
      <c r="G20" s="318">
        <v>1</v>
      </c>
      <c r="H20" s="318">
        <v>1</v>
      </c>
      <c r="I20" s="318">
        <v>1</v>
      </c>
      <c r="J20" s="319">
        <v>1</v>
      </c>
      <c r="K20" s="319">
        <v>1</v>
      </c>
      <c r="L20" s="319">
        <v>1</v>
      </c>
      <c r="M20" s="319"/>
      <c r="N20" s="319"/>
    </row>
    <row r="21" ht="12.75" customHeight="1" spans="1:14">
      <c r="A21" s="314">
        <v>9</v>
      </c>
      <c r="B21" s="266">
        <f t="shared" si="0"/>
        <v>262710009</v>
      </c>
      <c r="C21" s="321" t="s">
        <v>2091</v>
      </c>
      <c r="D21" s="316" t="s">
        <v>2092</v>
      </c>
      <c r="E21" s="314" t="s">
        <v>18</v>
      </c>
      <c r="F21" s="317"/>
      <c r="G21" s="318">
        <v>1</v>
      </c>
      <c r="H21" s="318">
        <v>1</v>
      </c>
      <c r="I21" s="318">
        <v>1</v>
      </c>
      <c r="J21" s="319">
        <v>1</v>
      </c>
      <c r="K21" s="319">
        <v>1</v>
      </c>
      <c r="L21" s="319">
        <v>1</v>
      </c>
      <c r="M21" s="319"/>
      <c r="N21" s="319"/>
    </row>
    <row r="22" ht="12.75" customHeight="1" spans="1:14">
      <c r="A22" s="314">
        <v>10</v>
      </c>
      <c r="B22" s="269">
        <f t="shared" si="0"/>
        <v>262710010</v>
      </c>
      <c r="C22" s="315" t="s">
        <v>2093</v>
      </c>
      <c r="D22" s="316" t="s">
        <v>2094</v>
      </c>
      <c r="E22" s="314" t="s">
        <v>18</v>
      </c>
      <c r="F22" s="317"/>
      <c r="G22" s="318">
        <v>1</v>
      </c>
      <c r="H22" s="318">
        <v>1</v>
      </c>
      <c r="I22" s="318">
        <v>1</v>
      </c>
      <c r="J22" s="319">
        <v>1</v>
      </c>
      <c r="K22" s="319">
        <v>1</v>
      </c>
      <c r="L22" s="319">
        <v>1</v>
      </c>
      <c r="M22" s="319"/>
      <c r="N22" s="319"/>
    </row>
    <row r="23" ht="12.75" customHeight="1" spans="1:14">
      <c r="A23" s="314">
        <v>11</v>
      </c>
      <c r="B23" s="269">
        <f t="shared" si="0"/>
        <v>262710011</v>
      </c>
      <c r="C23" s="320" t="s">
        <v>2095</v>
      </c>
      <c r="D23" s="316" t="s">
        <v>2096</v>
      </c>
      <c r="E23" s="314" t="s">
        <v>18</v>
      </c>
      <c r="F23" s="317"/>
      <c r="G23" s="318">
        <v>1</v>
      </c>
      <c r="H23" s="318">
        <v>1</v>
      </c>
      <c r="I23" s="318">
        <v>1</v>
      </c>
      <c r="J23" s="319">
        <v>1</v>
      </c>
      <c r="K23" s="319">
        <v>1</v>
      </c>
      <c r="L23" s="319"/>
      <c r="M23" s="319"/>
      <c r="N23" s="319"/>
    </row>
    <row r="24" ht="12.75" customHeight="1" spans="1:14">
      <c r="A24" s="314">
        <v>12</v>
      </c>
      <c r="B24" s="266">
        <f t="shared" si="0"/>
        <v>262710012</v>
      </c>
      <c r="C24" s="320" t="s">
        <v>2097</v>
      </c>
      <c r="D24" s="316" t="s">
        <v>2098</v>
      </c>
      <c r="E24" s="314" t="s">
        <v>23</v>
      </c>
      <c r="F24" s="317"/>
      <c r="G24" s="318">
        <v>1</v>
      </c>
      <c r="H24" s="318" t="s">
        <v>28</v>
      </c>
      <c r="I24" s="318">
        <v>1</v>
      </c>
      <c r="J24" s="319">
        <v>1</v>
      </c>
      <c r="K24" s="319">
        <v>1</v>
      </c>
      <c r="L24" s="319">
        <v>1</v>
      </c>
      <c r="M24" s="319"/>
      <c r="N24" s="319"/>
    </row>
    <row r="25" ht="12.75" customHeight="1" spans="1:14">
      <c r="A25" s="314">
        <v>13</v>
      </c>
      <c r="B25" s="269">
        <f t="shared" si="0"/>
        <v>262710013</v>
      </c>
      <c r="C25" s="321" t="s">
        <v>2099</v>
      </c>
      <c r="D25" s="316" t="s">
        <v>2100</v>
      </c>
      <c r="E25" s="314" t="s">
        <v>23</v>
      </c>
      <c r="F25" s="317"/>
      <c r="G25" s="322" t="s">
        <v>1033</v>
      </c>
      <c r="H25" s="318">
        <v>1</v>
      </c>
      <c r="I25" s="318">
        <v>1</v>
      </c>
      <c r="J25" s="319">
        <v>1</v>
      </c>
      <c r="K25" s="319">
        <v>1</v>
      </c>
      <c r="L25" s="319">
        <v>1</v>
      </c>
      <c r="M25" s="319"/>
      <c r="N25" s="319"/>
    </row>
    <row r="26" ht="12.75" customHeight="1" spans="1:14">
      <c r="A26" s="314">
        <v>14</v>
      </c>
      <c r="B26" s="269">
        <f t="shared" si="0"/>
        <v>262710014</v>
      </c>
      <c r="C26" s="315" t="s">
        <v>2101</v>
      </c>
      <c r="D26" s="316" t="s">
        <v>2102</v>
      </c>
      <c r="E26" s="323" t="s">
        <v>18</v>
      </c>
      <c r="F26" s="317"/>
      <c r="G26" s="318">
        <v>1</v>
      </c>
      <c r="H26" s="318">
        <v>1</v>
      </c>
      <c r="I26" s="318">
        <v>1</v>
      </c>
      <c r="J26" s="319">
        <v>1</v>
      </c>
      <c r="K26" s="319">
        <v>1</v>
      </c>
      <c r="L26" s="319">
        <v>1</v>
      </c>
      <c r="M26" s="319"/>
      <c r="N26" s="319"/>
    </row>
    <row r="27" ht="12.75" customHeight="1" spans="1:14">
      <c r="A27" s="314">
        <v>15</v>
      </c>
      <c r="B27" s="266">
        <f t="shared" si="0"/>
        <v>262710015</v>
      </c>
      <c r="C27" s="315" t="s">
        <v>2103</v>
      </c>
      <c r="D27" s="316" t="s">
        <v>2104</v>
      </c>
      <c r="E27" s="314" t="s">
        <v>23</v>
      </c>
      <c r="F27" s="317"/>
      <c r="G27" s="318">
        <v>1</v>
      </c>
      <c r="H27" s="318">
        <v>1</v>
      </c>
      <c r="I27" s="318">
        <v>1</v>
      </c>
      <c r="J27" s="319">
        <v>1</v>
      </c>
      <c r="K27" s="319">
        <v>1</v>
      </c>
      <c r="L27" s="319">
        <v>1</v>
      </c>
      <c r="M27" s="319"/>
      <c r="N27" s="319"/>
    </row>
    <row r="28" ht="12.75" customHeight="1" spans="1:14">
      <c r="A28" s="314">
        <v>16</v>
      </c>
      <c r="B28" s="269">
        <f t="shared" si="0"/>
        <v>262710016</v>
      </c>
      <c r="C28" s="315" t="s">
        <v>2105</v>
      </c>
      <c r="D28" s="316" t="s">
        <v>2106</v>
      </c>
      <c r="E28" s="314" t="s">
        <v>18</v>
      </c>
      <c r="F28" s="317"/>
      <c r="G28" s="318">
        <v>1</v>
      </c>
      <c r="H28" s="318">
        <v>1</v>
      </c>
      <c r="I28" s="318">
        <v>1</v>
      </c>
      <c r="J28" s="319">
        <v>1</v>
      </c>
      <c r="K28" s="319">
        <v>1</v>
      </c>
      <c r="L28" s="319">
        <v>1</v>
      </c>
      <c r="M28" s="319"/>
      <c r="N28" s="319"/>
    </row>
    <row r="29" ht="12.75" customHeight="1" spans="1:14">
      <c r="A29" s="314">
        <v>17</v>
      </c>
      <c r="B29" s="269">
        <f t="shared" si="0"/>
        <v>262710017</v>
      </c>
      <c r="C29" s="315" t="s">
        <v>2107</v>
      </c>
      <c r="D29" s="316" t="s">
        <v>2108</v>
      </c>
      <c r="E29" s="314" t="s">
        <v>23</v>
      </c>
      <c r="F29" s="317"/>
      <c r="G29" s="318">
        <v>1</v>
      </c>
      <c r="H29" s="318">
        <v>1</v>
      </c>
      <c r="I29" s="318">
        <v>1</v>
      </c>
      <c r="J29" s="319">
        <v>1</v>
      </c>
      <c r="K29" s="319">
        <v>1</v>
      </c>
      <c r="L29" s="319">
        <v>1</v>
      </c>
      <c r="M29" s="319"/>
      <c r="N29" s="319"/>
    </row>
    <row r="30" ht="12.75" customHeight="1" spans="1:14">
      <c r="A30" s="314">
        <v>18</v>
      </c>
      <c r="B30" s="266">
        <f t="shared" si="0"/>
        <v>262710018</v>
      </c>
      <c r="C30" s="321" t="s">
        <v>2109</v>
      </c>
      <c r="D30" s="316" t="s">
        <v>2110</v>
      </c>
      <c r="E30" s="314" t="s">
        <v>18</v>
      </c>
      <c r="F30" s="317"/>
      <c r="G30" s="318">
        <v>1</v>
      </c>
      <c r="H30" s="318">
        <v>1</v>
      </c>
      <c r="I30" s="318" t="s">
        <v>28</v>
      </c>
      <c r="J30" s="319">
        <v>1</v>
      </c>
      <c r="K30" s="319">
        <v>1</v>
      </c>
      <c r="L30" s="319"/>
      <c r="M30" s="319"/>
      <c r="N30" s="319"/>
    </row>
    <row r="31" ht="12.75" customHeight="1" spans="1:14">
      <c r="A31" s="314">
        <v>19</v>
      </c>
      <c r="B31" s="269">
        <f t="shared" si="0"/>
        <v>262710019</v>
      </c>
      <c r="C31" s="320" t="s">
        <v>2111</v>
      </c>
      <c r="D31" s="316" t="s">
        <v>2112</v>
      </c>
      <c r="E31" s="324" t="s">
        <v>18</v>
      </c>
      <c r="F31" s="317"/>
      <c r="G31" s="318">
        <v>1</v>
      </c>
      <c r="H31" s="318">
        <v>1</v>
      </c>
      <c r="I31" s="318">
        <v>1</v>
      </c>
      <c r="J31" s="319">
        <v>1</v>
      </c>
      <c r="K31" s="319">
        <v>1</v>
      </c>
      <c r="L31" s="319">
        <v>1</v>
      </c>
      <c r="M31" s="319"/>
      <c r="N31" s="319"/>
    </row>
    <row r="32" ht="12.75" customHeight="1" spans="1:14">
      <c r="A32" s="314">
        <v>20</v>
      </c>
      <c r="B32" s="269">
        <f t="shared" si="0"/>
        <v>262710020</v>
      </c>
      <c r="C32" s="315" t="s">
        <v>2113</v>
      </c>
      <c r="D32" s="316" t="s">
        <v>2114</v>
      </c>
      <c r="E32" s="314" t="s">
        <v>23</v>
      </c>
      <c r="F32" s="317"/>
      <c r="G32" s="318">
        <v>1</v>
      </c>
      <c r="H32" s="318">
        <v>1</v>
      </c>
      <c r="I32" s="318">
        <v>1</v>
      </c>
      <c r="J32" s="319">
        <v>1</v>
      </c>
      <c r="K32" s="319">
        <v>1</v>
      </c>
      <c r="L32" s="319">
        <v>1</v>
      </c>
      <c r="M32" s="319"/>
      <c r="N32" s="319"/>
    </row>
    <row r="33" ht="12.75" customHeight="1" spans="1:14">
      <c r="A33" s="314">
        <v>21</v>
      </c>
      <c r="B33" s="266">
        <f t="shared" si="0"/>
        <v>262710021</v>
      </c>
      <c r="C33" s="315" t="s">
        <v>2115</v>
      </c>
      <c r="D33" s="316" t="s">
        <v>2116</v>
      </c>
      <c r="E33" s="314" t="s">
        <v>18</v>
      </c>
      <c r="F33" s="318"/>
      <c r="G33" s="318">
        <v>1</v>
      </c>
      <c r="H33" s="318">
        <v>1</v>
      </c>
      <c r="I33" s="318">
        <v>1</v>
      </c>
      <c r="J33" s="319">
        <v>1</v>
      </c>
      <c r="K33" s="319">
        <v>1</v>
      </c>
      <c r="L33" s="319">
        <v>1</v>
      </c>
      <c r="M33" s="319"/>
      <c r="N33" s="319"/>
    </row>
    <row r="34" ht="12.75" customHeight="1" spans="1:14">
      <c r="A34" s="314">
        <v>22</v>
      </c>
      <c r="B34" s="269">
        <f t="shared" si="0"/>
        <v>262710022</v>
      </c>
      <c r="C34" s="315" t="s">
        <v>2117</v>
      </c>
      <c r="D34" s="316" t="s">
        <v>2118</v>
      </c>
      <c r="E34" s="314" t="s">
        <v>18</v>
      </c>
      <c r="F34" s="317"/>
      <c r="G34" s="318">
        <v>1</v>
      </c>
      <c r="H34" s="318">
        <v>1</v>
      </c>
      <c r="I34" s="318">
        <v>1</v>
      </c>
      <c r="J34" s="319">
        <v>1</v>
      </c>
      <c r="K34" s="319">
        <v>1</v>
      </c>
      <c r="L34" s="319"/>
      <c r="M34" s="319"/>
      <c r="N34" s="319"/>
    </row>
    <row r="35" ht="12.75" customHeight="1" spans="1:14">
      <c r="A35" s="314">
        <v>23</v>
      </c>
      <c r="B35" s="269">
        <f t="shared" si="0"/>
        <v>262710023</v>
      </c>
      <c r="C35" s="315" t="s">
        <v>2119</v>
      </c>
      <c r="D35" s="316" t="s">
        <v>2120</v>
      </c>
      <c r="E35" s="314" t="s">
        <v>23</v>
      </c>
      <c r="F35" s="317"/>
      <c r="G35" s="318">
        <v>1</v>
      </c>
      <c r="H35" s="318">
        <v>1</v>
      </c>
      <c r="I35" s="318">
        <v>1</v>
      </c>
      <c r="J35" s="319">
        <v>1</v>
      </c>
      <c r="K35" s="319">
        <v>1</v>
      </c>
      <c r="L35" s="319">
        <v>1</v>
      </c>
      <c r="M35" s="319"/>
      <c r="N35" s="319"/>
    </row>
    <row r="36" ht="12.75" customHeight="1" spans="1:14">
      <c r="A36" s="314">
        <v>24</v>
      </c>
      <c r="B36" s="266">
        <f t="shared" si="0"/>
        <v>262710024</v>
      </c>
      <c r="C36" s="315" t="s">
        <v>2121</v>
      </c>
      <c r="D36" s="316" t="s">
        <v>2122</v>
      </c>
      <c r="E36" s="314" t="s">
        <v>23</v>
      </c>
      <c r="F36" s="317"/>
      <c r="G36" s="318">
        <v>1</v>
      </c>
      <c r="H36" s="318">
        <v>1</v>
      </c>
      <c r="I36" s="318">
        <v>1</v>
      </c>
      <c r="J36" s="319"/>
      <c r="K36" s="319"/>
      <c r="L36" s="319">
        <v>1</v>
      </c>
      <c r="M36" s="319"/>
      <c r="N36" s="319"/>
    </row>
    <row r="37" ht="12.75" customHeight="1" spans="1:14">
      <c r="A37" s="314">
        <v>25</v>
      </c>
      <c r="B37" s="269">
        <f t="shared" si="0"/>
        <v>262710025</v>
      </c>
      <c r="C37" s="315" t="s">
        <v>2123</v>
      </c>
      <c r="D37" s="316" t="s">
        <v>2124</v>
      </c>
      <c r="E37" s="314" t="s">
        <v>23</v>
      </c>
      <c r="F37" s="317"/>
      <c r="G37" s="318">
        <v>1</v>
      </c>
      <c r="H37" s="318">
        <v>1</v>
      </c>
      <c r="I37" s="318">
        <v>1</v>
      </c>
      <c r="J37" s="319">
        <v>1</v>
      </c>
      <c r="K37" s="319">
        <v>1</v>
      </c>
      <c r="L37" s="319">
        <v>1</v>
      </c>
      <c r="M37" s="319"/>
      <c r="N37" s="319"/>
    </row>
    <row r="38" ht="12.75" customHeight="1" spans="1:14">
      <c r="A38" s="314">
        <v>26</v>
      </c>
      <c r="B38" s="269">
        <f t="shared" si="0"/>
        <v>262710026</v>
      </c>
      <c r="C38" s="315" t="s">
        <v>2125</v>
      </c>
      <c r="D38" s="316" t="s">
        <v>2126</v>
      </c>
      <c r="E38" s="314" t="s">
        <v>23</v>
      </c>
      <c r="F38" s="317"/>
      <c r="G38" s="318">
        <v>1</v>
      </c>
      <c r="H38" s="318">
        <v>1</v>
      </c>
      <c r="I38" s="318">
        <v>1</v>
      </c>
      <c r="J38" s="319">
        <v>1</v>
      </c>
      <c r="K38" s="319">
        <v>1</v>
      </c>
      <c r="L38" s="319">
        <v>1</v>
      </c>
      <c r="M38" s="319"/>
      <c r="N38" s="319"/>
    </row>
    <row r="39" ht="12.75" customHeight="1" spans="1:14">
      <c r="A39" s="314">
        <v>27</v>
      </c>
      <c r="B39" s="266">
        <f t="shared" si="0"/>
        <v>262710027</v>
      </c>
      <c r="C39" s="315" t="s">
        <v>2127</v>
      </c>
      <c r="D39" s="316" t="s">
        <v>2128</v>
      </c>
      <c r="E39" s="314" t="s">
        <v>23</v>
      </c>
      <c r="F39" s="317"/>
      <c r="G39" s="318">
        <v>1</v>
      </c>
      <c r="H39" s="318">
        <v>1</v>
      </c>
      <c r="I39" s="318">
        <v>1</v>
      </c>
      <c r="J39" s="319">
        <v>1</v>
      </c>
      <c r="K39" s="319"/>
      <c r="L39" s="319">
        <v>1</v>
      </c>
      <c r="M39" s="319"/>
      <c r="N39" s="319"/>
    </row>
    <row r="40" ht="12.75" customHeight="1" spans="1:14">
      <c r="A40" s="314">
        <v>28</v>
      </c>
      <c r="B40" s="269">
        <f t="shared" si="0"/>
        <v>262710028</v>
      </c>
      <c r="C40" s="315" t="s">
        <v>2129</v>
      </c>
      <c r="D40" s="316" t="s">
        <v>2130</v>
      </c>
      <c r="E40" s="314" t="s">
        <v>23</v>
      </c>
      <c r="F40" s="317"/>
      <c r="G40" s="318">
        <v>1</v>
      </c>
      <c r="H40" s="318">
        <v>1</v>
      </c>
      <c r="I40" s="318">
        <v>1</v>
      </c>
      <c r="J40" s="319">
        <v>1</v>
      </c>
      <c r="K40" s="319">
        <v>1</v>
      </c>
      <c r="L40" s="319">
        <v>1</v>
      </c>
      <c r="M40" s="319"/>
      <c r="N40" s="319"/>
    </row>
    <row r="41" ht="12.75" customHeight="1" spans="1:14">
      <c r="A41" s="314">
        <v>29</v>
      </c>
      <c r="B41" s="269">
        <f t="shared" si="0"/>
        <v>262710029</v>
      </c>
      <c r="C41" s="315" t="s">
        <v>2131</v>
      </c>
      <c r="D41" s="316" t="s">
        <v>2132</v>
      </c>
      <c r="E41" s="314" t="s">
        <v>23</v>
      </c>
      <c r="F41" s="317"/>
      <c r="G41" s="318">
        <v>1</v>
      </c>
      <c r="H41" s="318">
        <v>1</v>
      </c>
      <c r="I41" s="318">
        <v>1</v>
      </c>
      <c r="J41" s="319"/>
      <c r="K41" s="319"/>
      <c r="L41" s="319"/>
      <c r="M41" s="319"/>
      <c r="N41" s="319"/>
    </row>
    <row r="42" ht="12.75" customHeight="1" spans="1:14">
      <c r="A42" s="314">
        <v>30</v>
      </c>
      <c r="B42" s="266">
        <f t="shared" si="0"/>
        <v>262710030</v>
      </c>
      <c r="C42" s="315" t="s">
        <v>2133</v>
      </c>
      <c r="D42" s="316" t="s">
        <v>2134</v>
      </c>
      <c r="E42" s="314" t="s">
        <v>18</v>
      </c>
      <c r="F42" s="317"/>
      <c r="G42" s="318">
        <v>1</v>
      </c>
      <c r="H42" s="318">
        <v>1</v>
      </c>
      <c r="I42" s="318">
        <v>1</v>
      </c>
      <c r="J42" s="319">
        <v>1</v>
      </c>
      <c r="K42" s="319">
        <v>1</v>
      </c>
      <c r="L42" s="319">
        <v>1</v>
      </c>
      <c r="M42" s="319"/>
      <c r="N42" s="319"/>
    </row>
    <row r="43" ht="12.75" customHeight="1" spans="1:14">
      <c r="A43" s="314">
        <v>31</v>
      </c>
      <c r="B43" s="269">
        <f t="shared" si="0"/>
        <v>262710031</v>
      </c>
      <c r="C43" s="315" t="s">
        <v>2135</v>
      </c>
      <c r="D43" s="316" t="s">
        <v>2136</v>
      </c>
      <c r="E43" s="314" t="s">
        <v>18</v>
      </c>
      <c r="F43" s="317"/>
      <c r="G43" s="318">
        <v>1</v>
      </c>
      <c r="H43" s="318">
        <v>1</v>
      </c>
      <c r="I43" s="318" t="s">
        <v>28</v>
      </c>
      <c r="J43" s="319">
        <v>1</v>
      </c>
      <c r="K43" s="319">
        <v>1</v>
      </c>
      <c r="L43" s="319"/>
      <c r="M43" s="319"/>
      <c r="N43" s="319"/>
    </row>
    <row r="44" ht="12.75" customHeight="1" spans="1:14">
      <c r="A44" s="314">
        <v>32</v>
      </c>
      <c r="B44" s="269">
        <f t="shared" si="0"/>
        <v>262710032</v>
      </c>
      <c r="C44" s="315" t="s">
        <v>2137</v>
      </c>
      <c r="D44" s="316" t="s">
        <v>2138</v>
      </c>
      <c r="E44" s="314" t="s">
        <v>18</v>
      </c>
      <c r="F44" s="317"/>
      <c r="G44" s="318">
        <v>1</v>
      </c>
      <c r="H44" s="318">
        <v>1</v>
      </c>
      <c r="I44" s="318">
        <v>1</v>
      </c>
      <c r="J44" s="319">
        <v>1</v>
      </c>
      <c r="K44" s="319">
        <v>1</v>
      </c>
      <c r="L44" s="319">
        <v>1</v>
      </c>
      <c r="M44" s="319"/>
      <c r="N44" s="319"/>
    </row>
    <row r="45" ht="12.75" customHeight="1" spans="1:14">
      <c r="A45" s="314">
        <v>33</v>
      </c>
      <c r="B45" s="266">
        <f t="shared" si="0"/>
        <v>262710033</v>
      </c>
      <c r="C45" s="320" t="s">
        <v>2139</v>
      </c>
      <c r="D45" s="316" t="s">
        <v>2140</v>
      </c>
      <c r="E45" s="314" t="s">
        <v>18</v>
      </c>
      <c r="F45" s="317"/>
      <c r="G45" s="318">
        <v>1</v>
      </c>
      <c r="H45" s="318">
        <v>1</v>
      </c>
      <c r="I45" s="318">
        <v>1</v>
      </c>
      <c r="J45" s="319">
        <v>1</v>
      </c>
      <c r="K45" s="319">
        <v>1</v>
      </c>
      <c r="L45" s="319">
        <v>1</v>
      </c>
      <c r="M45" s="319"/>
      <c r="N45" s="319"/>
    </row>
    <row r="46" ht="12.75" customHeight="1" spans="1:14">
      <c r="A46" s="314">
        <v>34</v>
      </c>
      <c r="B46" s="269">
        <f t="shared" si="0"/>
        <v>262710034</v>
      </c>
      <c r="C46" s="315" t="s">
        <v>2141</v>
      </c>
      <c r="D46" s="316" t="s">
        <v>2142</v>
      </c>
      <c r="E46" s="314" t="s">
        <v>23</v>
      </c>
      <c r="F46" s="317"/>
      <c r="G46" s="318">
        <v>1</v>
      </c>
      <c r="H46" s="318">
        <v>1</v>
      </c>
      <c r="I46" s="318">
        <v>1</v>
      </c>
      <c r="J46" s="319">
        <v>1</v>
      </c>
      <c r="K46" s="319">
        <v>1</v>
      </c>
      <c r="L46" s="319">
        <v>1</v>
      </c>
      <c r="M46" s="319"/>
      <c r="N46" s="319"/>
    </row>
    <row r="47" ht="12.75" customHeight="1" spans="1:14">
      <c r="A47" s="314">
        <v>35</v>
      </c>
      <c r="B47" s="269">
        <f t="shared" si="0"/>
        <v>262710035</v>
      </c>
      <c r="C47" s="315" t="s">
        <v>2143</v>
      </c>
      <c r="D47" s="316" t="s">
        <v>2144</v>
      </c>
      <c r="E47" s="314" t="s">
        <v>23</v>
      </c>
      <c r="F47" s="317"/>
      <c r="G47" s="318">
        <v>1</v>
      </c>
      <c r="H47" s="318">
        <v>1</v>
      </c>
      <c r="I47" s="318">
        <v>1</v>
      </c>
      <c r="J47" s="319">
        <v>1</v>
      </c>
      <c r="K47" s="319">
        <v>1</v>
      </c>
      <c r="L47" s="319">
        <v>1</v>
      </c>
      <c r="M47" s="319"/>
      <c r="N47" s="319"/>
    </row>
    <row r="48" ht="12.75" customHeight="1" spans="1:14">
      <c r="A48" s="314">
        <v>36</v>
      </c>
      <c r="B48" s="266">
        <f t="shared" si="0"/>
        <v>262710036</v>
      </c>
      <c r="C48" s="315" t="s">
        <v>2145</v>
      </c>
      <c r="D48" s="316" t="s">
        <v>2146</v>
      </c>
      <c r="E48" s="314" t="s">
        <v>23</v>
      </c>
      <c r="F48" s="317"/>
      <c r="G48" s="318">
        <v>1</v>
      </c>
      <c r="H48" s="318">
        <v>1</v>
      </c>
      <c r="I48" s="318">
        <v>1</v>
      </c>
      <c r="J48" s="319">
        <v>1</v>
      </c>
      <c r="K48" s="319">
        <v>1</v>
      </c>
      <c r="L48" s="319">
        <v>1</v>
      </c>
      <c r="M48" s="319"/>
      <c r="N48" s="319"/>
    </row>
    <row r="49" ht="12.75" customHeight="1" spans="1:14">
      <c r="A49" s="314">
        <v>37</v>
      </c>
      <c r="B49" s="269">
        <f t="shared" si="0"/>
        <v>262710037</v>
      </c>
      <c r="C49" s="315" t="s">
        <v>2147</v>
      </c>
      <c r="D49" s="316" t="s">
        <v>2148</v>
      </c>
      <c r="E49" s="325" t="s">
        <v>18</v>
      </c>
      <c r="F49" s="326"/>
      <c r="G49" s="327">
        <v>1</v>
      </c>
      <c r="H49" s="327">
        <v>1</v>
      </c>
      <c r="I49" s="327">
        <v>1</v>
      </c>
      <c r="J49" s="319">
        <v>1</v>
      </c>
      <c r="K49" s="319">
        <v>1</v>
      </c>
      <c r="L49" s="319">
        <v>1</v>
      </c>
      <c r="M49" s="319"/>
      <c r="N49" s="319"/>
    </row>
    <row r="50" ht="12.75" customHeight="1" spans="1:14">
      <c r="A50" s="314">
        <v>38</v>
      </c>
      <c r="B50" s="269">
        <f t="shared" si="0"/>
        <v>262710038</v>
      </c>
      <c r="C50" s="315" t="s">
        <v>2149</v>
      </c>
      <c r="D50" s="316" t="s">
        <v>2150</v>
      </c>
      <c r="E50" s="314" t="s">
        <v>23</v>
      </c>
      <c r="F50" s="318"/>
      <c r="G50" s="318">
        <v>1</v>
      </c>
      <c r="H50" s="318" t="s">
        <v>28</v>
      </c>
      <c r="I50" s="318">
        <v>1</v>
      </c>
      <c r="J50" s="319">
        <v>1</v>
      </c>
      <c r="K50" s="319">
        <v>1</v>
      </c>
      <c r="L50" s="319">
        <v>1</v>
      </c>
      <c r="M50" s="319"/>
      <c r="N50" s="319"/>
    </row>
    <row r="51" ht="12.75" customHeight="1" spans="1:14">
      <c r="A51" s="314">
        <v>39</v>
      </c>
      <c r="B51" s="266">
        <f t="shared" si="0"/>
        <v>262710039</v>
      </c>
      <c r="C51" s="315" t="s">
        <v>2151</v>
      </c>
      <c r="D51" s="316" t="s">
        <v>2152</v>
      </c>
      <c r="E51" s="314" t="s">
        <v>18</v>
      </c>
      <c r="F51" s="318"/>
      <c r="G51" s="318">
        <v>1</v>
      </c>
      <c r="H51" s="318">
        <v>1</v>
      </c>
      <c r="I51" s="318">
        <v>1</v>
      </c>
      <c r="J51" s="319">
        <v>1</v>
      </c>
      <c r="K51" s="319">
        <v>1</v>
      </c>
      <c r="L51" s="319">
        <v>1</v>
      </c>
      <c r="M51" s="319"/>
      <c r="N51" s="319"/>
    </row>
    <row r="52" ht="12.75" customHeight="1" spans="1:14">
      <c r="A52" s="314">
        <v>40</v>
      </c>
      <c r="B52" s="269">
        <f t="shared" si="0"/>
        <v>262710040</v>
      </c>
      <c r="C52" s="315" t="s">
        <v>2153</v>
      </c>
      <c r="D52" s="316" t="s">
        <v>2154</v>
      </c>
      <c r="E52" s="314" t="s">
        <v>18</v>
      </c>
      <c r="F52" s="318" t="s">
        <v>2084</v>
      </c>
      <c r="G52" s="318">
        <v>1</v>
      </c>
      <c r="H52" s="318">
        <v>1</v>
      </c>
      <c r="I52" s="318">
        <v>1</v>
      </c>
      <c r="J52" s="319">
        <v>1</v>
      </c>
      <c r="K52" s="319">
        <v>1</v>
      </c>
      <c r="L52" s="319"/>
      <c r="M52" s="319"/>
      <c r="N52" s="319"/>
    </row>
    <row r="53" ht="12.75" customHeight="1" spans="1:14">
      <c r="A53" s="314">
        <v>41</v>
      </c>
      <c r="B53" s="269">
        <f t="shared" si="0"/>
        <v>262710041</v>
      </c>
      <c r="C53" s="315" t="s">
        <v>2155</v>
      </c>
      <c r="D53" s="316" t="s">
        <v>2156</v>
      </c>
      <c r="E53" s="314" t="s">
        <v>18</v>
      </c>
      <c r="F53" s="318"/>
      <c r="G53" s="318">
        <v>1</v>
      </c>
      <c r="H53" s="318">
        <v>1</v>
      </c>
      <c r="I53" s="318">
        <v>1</v>
      </c>
      <c r="J53" s="319">
        <v>1</v>
      </c>
      <c r="K53" s="319">
        <v>1</v>
      </c>
      <c r="L53" s="319">
        <v>1</v>
      </c>
      <c r="M53" s="319"/>
      <c r="N53" s="319"/>
    </row>
    <row r="54" ht="12.75" customHeight="1" spans="1:14">
      <c r="A54" s="314">
        <v>42</v>
      </c>
      <c r="B54" s="266">
        <f t="shared" si="0"/>
        <v>262710042</v>
      </c>
      <c r="C54" s="315" t="s">
        <v>2157</v>
      </c>
      <c r="D54" s="316" t="s">
        <v>2158</v>
      </c>
      <c r="E54" s="314" t="s">
        <v>18</v>
      </c>
      <c r="F54" s="318"/>
      <c r="G54" s="318">
        <v>1</v>
      </c>
      <c r="H54" s="318">
        <v>1</v>
      </c>
      <c r="I54" s="318" t="s">
        <v>28</v>
      </c>
      <c r="J54" s="319">
        <v>1</v>
      </c>
      <c r="K54" s="319">
        <v>1</v>
      </c>
      <c r="L54" s="319"/>
      <c r="M54" s="319"/>
      <c r="N54" s="319"/>
    </row>
    <row r="55" ht="12.75" customHeight="1" spans="1:14">
      <c r="A55" s="314">
        <v>43</v>
      </c>
      <c r="B55" s="269">
        <f t="shared" si="0"/>
        <v>262710043</v>
      </c>
      <c r="C55" s="315" t="s">
        <v>2159</v>
      </c>
      <c r="D55" s="316" t="s">
        <v>2160</v>
      </c>
      <c r="E55" s="314" t="s">
        <v>18</v>
      </c>
      <c r="F55" s="318"/>
      <c r="G55" s="318">
        <v>1</v>
      </c>
      <c r="H55" s="318">
        <v>1</v>
      </c>
      <c r="I55" s="318">
        <v>1</v>
      </c>
      <c r="J55" s="319">
        <v>1</v>
      </c>
      <c r="K55" s="319">
        <v>1</v>
      </c>
      <c r="L55" s="319">
        <v>1</v>
      </c>
      <c r="M55" s="319"/>
      <c r="N55" s="319"/>
    </row>
    <row r="56" ht="12.75" customHeight="1" spans="1:14">
      <c r="A56" s="325">
        <v>44</v>
      </c>
      <c r="B56" s="269">
        <f t="shared" si="0"/>
        <v>262710044</v>
      </c>
      <c r="C56" s="328" t="s">
        <v>2161</v>
      </c>
      <c r="D56" s="316" t="s">
        <v>2162</v>
      </c>
      <c r="E56" s="325" t="s">
        <v>18</v>
      </c>
      <c r="F56" s="327"/>
      <c r="G56" s="327">
        <v>1</v>
      </c>
      <c r="H56" s="327">
        <v>1</v>
      </c>
      <c r="I56" s="327">
        <v>1</v>
      </c>
      <c r="J56" s="319">
        <v>1</v>
      </c>
      <c r="K56" s="319">
        <v>1</v>
      </c>
      <c r="L56" s="319">
        <v>1</v>
      </c>
      <c r="M56" s="319"/>
      <c r="N56" s="319"/>
    </row>
    <row r="57" s="289" customFormat="1" ht="12.75" customHeight="1" spans="1:14">
      <c r="A57" s="325">
        <v>45</v>
      </c>
      <c r="B57" s="266">
        <f t="shared" si="0"/>
        <v>262710045</v>
      </c>
      <c r="C57" s="329" t="s">
        <v>2163</v>
      </c>
      <c r="D57" s="316" t="s">
        <v>2164</v>
      </c>
      <c r="E57" s="330" t="s">
        <v>18</v>
      </c>
      <c r="F57" s="331"/>
      <c r="G57" s="331" t="s">
        <v>28</v>
      </c>
      <c r="H57" s="331">
        <v>1</v>
      </c>
      <c r="I57" s="331">
        <v>1</v>
      </c>
      <c r="J57" s="332">
        <v>1</v>
      </c>
      <c r="K57" s="332">
        <v>1</v>
      </c>
      <c r="L57" s="332">
        <v>1</v>
      </c>
      <c r="M57" s="332"/>
      <c r="N57" s="332"/>
    </row>
    <row r="58" s="289" customFormat="1" ht="12.75" customHeight="1" spans="1:14">
      <c r="A58" s="314">
        <v>46</v>
      </c>
      <c r="B58" s="269">
        <f t="shared" si="0"/>
        <v>262710046</v>
      </c>
      <c r="C58" s="329" t="s">
        <v>2165</v>
      </c>
      <c r="D58" s="316" t="s">
        <v>2166</v>
      </c>
      <c r="E58" s="330" t="s">
        <v>23</v>
      </c>
      <c r="F58" s="331"/>
      <c r="G58" s="331" t="s">
        <v>2167</v>
      </c>
      <c r="H58" s="331">
        <v>1</v>
      </c>
      <c r="I58" s="331">
        <v>1</v>
      </c>
      <c r="J58" s="332">
        <v>1</v>
      </c>
      <c r="K58" s="332">
        <v>1</v>
      </c>
      <c r="L58" s="332">
        <v>1</v>
      </c>
      <c r="M58" s="332"/>
      <c r="N58" s="332"/>
    </row>
    <row r="59" s="289" customFormat="1" ht="12.75" customHeight="1" spans="1:14">
      <c r="B59" s="333"/>
      <c r="C59" s="334"/>
      <c r="D59" s="335" t="s">
        <v>89</v>
      </c>
      <c r="E59" s="336">
        <f>COUNTIF(E13:E58,"L")</f>
        <v>22</v>
      </c>
    </row>
    <row r="60" s="289" customFormat="1" ht="12.75" customHeight="1" spans="1:14">
      <c r="B60" s="333"/>
      <c r="C60" s="334"/>
      <c r="D60" s="335" t="s">
        <v>90</v>
      </c>
      <c r="E60" s="336">
        <f>COUNTIF(E13:E58,"P")</f>
        <v>24</v>
      </c>
    </row>
    <row r="61" s="289" customFormat="1" ht="12.75" customHeight="1" spans="1:14">
      <c r="B61" s="337"/>
      <c r="C61" s="334"/>
      <c r="D61" s="335"/>
      <c r="E61" s="336"/>
    </row>
    <row r="62" s="289" customFormat="1" ht="12.75" customHeight="1" spans="1:14">
      <c r="B62" s="334" t="s">
        <v>91</v>
      </c>
      <c r="C62" s="334"/>
      <c r="D62" s="304"/>
      <c r="E62" s="336"/>
      <c r="F62" s="289" t="s">
        <v>92</v>
      </c>
    </row>
    <row r="63" s="289" customFormat="1" ht="12.75" customHeight="1" spans="1:14">
      <c r="B63" s="334"/>
      <c r="C63" s="334"/>
      <c r="D63" s="304"/>
      <c r="E63" s="336"/>
    </row>
    <row r="64" s="289" customFormat="1" ht="12.75" customHeight="1" spans="1:14">
      <c r="B64" s="334"/>
      <c r="C64" s="334"/>
      <c r="D64" s="304"/>
      <c r="E64" s="336"/>
    </row>
    <row r="65" s="289" customFormat="1" ht="12.75" customHeight="1" spans="1:16">
      <c r="B65" s="334"/>
      <c r="C65" s="334"/>
      <c r="D65" s="304"/>
      <c r="E65" s="336"/>
    </row>
    <row r="66" s="289" customFormat="1" ht="12.75" customHeight="1" spans="1:16">
      <c r="B66" s="338" t="s">
        <v>93</v>
      </c>
      <c r="C66" s="334"/>
      <c r="D66" s="304"/>
      <c r="E66" s="336"/>
      <c r="F66" s="289" t="s">
        <v>94</v>
      </c>
    </row>
    <row r="67" s="289" customFormat="1" ht="12.75" customHeight="1" spans="1:16">
      <c r="B67" s="339" t="s">
        <v>95</v>
      </c>
      <c r="C67" s="334"/>
      <c r="D67" s="304"/>
      <c r="E67" s="336"/>
    </row>
    <row r="68" ht="12.75" customHeight="1" spans="1:16">
      <c r="A68" s="297" t="s">
        <v>1</v>
      </c>
      <c r="B68" s="297"/>
      <c r="C68" s="297"/>
      <c r="D68" s="297"/>
      <c r="E68" s="297"/>
      <c r="F68" s="297"/>
      <c r="G68" s="297"/>
      <c r="H68" s="297"/>
      <c r="I68" s="297"/>
    </row>
    <row r="69" ht="12.75" customHeight="1" spans="1:16">
      <c r="A69" s="297" t="s">
        <v>2</v>
      </c>
      <c r="B69" s="297"/>
      <c r="C69" s="297"/>
      <c r="D69" s="297"/>
      <c r="E69" s="297"/>
      <c r="F69" s="297"/>
      <c r="G69" s="297"/>
      <c r="H69" s="297"/>
      <c r="I69" s="297"/>
    </row>
    <row r="70" ht="12.75" customHeight="1" spans="1:16">
      <c r="A70" s="297" t="s">
        <v>3</v>
      </c>
      <c r="B70" s="297"/>
      <c r="C70" s="297"/>
      <c r="D70" s="297"/>
      <c r="E70" s="297"/>
      <c r="F70" s="297"/>
      <c r="G70" s="297"/>
      <c r="H70" s="297"/>
      <c r="I70" s="297"/>
    </row>
    <row r="71" ht="16.5" customHeight="1" spans="1:16">
      <c r="A71" s="298" t="s">
        <v>4</v>
      </c>
      <c r="B71" s="298"/>
      <c r="C71" s="298"/>
      <c r="D71" s="298"/>
      <c r="E71" s="298"/>
      <c r="F71" s="298"/>
      <c r="G71" s="298"/>
      <c r="H71" s="298"/>
      <c r="I71" s="298"/>
    </row>
    <row r="72" ht="12.75" customHeight="1" spans="1:16">
      <c r="A72" s="299" t="s">
        <v>5</v>
      </c>
      <c r="B72" s="299"/>
      <c r="C72" s="299"/>
      <c r="D72" s="299"/>
      <c r="E72" s="299"/>
      <c r="F72" s="299"/>
      <c r="G72" s="299"/>
      <c r="H72" s="299"/>
      <c r="I72" s="299"/>
    </row>
    <row r="73" customHeight="1" spans="1:16">
      <c r="A73" s="299"/>
      <c r="B73" s="299"/>
      <c r="C73" s="299"/>
      <c r="D73" s="299"/>
      <c r="E73" s="299"/>
      <c r="F73" s="299"/>
      <c r="G73" s="299"/>
      <c r="H73" s="299"/>
      <c r="I73" s="299"/>
    </row>
    <row r="74" ht="12.75" customHeight="1" spans="1:16">
      <c r="A74" s="299"/>
      <c r="B74" s="299"/>
      <c r="C74" s="299"/>
      <c r="D74" s="299"/>
      <c r="E74" s="299"/>
      <c r="F74" s="299"/>
      <c r="G74" s="299"/>
      <c r="H74" s="299"/>
      <c r="I74" s="299"/>
    </row>
    <row r="75" s="289" customFormat="1" ht="12.75" customHeight="1" spans="1:16">
      <c r="A75" s="300" t="s">
        <v>6</v>
      </c>
      <c r="B75" s="300"/>
      <c r="C75" s="300"/>
      <c r="D75" s="300"/>
      <c r="E75" s="300"/>
      <c r="F75" s="300"/>
      <c r="G75" s="300"/>
      <c r="H75" s="300"/>
      <c r="I75" s="300"/>
    </row>
    <row r="76" s="289" customFormat="1" ht="12.75" customHeight="1" spans="1:16">
      <c r="A76" s="300"/>
      <c r="B76" s="300"/>
      <c r="C76" s="300"/>
      <c r="D76" s="300"/>
      <c r="E76" s="300"/>
      <c r="F76" s="300"/>
      <c r="G76" s="300"/>
      <c r="H76" s="300"/>
      <c r="I76" s="300"/>
    </row>
    <row r="77" s="289" customFormat="1" ht="12.75" customHeight="1" spans="1:16">
      <c r="A77" s="301"/>
      <c r="B77" s="302" t="s">
        <v>2168</v>
      </c>
      <c r="C77" s="303"/>
      <c r="D77" s="304"/>
      <c r="E77" s="305" t="s">
        <v>8</v>
      </c>
      <c r="F77" s="306" t="s">
        <v>2169</v>
      </c>
    </row>
    <row r="78" s="289" customFormat="1" ht="19.5" customHeight="1" spans="1:16">
      <c r="A78" s="307" t="s">
        <v>10</v>
      </c>
      <c r="B78" s="308" t="s">
        <v>11</v>
      </c>
      <c r="C78" s="308" t="s">
        <v>12</v>
      </c>
      <c r="D78" s="308" t="s">
        <v>13</v>
      </c>
      <c r="E78" s="309" t="s">
        <v>14</v>
      </c>
      <c r="F78" s="310"/>
      <c r="G78" s="310" t="s">
        <v>2170</v>
      </c>
      <c r="H78" s="310" t="s">
        <v>2171</v>
      </c>
      <c r="I78" s="310"/>
      <c r="J78" s="340">
        <v>46276</v>
      </c>
      <c r="K78" s="340">
        <v>46283</v>
      </c>
      <c r="L78" s="313" t="s">
        <v>2068</v>
      </c>
      <c r="M78" s="313" t="s">
        <v>2069</v>
      </c>
      <c r="N78" s="313" t="s">
        <v>2070</v>
      </c>
      <c r="O78" s="313" t="s">
        <v>2071</v>
      </c>
      <c r="P78" s="313" t="s">
        <v>2072</v>
      </c>
    </row>
    <row r="79" ht="12.75" customHeight="1" spans="1:16">
      <c r="A79" s="314">
        <v>1</v>
      </c>
      <c r="B79" s="276">
        <v>262710047</v>
      </c>
      <c r="C79" s="315" t="s">
        <v>2172</v>
      </c>
      <c r="D79" s="275" t="s">
        <v>2173</v>
      </c>
      <c r="E79" s="341" t="s">
        <v>18</v>
      </c>
      <c r="F79" s="317" t="s">
        <v>2081</v>
      </c>
      <c r="G79" s="318">
        <v>1</v>
      </c>
      <c r="H79" s="318">
        <v>1</v>
      </c>
      <c r="I79" s="318">
        <v>1</v>
      </c>
      <c r="J79" s="296">
        <v>1</v>
      </c>
      <c r="K79" s="296">
        <v>1</v>
      </c>
      <c r="L79" s="319">
        <v>1</v>
      </c>
      <c r="M79" s="319">
        <v>1</v>
      </c>
      <c r="N79" s="319">
        <v>1</v>
      </c>
      <c r="O79" s="319"/>
      <c r="P79" s="319"/>
    </row>
    <row r="80" s="291" customFormat="1" ht="12.75" customHeight="1" spans="1:16">
      <c r="A80" s="314">
        <v>2</v>
      </c>
      <c r="B80" s="278">
        <f t="shared" ref="B80:B124" si="1">B79+1</f>
        <v>262710048</v>
      </c>
      <c r="C80" s="321" t="s">
        <v>2174</v>
      </c>
      <c r="D80" s="277" t="s">
        <v>2175</v>
      </c>
      <c r="E80" s="341" t="s">
        <v>23</v>
      </c>
      <c r="F80" s="317"/>
      <c r="G80" s="318">
        <v>1</v>
      </c>
      <c r="H80" s="318"/>
      <c r="I80" s="318">
        <v>1</v>
      </c>
      <c r="J80" s="291">
        <v>1</v>
      </c>
      <c r="K80" s="291">
        <v>1</v>
      </c>
      <c r="L80" s="342">
        <v>1</v>
      </c>
      <c r="M80" s="342">
        <v>1</v>
      </c>
      <c r="N80" s="342"/>
      <c r="O80" s="342"/>
      <c r="P80" s="342"/>
    </row>
    <row r="81" ht="12.75" customHeight="1" spans="1:16">
      <c r="A81" s="314">
        <v>3</v>
      </c>
      <c r="B81" s="276">
        <f t="shared" si="1"/>
        <v>262710049</v>
      </c>
      <c r="C81" s="321" t="s">
        <v>2176</v>
      </c>
      <c r="D81" s="275" t="s">
        <v>2177</v>
      </c>
      <c r="E81" s="341" t="s">
        <v>23</v>
      </c>
      <c r="F81" s="317" t="s">
        <v>2084</v>
      </c>
      <c r="G81" s="318">
        <v>1</v>
      </c>
      <c r="H81" s="318">
        <v>1</v>
      </c>
      <c r="I81" s="318">
        <v>1</v>
      </c>
      <c r="J81" s="296">
        <v>1</v>
      </c>
      <c r="K81" s="296">
        <v>1</v>
      </c>
      <c r="L81" s="319">
        <v>1</v>
      </c>
      <c r="M81" s="319">
        <v>1</v>
      </c>
      <c r="N81" s="319">
        <v>1</v>
      </c>
      <c r="O81" s="319"/>
      <c r="P81" s="319"/>
    </row>
    <row r="82" ht="12.75" customHeight="1" spans="1:16">
      <c r="A82" s="314">
        <v>4</v>
      </c>
      <c r="B82" s="278">
        <f t="shared" si="1"/>
        <v>262710050</v>
      </c>
      <c r="C82" s="321" t="s">
        <v>2178</v>
      </c>
      <c r="D82" s="277" t="s">
        <v>2179</v>
      </c>
      <c r="E82" s="341" t="s">
        <v>18</v>
      </c>
      <c r="F82" s="317"/>
      <c r="G82" s="318">
        <v>1</v>
      </c>
      <c r="H82" s="318">
        <v>1</v>
      </c>
      <c r="I82" s="318">
        <v>1</v>
      </c>
      <c r="J82" s="296">
        <v>1</v>
      </c>
      <c r="K82" s="296">
        <v>1</v>
      </c>
      <c r="L82" s="319">
        <v>1</v>
      </c>
      <c r="M82" s="319">
        <v>1</v>
      </c>
      <c r="N82" s="319">
        <v>1</v>
      </c>
      <c r="O82" s="319"/>
      <c r="P82" s="319"/>
    </row>
    <row r="83" ht="12.75" customHeight="1" spans="1:16">
      <c r="A83" s="314">
        <v>5</v>
      </c>
      <c r="B83" s="278">
        <f t="shared" si="1"/>
        <v>262710051</v>
      </c>
      <c r="C83" s="320" t="s">
        <v>2180</v>
      </c>
      <c r="D83" s="279" t="s">
        <v>2181</v>
      </c>
      <c r="E83" s="341" t="s">
        <v>23</v>
      </c>
      <c r="F83" s="317" t="s">
        <v>28</v>
      </c>
      <c r="G83" s="318" t="s">
        <v>2182</v>
      </c>
      <c r="H83" s="318"/>
      <c r="I83" s="318" t="s">
        <v>2182</v>
      </c>
      <c r="J83" s="296" t="s">
        <v>2182</v>
      </c>
      <c r="K83" s="296">
        <v>1</v>
      </c>
      <c r="L83" s="319"/>
      <c r="M83" s="319"/>
      <c r="N83" s="319"/>
      <c r="O83" s="319"/>
      <c r="P83" s="319"/>
    </row>
    <row r="84" ht="12.75" customHeight="1" spans="1:16">
      <c r="A84" s="314">
        <v>6</v>
      </c>
      <c r="B84" s="276">
        <f t="shared" si="1"/>
        <v>262710052</v>
      </c>
      <c r="C84" s="315" t="s">
        <v>2183</v>
      </c>
      <c r="D84" s="277" t="s">
        <v>2184</v>
      </c>
      <c r="E84" s="341" t="s">
        <v>18</v>
      </c>
      <c r="F84" s="317"/>
      <c r="G84" s="318">
        <v>1</v>
      </c>
      <c r="H84" s="318"/>
      <c r="I84" s="318">
        <v>1</v>
      </c>
      <c r="J84" s="296">
        <v>1</v>
      </c>
      <c r="K84" s="296">
        <v>1</v>
      </c>
      <c r="L84" s="319">
        <v>1</v>
      </c>
      <c r="M84" s="319">
        <v>1</v>
      </c>
      <c r="N84" s="319">
        <v>1</v>
      </c>
      <c r="O84" s="319"/>
      <c r="P84" s="319"/>
    </row>
    <row r="85" ht="12.75" customHeight="1" spans="1:16">
      <c r="A85" s="314">
        <v>7</v>
      </c>
      <c r="B85" s="278">
        <f t="shared" si="1"/>
        <v>262710053</v>
      </c>
      <c r="C85" s="315" t="s">
        <v>2185</v>
      </c>
      <c r="D85" s="275" t="s">
        <v>2186</v>
      </c>
      <c r="E85" s="341" t="s">
        <v>18</v>
      </c>
      <c r="F85" s="317"/>
      <c r="G85" s="318">
        <v>1</v>
      </c>
      <c r="H85" s="318">
        <v>1</v>
      </c>
      <c r="I85" s="318">
        <v>1</v>
      </c>
      <c r="J85" s="296">
        <v>1</v>
      </c>
      <c r="K85" s="296" t="s">
        <v>28</v>
      </c>
      <c r="L85" s="319"/>
      <c r="M85" s="319"/>
      <c r="N85" s="319">
        <v>1</v>
      </c>
      <c r="O85" s="319"/>
      <c r="P85" s="319"/>
    </row>
    <row r="86" ht="12.75" customHeight="1" spans="1:16">
      <c r="A86" s="314">
        <v>8</v>
      </c>
      <c r="B86" s="278">
        <f t="shared" si="1"/>
        <v>262710054</v>
      </c>
      <c r="C86" s="315" t="s">
        <v>2187</v>
      </c>
      <c r="D86" s="277" t="s">
        <v>2188</v>
      </c>
      <c r="E86" s="341" t="s">
        <v>23</v>
      </c>
      <c r="F86" s="317"/>
      <c r="G86" s="318">
        <v>1</v>
      </c>
      <c r="H86" s="318">
        <v>1</v>
      </c>
      <c r="I86" s="318">
        <v>1</v>
      </c>
      <c r="J86" s="296">
        <v>1</v>
      </c>
      <c r="K86" s="296">
        <v>1</v>
      </c>
      <c r="L86" s="319">
        <v>1</v>
      </c>
      <c r="M86" s="319">
        <v>1</v>
      </c>
      <c r="N86" s="319">
        <v>1</v>
      </c>
      <c r="O86" s="319"/>
      <c r="P86" s="319"/>
    </row>
    <row r="87" ht="12.75" customHeight="1" spans="1:16">
      <c r="A87" s="314">
        <v>9</v>
      </c>
      <c r="B87" s="276">
        <f t="shared" si="1"/>
        <v>262710055</v>
      </c>
      <c r="C87" s="315" t="s">
        <v>2189</v>
      </c>
      <c r="D87" s="275" t="s">
        <v>2190</v>
      </c>
      <c r="E87" s="341" t="s">
        <v>23</v>
      </c>
      <c r="F87" s="317">
        <v>1</v>
      </c>
      <c r="G87" s="318" t="s">
        <v>2191</v>
      </c>
      <c r="H87" s="318" t="s">
        <v>28</v>
      </c>
      <c r="I87" s="318" t="s">
        <v>28</v>
      </c>
      <c r="J87" s="296">
        <v>1</v>
      </c>
      <c r="K87" s="296">
        <v>1</v>
      </c>
      <c r="L87" s="319">
        <v>1</v>
      </c>
      <c r="M87" s="319">
        <v>1</v>
      </c>
      <c r="N87" s="319">
        <v>1</v>
      </c>
      <c r="O87" s="319"/>
      <c r="P87" s="319"/>
    </row>
    <row r="88" ht="12.75" customHeight="1" spans="1:16">
      <c r="A88" s="314">
        <v>10</v>
      </c>
      <c r="B88" s="278">
        <f t="shared" si="1"/>
        <v>262710056</v>
      </c>
      <c r="C88" s="315" t="s">
        <v>2192</v>
      </c>
      <c r="D88" s="277" t="s">
        <v>2193</v>
      </c>
      <c r="E88" s="341" t="s">
        <v>23</v>
      </c>
      <c r="F88" s="317"/>
      <c r="G88" s="318" t="s">
        <v>28</v>
      </c>
      <c r="H88" s="318" t="s">
        <v>2194</v>
      </c>
      <c r="I88" s="318">
        <v>1</v>
      </c>
      <c r="J88" s="296">
        <v>1</v>
      </c>
      <c r="K88" s="296">
        <v>1</v>
      </c>
      <c r="L88" s="319"/>
      <c r="M88" s="319"/>
      <c r="N88" s="319"/>
      <c r="O88" s="319"/>
      <c r="P88" s="319"/>
    </row>
    <row r="89" ht="12.75" customHeight="1" spans="1:16">
      <c r="A89" s="314">
        <v>11</v>
      </c>
      <c r="B89" s="278">
        <f t="shared" si="1"/>
        <v>262710057</v>
      </c>
      <c r="C89" s="315" t="s">
        <v>2195</v>
      </c>
      <c r="D89" s="275" t="s">
        <v>2196</v>
      </c>
      <c r="E89" s="341" t="s">
        <v>18</v>
      </c>
      <c r="F89" s="317"/>
      <c r="G89" s="318">
        <v>1</v>
      </c>
      <c r="H89" s="318">
        <v>1</v>
      </c>
      <c r="I89" s="318">
        <v>1</v>
      </c>
      <c r="J89" s="296">
        <v>1</v>
      </c>
      <c r="K89" s="296">
        <v>1</v>
      </c>
      <c r="L89" s="319">
        <v>1</v>
      </c>
      <c r="M89" s="319">
        <v>1</v>
      </c>
      <c r="N89" s="319">
        <v>1</v>
      </c>
      <c r="O89" s="319"/>
      <c r="P89" s="319"/>
    </row>
    <row r="90" ht="12.75" customHeight="1" spans="1:16">
      <c r="A90" s="314">
        <v>12</v>
      </c>
      <c r="B90" s="276">
        <f t="shared" si="1"/>
        <v>262710058</v>
      </c>
      <c r="C90" s="315" t="s">
        <v>2197</v>
      </c>
      <c r="D90" s="277" t="s">
        <v>2198</v>
      </c>
      <c r="E90" s="341" t="s">
        <v>18</v>
      </c>
      <c r="F90" s="317"/>
      <c r="G90" s="318">
        <v>1</v>
      </c>
      <c r="H90" s="318">
        <v>1</v>
      </c>
      <c r="I90" s="318">
        <v>1</v>
      </c>
      <c r="J90" s="296">
        <v>1</v>
      </c>
      <c r="K90" s="296">
        <v>1</v>
      </c>
      <c r="L90" s="319">
        <v>1</v>
      </c>
      <c r="M90" s="319">
        <v>1</v>
      </c>
      <c r="N90" s="319">
        <v>1</v>
      </c>
      <c r="O90" s="319"/>
      <c r="P90" s="319"/>
    </row>
    <row r="91" ht="12.75" customHeight="1" spans="1:16">
      <c r="A91" s="314">
        <v>13</v>
      </c>
      <c r="B91" s="278">
        <f t="shared" si="1"/>
        <v>262710059</v>
      </c>
      <c r="C91" s="315" t="s">
        <v>2199</v>
      </c>
      <c r="D91" s="275" t="s">
        <v>2200</v>
      </c>
      <c r="E91" s="341" t="s">
        <v>18</v>
      </c>
      <c r="F91" s="317"/>
      <c r="G91" s="318">
        <v>1</v>
      </c>
      <c r="H91" s="318">
        <v>1</v>
      </c>
      <c r="I91" s="318">
        <v>1</v>
      </c>
      <c r="J91" s="296">
        <v>1</v>
      </c>
      <c r="K91" s="296">
        <v>1</v>
      </c>
      <c r="L91" s="319">
        <v>1</v>
      </c>
      <c r="M91" s="319">
        <v>1</v>
      </c>
      <c r="N91" s="319"/>
      <c r="O91" s="319"/>
      <c r="P91" s="319"/>
    </row>
    <row r="92" ht="12.75" customHeight="1" spans="1:16">
      <c r="A92" s="314">
        <v>14</v>
      </c>
      <c r="B92" s="278">
        <f t="shared" si="1"/>
        <v>262710060</v>
      </c>
      <c r="C92" s="315" t="s">
        <v>2201</v>
      </c>
      <c r="D92" s="277" t="s">
        <v>2202</v>
      </c>
      <c r="E92" s="341" t="s">
        <v>23</v>
      </c>
      <c r="F92" s="317" t="s">
        <v>28</v>
      </c>
      <c r="G92" s="318" t="s">
        <v>2191</v>
      </c>
      <c r="H92" s="318">
        <v>1</v>
      </c>
      <c r="I92" s="318">
        <v>1</v>
      </c>
      <c r="J92" s="296" t="s">
        <v>1044</v>
      </c>
      <c r="K92" s="296">
        <v>1</v>
      </c>
      <c r="L92" s="319">
        <v>1</v>
      </c>
      <c r="M92" s="319">
        <v>1</v>
      </c>
      <c r="N92" s="319">
        <v>1</v>
      </c>
      <c r="O92" s="319"/>
      <c r="P92" s="319"/>
    </row>
    <row r="93" ht="12.75" customHeight="1" spans="1:16">
      <c r="A93" s="314">
        <v>15</v>
      </c>
      <c r="B93" s="276">
        <f t="shared" si="1"/>
        <v>262710061</v>
      </c>
      <c r="C93" s="315" t="s">
        <v>2203</v>
      </c>
      <c r="D93" s="275" t="s">
        <v>2204</v>
      </c>
      <c r="E93" s="341" t="s">
        <v>18</v>
      </c>
      <c r="F93" s="317" t="s">
        <v>2205</v>
      </c>
      <c r="G93" s="318" t="s">
        <v>37</v>
      </c>
      <c r="H93" s="318" t="s">
        <v>1044</v>
      </c>
      <c r="I93" s="318">
        <v>1</v>
      </c>
      <c r="J93" s="296" t="s">
        <v>28</v>
      </c>
      <c r="K93" s="296">
        <v>1</v>
      </c>
      <c r="L93" s="319">
        <v>1</v>
      </c>
      <c r="M93" s="319">
        <v>1</v>
      </c>
      <c r="N93" s="319"/>
      <c r="O93" s="319"/>
      <c r="P93" s="319"/>
    </row>
    <row r="94" ht="12.75" customHeight="1" spans="1:16">
      <c r="A94" s="314">
        <v>16</v>
      </c>
      <c r="B94" s="278">
        <f t="shared" si="1"/>
        <v>262710062</v>
      </c>
      <c r="C94" s="321" t="s">
        <v>2206</v>
      </c>
      <c r="D94" s="277" t="s">
        <v>2207</v>
      </c>
      <c r="E94" s="341" t="s">
        <v>18</v>
      </c>
      <c r="F94" s="317"/>
      <c r="G94" s="318">
        <v>1</v>
      </c>
      <c r="H94" s="318">
        <v>1</v>
      </c>
      <c r="I94" s="318">
        <v>1</v>
      </c>
      <c r="J94" s="296">
        <v>1</v>
      </c>
      <c r="K94" s="296">
        <v>1</v>
      </c>
      <c r="L94" s="319">
        <v>1</v>
      </c>
      <c r="M94" s="319">
        <v>1</v>
      </c>
      <c r="N94" s="319"/>
      <c r="O94" s="319"/>
      <c r="P94" s="319"/>
    </row>
    <row r="95" ht="12.75" customHeight="1" spans="1:16">
      <c r="A95" s="314">
        <v>17</v>
      </c>
      <c r="B95" s="278">
        <f t="shared" si="1"/>
        <v>262710063</v>
      </c>
      <c r="C95" s="315" t="s">
        <v>2208</v>
      </c>
      <c r="D95" s="275" t="s">
        <v>2209</v>
      </c>
      <c r="E95" s="341" t="s">
        <v>18</v>
      </c>
      <c r="F95" s="317"/>
      <c r="G95" s="318">
        <v>1</v>
      </c>
      <c r="H95" s="318">
        <v>1</v>
      </c>
      <c r="I95" s="318">
        <v>1</v>
      </c>
      <c r="J95" s="296">
        <v>1</v>
      </c>
      <c r="K95" s="296">
        <v>1</v>
      </c>
      <c r="L95" s="319">
        <v>1</v>
      </c>
      <c r="M95" s="319">
        <v>1</v>
      </c>
      <c r="N95" s="319">
        <v>1</v>
      </c>
      <c r="O95" s="319"/>
      <c r="P95" s="319"/>
    </row>
    <row r="96" ht="12.75" customHeight="1" spans="1:16">
      <c r="A96" s="314">
        <v>18</v>
      </c>
      <c r="B96" s="276">
        <f t="shared" si="1"/>
        <v>262710064</v>
      </c>
      <c r="C96" s="315" t="s">
        <v>2210</v>
      </c>
      <c r="D96" s="277" t="s">
        <v>2211</v>
      </c>
      <c r="E96" s="341" t="s">
        <v>23</v>
      </c>
      <c r="F96" s="317"/>
      <c r="G96" s="318">
        <v>1</v>
      </c>
      <c r="H96" s="318">
        <v>1</v>
      </c>
      <c r="I96" s="318">
        <v>1</v>
      </c>
      <c r="J96" s="296">
        <v>1</v>
      </c>
      <c r="K96" s="296">
        <v>1</v>
      </c>
      <c r="L96" s="319">
        <v>1</v>
      </c>
      <c r="M96" s="319">
        <v>1</v>
      </c>
      <c r="N96" s="319">
        <v>1</v>
      </c>
      <c r="O96" s="319"/>
      <c r="P96" s="319"/>
    </row>
    <row r="97" ht="12.75" customHeight="1" spans="1:16">
      <c r="A97" s="314">
        <v>19</v>
      </c>
      <c r="B97" s="278">
        <f t="shared" si="1"/>
        <v>262710065</v>
      </c>
      <c r="C97" s="321" t="s">
        <v>2212</v>
      </c>
      <c r="D97" s="275" t="s">
        <v>2213</v>
      </c>
      <c r="E97" s="341" t="s">
        <v>23</v>
      </c>
      <c r="F97" s="317"/>
      <c r="G97" s="318">
        <v>1</v>
      </c>
      <c r="H97" s="318">
        <v>1</v>
      </c>
      <c r="I97" s="318">
        <v>1</v>
      </c>
      <c r="J97" s="296">
        <v>1</v>
      </c>
      <c r="K97" s="296">
        <v>1</v>
      </c>
      <c r="L97" s="319">
        <v>1</v>
      </c>
      <c r="M97" s="319">
        <v>1</v>
      </c>
      <c r="N97" s="319">
        <v>1</v>
      </c>
      <c r="O97" s="319"/>
      <c r="P97" s="319"/>
    </row>
    <row r="98" ht="12.75" customHeight="1" spans="1:16">
      <c r="A98" s="314">
        <v>20</v>
      </c>
      <c r="B98" s="278">
        <f t="shared" si="1"/>
        <v>262710066</v>
      </c>
      <c r="C98" s="321" t="s">
        <v>2214</v>
      </c>
      <c r="D98" s="277" t="s">
        <v>2215</v>
      </c>
      <c r="E98" s="341" t="s">
        <v>18</v>
      </c>
      <c r="F98" s="317"/>
      <c r="G98" s="318">
        <v>1</v>
      </c>
      <c r="H98" s="318">
        <v>1</v>
      </c>
      <c r="I98" s="318">
        <v>1</v>
      </c>
      <c r="J98" s="296">
        <v>1</v>
      </c>
      <c r="K98" s="296">
        <v>1</v>
      </c>
      <c r="L98" s="319">
        <v>1</v>
      </c>
      <c r="M98" s="319">
        <v>1</v>
      </c>
      <c r="N98" s="319">
        <v>1</v>
      </c>
      <c r="O98" s="319"/>
      <c r="P98" s="319"/>
    </row>
    <row r="99" ht="12.75" customHeight="1" spans="1:16">
      <c r="A99" s="314">
        <v>21</v>
      </c>
      <c r="B99" s="276">
        <f t="shared" si="1"/>
        <v>262710067</v>
      </c>
      <c r="C99" s="321" t="s">
        <v>2216</v>
      </c>
      <c r="D99" s="279" t="s">
        <v>2217</v>
      </c>
      <c r="E99" s="341" t="s">
        <v>18</v>
      </c>
      <c r="F99" s="317"/>
      <c r="G99" s="318">
        <v>1</v>
      </c>
      <c r="H99" s="318">
        <v>1</v>
      </c>
      <c r="I99" s="318">
        <v>1</v>
      </c>
      <c r="J99" s="296">
        <v>1</v>
      </c>
      <c r="K99" s="296">
        <v>1</v>
      </c>
      <c r="L99" s="319">
        <v>1</v>
      </c>
      <c r="M99" s="319">
        <v>1</v>
      </c>
      <c r="N99" s="319">
        <v>1</v>
      </c>
      <c r="O99" s="319"/>
      <c r="P99" s="319"/>
    </row>
    <row r="100" ht="12.75" customHeight="1" spans="1:16">
      <c r="A100" s="314">
        <v>22</v>
      </c>
      <c r="B100" s="278">
        <f t="shared" si="1"/>
        <v>262710068</v>
      </c>
      <c r="C100" s="315" t="s">
        <v>2218</v>
      </c>
      <c r="D100" s="277" t="s">
        <v>2219</v>
      </c>
      <c r="E100" s="343" t="s">
        <v>18</v>
      </c>
      <c r="F100" s="317"/>
      <c r="G100" s="318">
        <v>1</v>
      </c>
      <c r="H100" s="318">
        <v>1</v>
      </c>
      <c r="I100" s="318">
        <v>1</v>
      </c>
      <c r="J100" s="296">
        <v>1</v>
      </c>
      <c r="K100" s="296">
        <v>1</v>
      </c>
      <c r="L100" s="319">
        <v>1</v>
      </c>
      <c r="M100" s="319">
        <v>1</v>
      </c>
      <c r="N100" s="319">
        <v>1</v>
      </c>
      <c r="O100" s="319"/>
      <c r="P100" s="319"/>
    </row>
    <row r="101" ht="12.75" customHeight="1" spans="1:16">
      <c r="A101" s="314">
        <v>23</v>
      </c>
      <c r="B101" s="278">
        <f t="shared" si="1"/>
        <v>262710069</v>
      </c>
      <c r="C101" s="315" t="s">
        <v>2220</v>
      </c>
      <c r="D101" s="275" t="s">
        <v>2221</v>
      </c>
      <c r="E101" s="341" t="s">
        <v>23</v>
      </c>
      <c r="F101" s="317"/>
      <c r="G101" s="318">
        <v>1</v>
      </c>
      <c r="H101" s="318" t="s">
        <v>37</v>
      </c>
      <c r="I101" s="318">
        <v>1</v>
      </c>
      <c r="J101" s="296">
        <v>1</v>
      </c>
      <c r="K101" s="296">
        <v>1</v>
      </c>
      <c r="L101" s="319">
        <v>1</v>
      </c>
      <c r="M101" s="319">
        <v>1</v>
      </c>
      <c r="N101" s="319"/>
      <c r="O101" s="319"/>
      <c r="P101" s="319"/>
    </row>
    <row r="102" ht="12.75" customHeight="1" spans="1:16">
      <c r="A102" s="314">
        <v>24</v>
      </c>
      <c r="B102" s="276">
        <f t="shared" si="1"/>
        <v>262710070</v>
      </c>
      <c r="C102" s="315" t="s">
        <v>2222</v>
      </c>
      <c r="D102" s="277" t="s">
        <v>2223</v>
      </c>
      <c r="E102" s="341" t="s">
        <v>23</v>
      </c>
      <c r="F102" s="317"/>
      <c r="G102" s="318">
        <v>1</v>
      </c>
      <c r="H102" s="318">
        <v>1</v>
      </c>
      <c r="I102" s="318">
        <v>1</v>
      </c>
      <c r="J102" s="296">
        <v>1</v>
      </c>
      <c r="K102" s="296">
        <v>1</v>
      </c>
      <c r="L102" s="319">
        <v>1</v>
      </c>
      <c r="M102" s="319">
        <v>1</v>
      </c>
      <c r="N102" s="319">
        <v>1</v>
      </c>
      <c r="O102" s="319"/>
      <c r="P102" s="319"/>
    </row>
    <row r="103" ht="12.75" customHeight="1" spans="1:16">
      <c r="A103" s="314">
        <v>25</v>
      </c>
      <c r="B103" s="278">
        <f t="shared" si="1"/>
        <v>262710071</v>
      </c>
      <c r="C103" s="315" t="s">
        <v>2224</v>
      </c>
      <c r="D103" s="275" t="s">
        <v>2225</v>
      </c>
      <c r="E103" s="341" t="s">
        <v>18</v>
      </c>
      <c r="F103" s="317"/>
      <c r="G103" s="318">
        <v>1</v>
      </c>
      <c r="H103" s="318">
        <v>1</v>
      </c>
      <c r="I103" s="318">
        <v>1</v>
      </c>
      <c r="J103" s="296">
        <v>1</v>
      </c>
      <c r="K103" s="296">
        <v>1</v>
      </c>
      <c r="L103" s="319">
        <v>1</v>
      </c>
      <c r="M103" s="319">
        <v>1</v>
      </c>
      <c r="N103" s="319">
        <v>1</v>
      </c>
      <c r="O103" s="319"/>
      <c r="P103" s="319"/>
    </row>
    <row r="104" ht="12.75" customHeight="1" spans="1:16">
      <c r="A104" s="314">
        <v>26</v>
      </c>
      <c r="B104" s="278">
        <f t="shared" si="1"/>
        <v>262710072</v>
      </c>
      <c r="C104" s="321" t="s">
        <v>2226</v>
      </c>
      <c r="D104" s="277" t="s">
        <v>2227</v>
      </c>
      <c r="E104" s="341" t="s">
        <v>23</v>
      </c>
      <c r="F104" s="317"/>
      <c r="G104" s="318">
        <v>1</v>
      </c>
      <c r="H104" s="318">
        <v>1</v>
      </c>
      <c r="I104" s="318" t="s">
        <v>1044</v>
      </c>
      <c r="J104" s="296">
        <v>1</v>
      </c>
      <c r="K104" s="296">
        <v>1</v>
      </c>
      <c r="L104" s="319"/>
      <c r="M104" s="319"/>
      <c r="N104" s="319"/>
      <c r="O104" s="319"/>
      <c r="P104" s="319"/>
    </row>
    <row r="105" ht="12.75" customHeight="1" spans="1:16">
      <c r="A105" s="314">
        <v>27</v>
      </c>
      <c r="B105" s="276">
        <f t="shared" si="1"/>
        <v>262710073</v>
      </c>
      <c r="C105" s="315" t="s">
        <v>2228</v>
      </c>
      <c r="D105" s="279" t="s">
        <v>2229</v>
      </c>
      <c r="E105" s="341" t="s">
        <v>23</v>
      </c>
      <c r="F105" s="317"/>
      <c r="G105" s="318">
        <v>1</v>
      </c>
      <c r="H105" s="318">
        <v>1</v>
      </c>
      <c r="I105" s="318">
        <v>1</v>
      </c>
      <c r="J105" s="296">
        <v>1</v>
      </c>
      <c r="K105" s="296">
        <v>1</v>
      </c>
      <c r="L105" s="319">
        <v>1</v>
      </c>
      <c r="M105" s="319">
        <v>1</v>
      </c>
      <c r="N105" s="319">
        <v>1</v>
      </c>
      <c r="O105" s="319"/>
      <c r="P105" s="319"/>
    </row>
    <row r="106" ht="12.75" customHeight="1" spans="1:16">
      <c r="A106" s="314">
        <v>28</v>
      </c>
      <c r="B106" s="278">
        <f t="shared" si="1"/>
        <v>262710074</v>
      </c>
      <c r="C106" s="321" t="s">
        <v>2230</v>
      </c>
      <c r="D106" s="277" t="s">
        <v>2231</v>
      </c>
      <c r="E106" s="341" t="s">
        <v>23</v>
      </c>
      <c r="F106" s="317"/>
      <c r="G106" s="318">
        <v>1</v>
      </c>
      <c r="H106" s="318">
        <v>1</v>
      </c>
      <c r="I106" s="318">
        <v>1</v>
      </c>
      <c r="J106" s="296">
        <v>1</v>
      </c>
      <c r="K106" s="296">
        <v>1</v>
      </c>
      <c r="L106" s="319">
        <v>1</v>
      </c>
      <c r="M106" s="319">
        <v>1</v>
      </c>
      <c r="N106" s="319">
        <v>1</v>
      </c>
      <c r="O106" s="319"/>
      <c r="P106" s="319"/>
    </row>
    <row r="107" ht="12.75" customHeight="1" spans="1:16">
      <c r="A107" s="314">
        <v>29</v>
      </c>
      <c r="B107" s="278">
        <f t="shared" si="1"/>
        <v>262710075</v>
      </c>
      <c r="C107" s="315" t="s">
        <v>2232</v>
      </c>
      <c r="D107" s="275" t="s">
        <v>2233</v>
      </c>
      <c r="E107" s="341" t="s">
        <v>23</v>
      </c>
      <c r="F107" s="317"/>
      <c r="G107" s="318">
        <v>1</v>
      </c>
      <c r="H107" s="318">
        <v>1</v>
      </c>
      <c r="I107" s="318">
        <v>1</v>
      </c>
      <c r="J107" s="296">
        <v>1</v>
      </c>
      <c r="K107" s="296">
        <v>1</v>
      </c>
      <c r="L107" s="319">
        <v>1</v>
      </c>
      <c r="M107" s="319">
        <v>1</v>
      </c>
      <c r="N107" s="319">
        <v>1</v>
      </c>
      <c r="O107" s="319"/>
      <c r="P107" s="319"/>
    </row>
    <row r="108" ht="12.75" customHeight="1" spans="1:16">
      <c r="A108" s="314">
        <v>30</v>
      </c>
      <c r="B108" s="276">
        <f t="shared" si="1"/>
        <v>262710076</v>
      </c>
      <c r="C108" s="315" t="s">
        <v>2234</v>
      </c>
      <c r="D108" s="277" t="s">
        <v>2235</v>
      </c>
      <c r="E108" s="341" t="s">
        <v>23</v>
      </c>
      <c r="F108" s="317"/>
      <c r="G108" s="318">
        <v>1</v>
      </c>
      <c r="H108" s="318">
        <v>1</v>
      </c>
      <c r="I108" s="318">
        <v>1</v>
      </c>
      <c r="J108" s="296">
        <v>1</v>
      </c>
      <c r="K108" s="296">
        <v>1</v>
      </c>
      <c r="L108" s="319">
        <v>1</v>
      </c>
      <c r="M108" s="319">
        <v>1</v>
      </c>
      <c r="N108" s="319">
        <v>1</v>
      </c>
      <c r="O108" s="319"/>
      <c r="P108" s="319"/>
    </row>
    <row r="109" ht="12.75" customHeight="1" spans="1:16">
      <c r="A109" s="314">
        <v>31</v>
      </c>
      <c r="B109" s="278">
        <f t="shared" si="1"/>
        <v>262710077</v>
      </c>
      <c r="C109" s="315" t="s">
        <v>2236</v>
      </c>
      <c r="D109" s="275" t="s">
        <v>2237</v>
      </c>
      <c r="E109" s="341" t="s">
        <v>23</v>
      </c>
      <c r="F109" s="317"/>
      <c r="G109" s="318">
        <v>1</v>
      </c>
      <c r="H109" s="318">
        <v>1</v>
      </c>
      <c r="I109" s="318">
        <v>1</v>
      </c>
      <c r="J109" s="296">
        <v>1</v>
      </c>
      <c r="K109" s="296">
        <v>1</v>
      </c>
      <c r="L109" s="319"/>
      <c r="M109" s="319">
        <v>1</v>
      </c>
      <c r="N109" s="319">
        <v>1</v>
      </c>
      <c r="O109" s="319"/>
      <c r="P109" s="319"/>
    </row>
    <row r="110" ht="12.75" customHeight="1" spans="1:16">
      <c r="A110" s="314">
        <v>32</v>
      </c>
      <c r="B110" s="278">
        <f t="shared" si="1"/>
        <v>262710078</v>
      </c>
      <c r="C110" s="320" t="s">
        <v>2238</v>
      </c>
      <c r="D110" s="281" t="s">
        <v>2239</v>
      </c>
      <c r="E110" s="341" t="s">
        <v>23</v>
      </c>
      <c r="F110" s="317"/>
      <c r="G110" s="318" t="s">
        <v>2191</v>
      </c>
      <c r="H110" s="318">
        <v>1</v>
      </c>
      <c r="I110" s="318">
        <v>1</v>
      </c>
      <c r="J110" s="296" t="s">
        <v>37</v>
      </c>
      <c r="K110" s="296">
        <v>1</v>
      </c>
      <c r="L110" s="319">
        <v>1</v>
      </c>
      <c r="M110" s="319">
        <v>1</v>
      </c>
      <c r="N110" s="319"/>
      <c r="O110" s="319"/>
      <c r="P110" s="319"/>
    </row>
    <row r="111" ht="12.75" customHeight="1" spans="1:16">
      <c r="A111" s="314">
        <v>33</v>
      </c>
      <c r="B111" s="276">
        <f t="shared" si="1"/>
        <v>262710079</v>
      </c>
      <c r="C111" s="315" t="s">
        <v>2240</v>
      </c>
      <c r="D111" s="279" t="s">
        <v>2241</v>
      </c>
      <c r="E111" s="341" t="s">
        <v>18</v>
      </c>
      <c r="F111" s="317"/>
      <c r="G111" s="318">
        <v>1</v>
      </c>
      <c r="H111" s="318">
        <v>1</v>
      </c>
      <c r="I111" s="318">
        <v>1</v>
      </c>
      <c r="J111" s="296">
        <v>1</v>
      </c>
      <c r="K111" s="296">
        <v>1</v>
      </c>
      <c r="L111" s="319">
        <v>1</v>
      </c>
      <c r="M111" s="319">
        <v>1</v>
      </c>
      <c r="N111" s="319">
        <v>1</v>
      </c>
      <c r="O111" s="319"/>
      <c r="P111" s="319"/>
    </row>
    <row r="112" ht="12.75" customHeight="1" spans="1:16">
      <c r="A112" s="314">
        <v>34</v>
      </c>
      <c r="B112" s="278">
        <f t="shared" si="1"/>
        <v>262710080</v>
      </c>
      <c r="C112" s="315" t="s">
        <v>2242</v>
      </c>
      <c r="D112" s="277" t="s">
        <v>2243</v>
      </c>
      <c r="E112" s="341" t="s">
        <v>18</v>
      </c>
      <c r="F112" s="317" t="s">
        <v>28</v>
      </c>
      <c r="G112" s="318" t="s">
        <v>28</v>
      </c>
      <c r="H112" s="318">
        <v>1</v>
      </c>
      <c r="I112" s="318">
        <v>1</v>
      </c>
      <c r="J112" s="296">
        <v>1</v>
      </c>
      <c r="K112" s="296">
        <v>1</v>
      </c>
      <c r="L112" s="319">
        <v>1</v>
      </c>
      <c r="M112" s="319">
        <v>1</v>
      </c>
      <c r="N112" s="319">
        <v>1</v>
      </c>
      <c r="O112" s="319"/>
      <c r="P112" s="319"/>
    </row>
    <row r="113" ht="12.75" customHeight="1" spans="1:16">
      <c r="A113" s="314">
        <v>35</v>
      </c>
      <c r="B113" s="278">
        <f t="shared" si="1"/>
        <v>262710081</v>
      </c>
      <c r="C113" s="315" t="s">
        <v>2244</v>
      </c>
      <c r="D113" s="275" t="s">
        <v>2245</v>
      </c>
      <c r="E113" s="341" t="s">
        <v>23</v>
      </c>
      <c r="F113" s="326"/>
      <c r="G113" s="327">
        <v>1</v>
      </c>
      <c r="H113" s="327" t="s">
        <v>28</v>
      </c>
      <c r="I113" s="327">
        <v>1</v>
      </c>
      <c r="J113" s="296">
        <v>1</v>
      </c>
      <c r="K113" s="296">
        <v>1</v>
      </c>
      <c r="L113" s="319">
        <v>1</v>
      </c>
      <c r="M113" s="319">
        <v>1</v>
      </c>
      <c r="N113" s="319">
        <v>1</v>
      </c>
      <c r="O113" s="319"/>
      <c r="P113" s="319"/>
    </row>
    <row r="114" ht="12.75" customHeight="1" spans="1:16">
      <c r="A114" s="314">
        <v>36</v>
      </c>
      <c r="B114" s="276">
        <f t="shared" si="1"/>
        <v>262710082</v>
      </c>
      <c r="C114" s="315" t="s">
        <v>2246</v>
      </c>
      <c r="D114" s="277" t="s">
        <v>2247</v>
      </c>
      <c r="E114" s="341" t="s">
        <v>18</v>
      </c>
      <c r="F114" s="318"/>
      <c r="G114" s="318">
        <v>1</v>
      </c>
      <c r="H114" s="318">
        <v>1</v>
      </c>
      <c r="I114" s="318">
        <v>1</v>
      </c>
      <c r="J114" s="296">
        <v>1</v>
      </c>
      <c r="K114" s="296">
        <v>1</v>
      </c>
      <c r="L114" s="319">
        <v>1</v>
      </c>
      <c r="M114" s="319">
        <v>1</v>
      </c>
      <c r="N114" s="319">
        <v>1</v>
      </c>
      <c r="O114" s="319"/>
      <c r="P114" s="319"/>
    </row>
    <row r="115" ht="12.75" customHeight="1" spans="1:16">
      <c r="A115" s="314">
        <v>37</v>
      </c>
      <c r="B115" s="278">
        <f t="shared" si="1"/>
        <v>262710083</v>
      </c>
      <c r="C115" s="320" t="s">
        <v>2248</v>
      </c>
      <c r="D115" s="282" t="s">
        <v>2249</v>
      </c>
      <c r="E115" s="341" t="s">
        <v>23</v>
      </c>
      <c r="F115" s="318"/>
      <c r="G115" s="318">
        <v>1</v>
      </c>
      <c r="H115" s="318">
        <v>1</v>
      </c>
      <c r="I115" s="318">
        <v>1</v>
      </c>
      <c r="J115" s="296">
        <v>1</v>
      </c>
      <c r="K115" s="296">
        <v>1</v>
      </c>
      <c r="L115" s="319">
        <v>1</v>
      </c>
      <c r="M115" s="319">
        <v>1</v>
      </c>
      <c r="N115" s="319">
        <v>1</v>
      </c>
      <c r="O115" s="319"/>
      <c r="P115" s="319"/>
    </row>
    <row r="116" ht="12.75" customHeight="1" spans="1:16">
      <c r="A116" s="314">
        <v>38</v>
      </c>
      <c r="B116" s="278">
        <f t="shared" si="1"/>
        <v>262710084</v>
      </c>
      <c r="C116" s="315" t="s">
        <v>2250</v>
      </c>
      <c r="D116" s="277" t="s">
        <v>2251</v>
      </c>
      <c r="E116" s="341" t="s">
        <v>18</v>
      </c>
      <c r="F116" s="318"/>
      <c r="G116" s="318">
        <v>1</v>
      </c>
      <c r="H116" s="318">
        <v>1</v>
      </c>
      <c r="I116" s="318">
        <v>1</v>
      </c>
      <c r="J116" s="296">
        <v>1</v>
      </c>
      <c r="K116" s="296">
        <v>1</v>
      </c>
      <c r="L116" s="319">
        <v>1</v>
      </c>
      <c r="M116" s="319">
        <v>1</v>
      </c>
      <c r="N116" s="319">
        <v>1</v>
      </c>
      <c r="O116" s="319"/>
      <c r="P116" s="319"/>
    </row>
    <row r="117" ht="12.75" customHeight="1" spans="1:16">
      <c r="A117" s="314">
        <v>39</v>
      </c>
      <c r="B117" s="276">
        <f t="shared" si="1"/>
        <v>262710085</v>
      </c>
      <c r="C117" s="315" t="s">
        <v>2252</v>
      </c>
      <c r="D117" s="275" t="s">
        <v>2253</v>
      </c>
      <c r="E117" s="341" t="s">
        <v>23</v>
      </c>
      <c r="F117" s="318"/>
      <c r="G117" s="318" t="s">
        <v>28</v>
      </c>
      <c r="H117" s="318">
        <v>1</v>
      </c>
      <c r="I117" s="318">
        <v>1</v>
      </c>
      <c r="J117" s="296">
        <v>1</v>
      </c>
      <c r="K117" s="296">
        <v>1</v>
      </c>
      <c r="L117" s="319">
        <v>1</v>
      </c>
      <c r="M117" s="319">
        <v>1</v>
      </c>
      <c r="N117" s="319">
        <v>1</v>
      </c>
      <c r="O117" s="319"/>
      <c r="P117" s="319"/>
    </row>
    <row r="118" ht="12.75" customHeight="1" spans="1:16">
      <c r="A118" s="314">
        <v>40</v>
      </c>
      <c r="B118" s="278">
        <f t="shared" si="1"/>
        <v>262710086</v>
      </c>
      <c r="C118" s="315" t="s">
        <v>2254</v>
      </c>
      <c r="D118" s="277" t="s">
        <v>2255</v>
      </c>
      <c r="E118" s="341" t="s">
        <v>23</v>
      </c>
      <c r="F118" s="318"/>
      <c r="G118" s="318" t="s">
        <v>28</v>
      </c>
      <c r="H118" s="318">
        <v>1</v>
      </c>
      <c r="I118" s="318" t="s">
        <v>1044</v>
      </c>
      <c r="J118" s="296" t="s">
        <v>28</v>
      </c>
      <c r="K118" s="296" t="s">
        <v>28</v>
      </c>
      <c r="L118" s="319">
        <v>1</v>
      </c>
      <c r="M118" s="319">
        <v>1</v>
      </c>
      <c r="N118" s="319"/>
      <c r="O118" s="319"/>
      <c r="P118" s="319"/>
    </row>
    <row r="119" ht="12.75" customHeight="1" spans="1:16">
      <c r="A119" s="314">
        <v>41</v>
      </c>
      <c r="B119" s="278">
        <f t="shared" si="1"/>
        <v>262710087</v>
      </c>
      <c r="C119" s="315" t="s">
        <v>2256</v>
      </c>
      <c r="D119" s="275" t="s">
        <v>2257</v>
      </c>
      <c r="E119" s="341" t="s">
        <v>18</v>
      </c>
      <c r="F119" s="318"/>
      <c r="G119" s="318">
        <v>1</v>
      </c>
      <c r="H119" s="318">
        <v>1</v>
      </c>
      <c r="I119" s="318">
        <v>1</v>
      </c>
      <c r="J119" s="296">
        <v>1</v>
      </c>
      <c r="K119" s="296">
        <v>1</v>
      </c>
      <c r="L119" s="319">
        <v>1</v>
      </c>
      <c r="M119" s="319">
        <v>1</v>
      </c>
      <c r="N119" s="319">
        <v>1</v>
      </c>
      <c r="O119" s="319"/>
      <c r="P119" s="319"/>
    </row>
    <row r="120" ht="12.75" customHeight="1" spans="1:16">
      <c r="A120" s="314">
        <v>42</v>
      </c>
      <c r="B120" s="276">
        <f t="shared" si="1"/>
        <v>262710088</v>
      </c>
      <c r="C120" s="315" t="s">
        <v>2258</v>
      </c>
      <c r="D120" s="277" t="s">
        <v>2259</v>
      </c>
      <c r="E120" s="341" t="s">
        <v>18</v>
      </c>
      <c r="F120" s="318"/>
      <c r="G120" s="318">
        <v>1</v>
      </c>
      <c r="H120" s="318">
        <v>1</v>
      </c>
      <c r="I120" s="318">
        <v>1</v>
      </c>
      <c r="J120" s="296">
        <v>1</v>
      </c>
      <c r="K120" s="296">
        <v>1</v>
      </c>
      <c r="L120" s="319">
        <v>1</v>
      </c>
      <c r="M120" s="319">
        <v>1</v>
      </c>
      <c r="N120" s="319">
        <v>1</v>
      </c>
      <c r="O120" s="319"/>
      <c r="P120" s="319"/>
    </row>
    <row r="121" ht="12.75" customHeight="1" spans="1:16">
      <c r="A121" s="314">
        <v>43</v>
      </c>
      <c r="B121" s="278">
        <f t="shared" si="1"/>
        <v>262710089</v>
      </c>
      <c r="C121" s="315" t="s">
        <v>2260</v>
      </c>
      <c r="D121" s="275" t="s">
        <v>2261</v>
      </c>
      <c r="E121" s="341" t="s">
        <v>18</v>
      </c>
      <c r="F121" s="318"/>
      <c r="G121" s="318">
        <v>1</v>
      </c>
      <c r="H121" s="318">
        <v>1</v>
      </c>
      <c r="I121" s="318">
        <v>1</v>
      </c>
      <c r="J121" s="296">
        <v>1</v>
      </c>
      <c r="K121" s="296">
        <v>1</v>
      </c>
      <c r="L121" s="319">
        <v>1</v>
      </c>
      <c r="M121" s="319">
        <v>1</v>
      </c>
      <c r="N121" s="319">
        <v>1</v>
      </c>
      <c r="O121" s="319"/>
      <c r="P121" s="319"/>
    </row>
    <row r="122" ht="12.75" customHeight="1" spans="1:16">
      <c r="A122" s="314">
        <v>44</v>
      </c>
      <c r="B122" s="278">
        <f t="shared" si="1"/>
        <v>262710090</v>
      </c>
      <c r="C122" s="315" t="s">
        <v>2262</v>
      </c>
      <c r="D122" s="277" t="s">
        <v>2263</v>
      </c>
      <c r="E122" s="341" t="s">
        <v>18</v>
      </c>
      <c r="F122" s="318"/>
      <c r="G122" s="318">
        <v>1</v>
      </c>
      <c r="H122" s="318">
        <v>1</v>
      </c>
      <c r="I122" s="318">
        <v>1</v>
      </c>
      <c r="J122" s="296">
        <v>1</v>
      </c>
      <c r="K122" s="296">
        <v>1</v>
      </c>
      <c r="L122" s="319">
        <v>1</v>
      </c>
      <c r="M122" s="319">
        <v>1</v>
      </c>
      <c r="N122" s="319">
        <v>1</v>
      </c>
      <c r="O122" s="319"/>
      <c r="P122" s="319"/>
    </row>
    <row r="123" ht="12.75" customHeight="1" spans="1:16">
      <c r="A123" s="314">
        <v>45</v>
      </c>
      <c r="B123" s="276">
        <f t="shared" si="1"/>
        <v>262710091</v>
      </c>
      <c r="C123" s="320" t="s">
        <v>2264</v>
      </c>
      <c r="D123" s="282" t="s">
        <v>2265</v>
      </c>
      <c r="E123" s="341" t="s">
        <v>18</v>
      </c>
      <c r="F123" s="318"/>
      <c r="G123" s="318">
        <v>1</v>
      </c>
      <c r="H123" s="318">
        <v>1</v>
      </c>
      <c r="I123" s="318">
        <v>1</v>
      </c>
      <c r="J123" s="296">
        <v>1</v>
      </c>
      <c r="K123" s="296">
        <v>1</v>
      </c>
      <c r="L123" s="319">
        <v>1</v>
      </c>
      <c r="M123" s="319">
        <v>1</v>
      </c>
      <c r="N123" s="319"/>
      <c r="O123" s="319"/>
      <c r="P123" s="319"/>
    </row>
    <row r="124" ht="12.75" customHeight="1" spans="1:16">
      <c r="A124" s="314">
        <v>46</v>
      </c>
      <c r="B124" s="278">
        <f t="shared" si="1"/>
        <v>262710092</v>
      </c>
      <c r="C124" s="321" t="s">
        <v>2266</v>
      </c>
      <c r="D124" s="277" t="s">
        <v>2267</v>
      </c>
      <c r="E124" s="341" t="s">
        <v>18</v>
      </c>
      <c r="F124" s="318"/>
      <c r="G124" s="318">
        <v>1</v>
      </c>
      <c r="H124" s="318">
        <v>1</v>
      </c>
      <c r="I124" s="318">
        <v>1</v>
      </c>
      <c r="J124" s="296">
        <v>1</v>
      </c>
      <c r="K124" s="296">
        <v>1</v>
      </c>
      <c r="L124" s="319">
        <v>1</v>
      </c>
      <c r="M124" s="319">
        <v>1</v>
      </c>
      <c r="N124" s="319">
        <v>1</v>
      </c>
      <c r="O124" s="319"/>
      <c r="P124" s="319"/>
    </row>
    <row r="125" s="289" customFormat="1" ht="12.75" customHeight="1" spans="1:16">
      <c r="B125" s="344"/>
      <c r="C125" s="345"/>
      <c r="D125" s="346" t="s">
        <v>89</v>
      </c>
      <c r="E125" s="347">
        <f>COUNTIF(E79:E124,"L")</f>
        <v>22</v>
      </c>
    </row>
    <row r="126" s="289" customFormat="1" ht="12.75" customHeight="1" spans="1:16">
      <c r="A126" s="293"/>
      <c r="B126" s="333"/>
      <c r="C126" s="345"/>
      <c r="D126" s="346" t="s">
        <v>90</v>
      </c>
      <c r="E126" s="347">
        <f>COUNTIF(E79:E124,"P")</f>
        <v>24</v>
      </c>
    </row>
    <row r="127" s="289" customFormat="1" ht="12.75" customHeight="1" spans="1:16">
      <c r="A127" s="293"/>
      <c r="B127" s="334" t="s">
        <v>91</v>
      </c>
      <c r="C127" s="334"/>
      <c r="D127" s="304"/>
      <c r="E127" s="336"/>
      <c r="F127" s="289" t="s">
        <v>92</v>
      </c>
    </row>
    <row r="128" s="289" customFormat="1" ht="12.75" customHeight="1" spans="1:16">
      <c r="A128" s="293"/>
      <c r="B128" s="334"/>
      <c r="C128" s="334"/>
      <c r="D128" s="304"/>
      <c r="E128" s="336"/>
    </row>
    <row r="129" s="289" customFormat="1" ht="12.75" customHeight="1" spans="1:9">
      <c r="A129" s="293"/>
      <c r="B129" s="334"/>
      <c r="C129" s="334"/>
      <c r="D129" s="304"/>
      <c r="E129" s="336"/>
    </row>
    <row r="130" s="289" customFormat="1" ht="12.75" customHeight="1" spans="1:9">
      <c r="A130" s="293"/>
      <c r="B130" s="334"/>
      <c r="C130" s="334"/>
      <c r="D130" s="304"/>
      <c r="E130" s="336"/>
    </row>
    <row r="131" s="289" customFormat="1" ht="12.75" customHeight="1" spans="1:9">
      <c r="A131" s="293"/>
      <c r="B131" s="338" t="s">
        <v>93</v>
      </c>
      <c r="C131" s="334"/>
      <c r="D131" s="304"/>
      <c r="E131" s="336"/>
      <c r="F131" s="289" t="s">
        <v>94</v>
      </c>
    </row>
    <row r="132" s="289" customFormat="1" ht="12.75" customHeight="1" spans="1:9">
      <c r="A132" s="293"/>
      <c r="B132" s="339" t="s">
        <v>95</v>
      </c>
      <c r="C132" s="334"/>
      <c r="D132" s="304"/>
      <c r="E132" s="336"/>
    </row>
    <row r="133" ht="12.75" customHeight="1" spans="1:9">
      <c r="B133" s="348"/>
    </row>
    <row r="134" ht="12.75" customHeight="1" spans="1:9">
      <c r="A134" s="349"/>
      <c r="B134" s="350"/>
      <c r="C134" s="350"/>
      <c r="D134" s="350"/>
      <c r="E134" s="351"/>
      <c r="F134" s="352"/>
      <c r="G134" s="352"/>
      <c r="H134" s="352"/>
      <c r="I134" s="352"/>
    </row>
    <row r="135" ht="12.75" customHeight="1" spans="1:9">
      <c r="A135" s="349"/>
      <c r="B135" s="350"/>
      <c r="C135" s="350"/>
      <c r="D135" s="350"/>
      <c r="E135" s="351"/>
      <c r="F135" s="352"/>
      <c r="G135" s="352"/>
      <c r="H135" s="352"/>
      <c r="I135" s="352"/>
    </row>
    <row r="136" ht="12.75" customHeight="1" spans="1:9">
      <c r="A136" s="297" t="s">
        <v>1</v>
      </c>
      <c r="B136" s="297"/>
      <c r="C136" s="297"/>
      <c r="D136" s="297"/>
      <c r="E136" s="297"/>
      <c r="F136" s="297"/>
      <c r="G136" s="297"/>
      <c r="H136" s="297"/>
      <c r="I136" s="297"/>
    </row>
    <row r="137" ht="12.75" customHeight="1" spans="1:9">
      <c r="A137" s="297" t="s">
        <v>2</v>
      </c>
      <c r="B137" s="297"/>
      <c r="C137" s="297"/>
      <c r="D137" s="297"/>
      <c r="E137" s="297"/>
      <c r="F137" s="297"/>
      <c r="G137" s="297"/>
      <c r="H137" s="297"/>
      <c r="I137" s="297"/>
    </row>
    <row r="138" ht="12.75" customHeight="1" spans="1:9">
      <c r="A138" s="297" t="s">
        <v>3</v>
      </c>
      <c r="B138" s="297"/>
      <c r="C138" s="297"/>
      <c r="D138" s="297"/>
      <c r="E138" s="297"/>
      <c r="F138" s="297"/>
      <c r="G138" s="297"/>
      <c r="H138" s="297"/>
      <c r="I138" s="297"/>
    </row>
    <row r="139" s="291" customFormat="1" ht="16.5" customHeight="1" spans="1:9">
      <c r="A139" s="298" t="s">
        <v>4</v>
      </c>
      <c r="B139" s="298"/>
      <c r="C139" s="298"/>
      <c r="D139" s="298"/>
      <c r="E139" s="298"/>
      <c r="F139" s="298"/>
      <c r="G139" s="298"/>
      <c r="H139" s="298"/>
      <c r="I139" s="298"/>
    </row>
    <row r="140" ht="12.75" customHeight="1" spans="1:9">
      <c r="A140" s="299" t="s">
        <v>5</v>
      </c>
      <c r="B140" s="299"/>
      <c r="C140" s="299"/>
      <c r="D140" s="299"/>
      <c r="E140" s="299"/>
      <c r="F140" s="299"/>
      <c r="G140" s="299"/>
      <c r="H140" s="299"/>
      <c r="I140" s="299"/>
    </row>
    <row r="141" customHeight="1" spans="1:9">
      <c r="A141" s="299"/>
      <c r="B141" s="299"/>
      <c r="C141" s="299"/>
      <c r="D141" s="299"/>
      <c r="E141" s="299"/>
      <c r="F141" s="299"/>
      <c r="G141" s="299"/>
      <c r="H141" s="299"/>
      <c r="I141" s="299"/>
    </row>
    <row r="142" ht="12.75" customHeight="1" spans="1:9">
      <c r="A142" s="299"/>
      <c r="B142" s="299"/>
      <c r="C142" s="299"/>
      <c r="D142" s="299"/>
      <c r="E142" s="299"/>
      <c r="F142" s="299"/>
      <c r="G142" s="299"/>
      <c r="H142" s="299"/>
      <c r="I142" s="299"/>
    </row>
    <row r="143" s="289" customFormat="1" ht="12.75" customHeight="1" spans="1:9">
      <c r="A143" s="300" t="s">
        <v>6</v>
      </c>
      <c r="B143" s="300"/>
      <c r="C143" s="300"/>
      <c r="D143" s="300"/>
      <c r="E143" s="300"/>
      <c r="F143" s="300"/>
      <c r="G143" s="300"/>
      <c r="H143" s="300"/>
      <c r="I143" s="300"/>
    </row>
    <row r="144" s="289" customFormat="1" ht="12.75" customHeight="1" spans="1:9">
      <c r="A144" s="300"/>
      <c r="B144" s="300"/>
      <c r="C144" s="300"/>
      <c r="D144" s="300"/>
      <c r="E144" s="300"/>
      <c r="F144" s="300"/>
      <c r="G144" s="300"/>
      <c r="H144" s="300"/>
      <c r="I144" s="300"/>
    </row>
    <row r="145" s="289" customFormat="1" ht="12.75" customHeight="1" spans="1:9">
      <c r="A145" s="301"/>
      <c r="B145" s="302" t="s">
        <v>2268</v>
      </c>
      <c r="C145" s="303"/>
      <c r="D145" s="353" t="s">
        <v>8</v>
      </c>
      <c r="E145" s="354" t="s">
        <v>2269</v>
      </c>
    </row>
    <row r="146" s="289" customFormat="1" ht="19.5" customHeight="1" spans="1:9">
      <c r="A146" s="307" t="s">
        <v>10</v>
      </c>
      <c r="B146" s="308" t="s">
        <v>11</v>
      </c>
      <c r="C146" s="308" t="s">
        <v>12</v>
      </c>
      <c r="D146" s="308" t="s">
        <v>13</v>
      </c>
      <c r="E146" s="309" t="s">
        <v>14</v>
      </c>
      <c r="F146" s="310"/>
      <c r="G146" s="310"/>
      <c r="H146" s="310"/>
      <c r="I146" s="310"/>
    </row>
    <row r="147" ht="12.75" customHeight="1" spans="1:9">
      <c r="A147" s="314">
        <v>1</v>
      </c>
      <c r="B147" s="276">
        <v>262710093</v>
      </c>
      <c r="C147" s="315" t="s">
        <v>2270</v>
      </c>
      <c r="D147" s="355" t="s">
        <v>2271</v>
      </c>
      <c r="E147" s="341" t="s">
        <v>23</v>
      </c>
      <c r="F147" s="317"/>
      <c r="G147" s="318"/>
      <c r="H147" s="318"/>
      <c r="I147" s="318"/>
    </row>
    <row r="148" s="291" customFormat="1" ht="12.75" customHeight="1" spans="1:9">
      <c r="A148" s="314">
        <v>2</v>
      </c>
      <c r="B148" s="278">
        <f t="shared" ref="B148:B192" si="2">B147+1</f>
        <v>262710094</v>
      </c>
      <c r="C148" s="315" t="s">
        <v>2272</v>
      </c>
      <c r="D148" s="355" t="s">
        <v>2273</v>
      </c>
      <c r="E148" s="341" t="s">
        <v>18</v>
      </c>
      <c r="F148" s="317"/>
      <c r="G148" s="318"/>
      <c r="H148" s="318"/>
      <c r="I148" s="318"/>
    </row>
    <row r="149" ht="12.75" customHeight="1" spans="1:9">
      <c r="A149" s="314">
        <v>3</v>
      </c>
      <c r="B149" s="276">
        <f t="shared" si="2"/>
        <v>262710095</v>
      </c>
      <c r="C149" s="315" t="s">
        <v>2274</v>
      </c>
      <c r="D149" s="355" t="s">
        <v>2275</v>
      </c>
      <c r="E149" s="341" t="s">
        <v>23</v>
      </c>
      <c r="F149" s="317"/>
      <c r="G149" s="318"/>
      <c r="H149" s="318"/>
      <c r="I149" s="318"/>
    </row>
    <row r="150" ht="12.75" customHeight="1" spans="1:9">
      <c r="A150" s="314">
        <v>4</v>
      </c>
      <c r="B150" s="278">
        <f t="shared" si="2"/>
        <v>262710096</v>
      </c>
      <c r="C150" s="315" t="s">
        <v>2276</v>
      </c>
      <c r="D150" s="355" t="s">
        <v>2277</v>
      </c>
      <c r="E150" s="341" t="s">
        <v>18</v>
      </c>
      <c r="F150" s="317"/>
      <c r="G150" s="318"/>
      <c r="H150" s="318"/>
      <c r="I150" s="318"/>
    </row>
    <row r="151" ht="12.75" customHeight="1" spans="1:9">
      <c r="A151" s="314">
        <v>5</v>
      </c>
      <c r="B151" s="278">
        <f t="shared" si="2"/>
        <v>262710097</v>
      </c>
      <c r="C151" s="315" t="s">
        <v>2278</v>
      </c>
      <c r="D151" s="355" t="s">
        <v>2279</v>
      </c>
      <c r="E151" s="341" t="s">
        <v>18</v>
      </c>
      <c r="F151" s="317"/>
      <c r="G151" s="318"/>
      <c r="H151" s="318"/>
      <c r="I151" s="318"/>
    </row>
    <row r="152" ht="12.75" customHeight="1" spans="1:9">
      <c r="A152" s="314">
        <v>6</v>
      </c>
      <c r="B152" s="276">
        <f t="shared" si="2"/>
        <v>262710098</v>
      </c>
      <c r="C152" s="321" t="s">
        <v>2280</v>
      </c>
      <c r="D152" s="355" t="s">
        <v>2281</v>
      </c>
      <c r="E152" s="341" t="s">
        <v>23</v>
      </c>
      <c r="F152" s="317"/>
      <c r="G152" s="318"/>
      <c r="H152" s="318"/>
      <c r="I152" s="318"/>
    </row>
    <row r="153" ht="12.75" customHeight="1" spans="1:9">
      <c r="A153" s="314">
        <v>7</v>
      </c>
      <c r="B153" s="278">
        <f t="shared" si="2"/>
        <v>262710099</v>
      </c>
      <c r="C153" s="315" t="s">
        <v>2282</v>
      </c>
      <c r="D153" s="355" t="s">
        <v>2283</v>
      </c>
      <c r="E153" s="341" t="s">
        <v>23</v>
      </c>
      <c r="F153" s="317"/>
      <c r="G153" s="318"/>
      <c r="H153" s="318"/>
      <c r="I153" s="318"/>
    </row>
    <row r="154" ht="12.75" customHeight="1" spans="1:9">
      <c r="A154" s="314">
        <v>8</v>
      </c>
      <c r="B154" s="278">
        <f t="shared" si="2"/>
        <v>262710100</v>
      </c>
      <c r="C154" s="315" t="s">
        <v>2284</v>
      </c>
      <c r="D154" s="355" t="s">
        <v>2285</v>
      </c>
      <c r="E154" s="341" t="s">
        <v>18</v>
      </c>
      <c r="F154" s="317"/>
      <c r="G154" s="318"/>
      <c r="H154" s="318"/>
      <c r="I154" s="318"/>
    </row>
    <row r="155" ht="12.75" customHeight="1" spans="1:9">
      <c r="A155" s="314">
        <v>9</v>
      </c>
      <c r="B155" s="276">
        <f t="shared" si="2"/>
        <v>262710101</v>
      </c>
      <c r="C155" s="321" t="s">
        <v>2286</v>
      </c>
      <c r="D155" s="355" t="s">
        <v>2287</v>
      </c>
      <c r="E155" s="341" t="s">
        <v>18</v>
      </c>
      <c r="F155" s="317"/>
      <c r="G155" s="318"/>
      <c r="H155" s="318"/>
      <c r="I155" s="318"/>
    </row>
    <row r="156" ht="12.75" customHeight="1" spans="1:9">
      <c r="A156" s="314">
        <v>10</v>
      </c>
      <c r="B156" s="278">
        <f t="shared" si="2"/>
        <v>262710102</v>
      </c>
      <c r="C156" s="315" t="s">
        <v>2288</v>
      </c>
      <c r="D156" s="355" t="s">
        <v>2289</v>
      </c>
      <c r="E156" s="341" t="s">
        <v>18</v>
      </c>
      <c r="F156" s="317"/>
      <c r="G156" s="318"/>
      <c r="H156" s="318"/>
      <c r="I156" s="318"/>
    </row>
    <row r="157" ht="12.75" customHeight="1" spans="1:9">
      <c r="A157" s="314">
        <v>11</v>
      </c>
      <c r="B157" s="278">
        <f t="shared" si="2"/>
        <v>262710103</v>
      </c>
      <c r="C157" s="321" t="s">
        <v>2290</v>
      </c>
      <c r="D157" s="355" t="s">
        <v>2291</v>
      </c>
      <c r="E157" s="341" t="s">
        <v>18</v>
      </c>
      <c r="F157" s="317"/>
      <c r="G157" s="318"/>
      <c r="H157" s="318"/>
      <c r="I157" s="318"/>
    </row>
    <row r="158" ht="12.75" customHeight="1" spans="1:9">
      <c r="A158" s="314">
        <v>12</v>
      </c>
      <c r="B158" s="276">
        <f t="shared" si="2"/>
        <v>262710104</v>
      </c>
      <c r="C158" s="315" t="s">
        <v>2292</v>
      </c>
      <c r="D158" s="355" t="s">
        <v>2293</v>
      </c>
      <c r="E158" s="341" t="s">
        <v>23</v>
      </c>
      <c r="F158" s="317"/>
      <c r="G158" s="318"/>
      <c r="H158" s="318"/>
      <c r="I158" s="318"/>
    </row>
    <row r="159" ht="12.75" customHeight="1" spans="1:9">
      <c r="A159" s="314">
        <v>13</v>
      </c>
      <c r="B159" s="278">
        <f t="shared" si="2"/>
        <v>262710105</v>
      </c>
      <c r="C159" s="315" t="s">
        <v>2294</v>
      </c>
      <c r="D159" s="355" t="s">
        <v>2295</v>
      </c>
      <c r="E159" s="341" t="s">
        <v>23</v>
      </c>
      <c r="F159" s="317"/>
      <c r="G159" s="318"/>
      <c r="H159" s="318"/>
      <c r="I159" s="318"/>
    </row>
    <row r="160" ht="12.75" customHeight="1" spans="1:9">
      <c r="A160" s="314">
        <v>14</v>
      </c>
      <c r="B160" s="278">
        <f t="shared" si="2"/>
        <v>262710106</v>
      </c>
      <c r="C160" s="315" t="s">
        <v>2296</v>
      </c>
      <c r="D160" s="355" t="s">
        <v>2297</v>
      </c>
      <c r="E160" s="341" t="s">
        <v>23</v>
      </c>
      <c r="F160" s="317"/>
      <c r="G160" s="318"/>
      <c r="H160" s="318"/>
      <c r="I160" s="318"/>
    </row>
    <row r="161" ht="12.75" customHeight="1" spans="1:9">
      <c r="A161" s="314">
        <v>15</v>
      </c>
      <c r="B161" s="276">
        <f t="shared" si="2"/>
        <v>262710107</v>
      </c>
      <c r="C161" s="320" t="s">
        <v>2298</v>
      </c>
      <c r="D161" s="355" t="s">
        <v>2299</v>
      </c>
      <c r="E161" s="341" t="s">
        <v>23</v>
      </c>
      <c r="F161" s="317"/>
      <c r="G161" s="318"/>
      <c r="H161" s="318"/>
      <c r="I161" s="318"/>
    </row>
    <row r="162" ht="12.75" customHeight="1" spans="1:9">
      <c r="A162" s="314">
        <v>16</v>
      </c>
      <c r="B162" s="278">
        <f t="shared" si="2"/>
        <v>262710108</v>
      </c>
      <c r="C162" s="315" t="s">
        <v>2300</v>
      </c>
      <c r="D162" s="355" t="s">
        <v>2301</v>
      </c>
      <c r="E162" s="341" t="s">
        <v>18</v>
      </c>
      <c r="F162" s="317"/>
      <c r="G162" s="318"/>
      <c r="H162" s="318"/>
      <c r="I162" s="318"/>
    </row>
    <row r="163" ht="12.75" customHeight="1" spans="1:9">
      <c r="A163" s="314">
        <v>17</v>
      </c>
      <c r="B163" s="278">
        <f t="shared" si="2"/>
        <v>262710109</v>
      </c>
      <c r="C163" s="320" t="s">
        <v>2302</v>
      </c>
      <c r="D163" s="355" t="s">
        <v>2303</v>
      </c>
      <c r="E163" s="341" t="s">
        <v>18</v>
      </c>
      <c r="F163" s="317"/>
      <c r="G163" s="318"/>
      <c r="H163" s="318"/>
      <c r="I163" s="318"/>
    </row>
    <row r="164" ht="12.75" customHeight="1" spans="1:9">
      <c r="A164" s="314">
        <v>18</v>
      </c>
      <c r="B164" s="276">
        <f t="shared" si="2"/>
        <v>262710110</v>
      </c>
      <c r="C164" s="315" t="s">
        <v>2304</v>
      </c>
      <c r="D164" s="355" t="s">
        <v>2305</v>
      </c>
      <c r="E164" s="341" t="s">
        <v>23</v>
      </c>
      <c r="F164" s="317"/>
      <c r="G164" s="318"/>
      <c r="H164" s="318"/>
      <c r="I164" s="318"/>
    </row>
    <row r="165" ht="12.75" customHeight="1" spans="1:9">
      <c r="A165" s="314">
        <v>19</v>
      </c>
      <c r="B165" s="278">
        <f t="shared" si="2"/>
        <v>262710111</v>
      </c>
      <c r="C165" s="315" t="s">
        <v>2306</v>
      </c>
      <c r="D165" s="355" t="s">
        <v>2307</v>
      </c>
      <c r="E165" s="341" t="s">
        <v>18</v>
      </c>
      <c r="F165" s="317"/>
      <c r="G165" s="318"/>
      <c r="H165" s="318"/>
      <c r="I165" s="318"/>
    </row>
    <row r="166" ht="12.75" customHeight="1" spans="1:9">
      <c r="A166" s="314">
        <v>20</v>
      </c>
      <c r="B166" s="278">
        <f t="shared" si="2"/>
        <v>262710112</v>
      </c>
      <c r="C166" s="315" t="s">
        <v>2308</v>
      </c>
      <c r="D166" s="355" t="s">
        <v>2309</v>
      </c>
      <c r="E166" s="341" t="s">
        <v>23</v>
      </c>
      <c r="F166" s="317"/>
      <c r="G166" s="318"/>
      <c r="H166" s="318"/>
      <c r="I166" s="318"/>
    </row>
    <row r="167" ht="12.75" customHeight="1" spans="1:9">
      <c r="A167" s="314">
        <v>21</v>
      </c>
      <c r="B167" s="276">
        <f t="shared" si="2"/>
        <v>262710113</v>
      </c>
      <c r="C167" s="315" t="s">
        <v>2310</v>
      </c>
      <c r="D167" s="355" t="s">
        <v>2311</v>
      </c>
      <c r="E167" s="341" t="s">
        <v>23</v>
      </c>
      <c r="F167" s="317"/>
      <c r="G167" s="318"/>
      <c r="H167" s="318"/>
      <c r="I167" s="318"/>
    </row>
    <row r="168" ht="12.75" customHeight="1" spans="1:9">
      <c r="A168" s="314">
        <v>22</v>
      </c>
      <c r="B168" s="278">
        <f t="shared" si="2"/>
        <v>262710114</v>
      </c>
      <c r="C168" s="315" t="s">
        <v>2312</v>
      </c>
      <c r="D168" s="355" t="s">
        <v>2313</v>
      </c>
      <c r="E168" s="341" t="s">
        <v>18</v>
      </c>
      <c r="F168" s="317"/>
      <c r="G168" s="318"/>
      <c r="H168" s="318"/>
      <c r="I168" s="318"/>
    </row>
    <row r="169" ht="12.75" customHeight="1" spans="1:9">
      <c r="A169" s="314">
        <v>23</v>
      </c>
      <c r="B169" s="278">
        <f t="shared" si="2"/>
        <v>262710115</v>
      </c>
      <c r="C169" s="315" t="s">
        <v>2314</v>
      </c>
      <c r="D169" s="355" t="s">
        <v>2315</v>
      </c>
      <c r="E169" s="341" t="s">
        <v>18</v>
      </c>
      <c r="F169" s="317"/>
      <c r="G169" s="318"/>
      <c r="H169" s="318"/>
      <c r="I169" s="318"/>
    </row>
    <row r="170" ht="12.75" customHeight="1" spans="1:9">
      <c r="A170" s="314">
        <v>24</v>
      </c>
      <c r="B170" s="276">
        <f t="shared" si="2"/>
        <v>262710116</v>
      </c>
      <c r="C170" s="320" t="s">
        <v>2316</v>
      </c>
      <c r="D170" s="355" t="s">
        <v>2317</v>
      </c>
      <c r="E170" s="341" t="s">
        <v>18</v>
      </c>
      <c r="F170" s="317"/>
      <c r="G170" s="318"/>
      <c r="H170" s="318"/>
      <c r="I170" s="318"/>
    </row>
    <row r="171" ht="12.75" customHeight="1" spans="1:9">
      <c r="A171" s="314">
        <v>25</v>
      </c>
      <c r="B171" s="278">
        <f t="shared" si="2"/>
        <v>262710117</v>
      </c>
      <c r="C171" s="315" t="s">
        <v>2318</v>
      </c>
      <c r="D171" s="355" t="s">
        <v>2319</v>
      </c>
      <c r="E171" s="341" t="s">
        <v>23</v>
      </c>
      <c r="F171" s="317"/>
      <c r="G171" s="318"/>
      <c r="H171" s="318"/>
      <c r="I171" s="318"/>
    </row>
    <row r="172" ht="12.75" customHeight="1" spans="1:9">
      <c r="A172" s="314">
        <v>26</v>
      </c>
      <c r="B172" s="278">
        <f t="shared" si="2"/>
        <v>262710118</v>
      </c>
      <c r="C172" s="315" t="s">
        <v>2320</v>
      </c>
      <c r="D172" s="355" t="s">
        <v>2321</v>
      </c>
      <c r="E172" s="341" t="s">
        <v>23</v>
      </c>
      <c r="F172" s="317"/>
      <c r="G172" s="318"/>
      <c r="H172" s="318"/>
      <c r="I172" s="318"/>
    </row>
    <row r="173" ht="12.75" customHeight="1" spans="1:9">
      <c r="A173" s="314">
        <v>27</v>
      </c>
      <c r="B173" s="276">
        <f t="shared" si="2"/>
        <v>262710119</v>
      </c>
      <c r="C173" s="315" t="s">
        <v>2322</v>
      </c>
      <c r="D173" s="355" t="s">
        <v>2323</v>
      </c>
      <c r="E173" s="343" t="s">
        <v>23</v>
      </c>
      <c r="F173" s="317"/>
      <c r="G173" s="318"/>
      <c r="H173" s="318"/>
      <c r="I173" s="318"/>
    </row>
    <row r="174" ht="12.75" customHeight="1" spans="1:9">
      <c r="A174" s="314">
        <v>28</v>
      </c>
      <c r="B174" s="278">
        <f t="shared" si="2"/>
        <v>262710120</v>
      </c>
      <c r="C174" s="315" t="s">
        <v>2324</v>
      </c>
      <c r="D174" s="355" t="s">
        <v>2325</v>
      </c>
      <c r="E174" s="341" t="s">
        <v>23</v>
      </c>
      <c r="F174" s="317"/>
      <c r="G174" s="318"/>
      <c r="H174" s="318"/>
      <c r="I174" s="318"/>
    </row>
    <row r="175" ht="12.75" customHeight="1" spans="1:9">
      <c r="A175" s="314">
        <v>29</v>
      </c>
      <c r="B175" s="278">
        <f t="shared" si="2"/>
        <v>262710121</v>
      </c>
      <c r="C175" s="315" t="s">
        <v>2326</v>
      </c>
      <c r="D175" s="355" t="s">
        <v>2327</v>
      </c>
      <c r="E175" s="341" t="s">
        <v>23</v>
      </c>
      <c r="F175" s="317"/>
      <c r="G175" s="318"/>
      <c r="H175" s="318"/>
      <c r="I175" s="318"/>
    </row>
    <row r="176" ht="12.75" customHeight="1" spans="1:9">
      <c r="A176" s="314">
        <v>30</v>
      </c>
      <c r="B176" s="276">
        <f t="shared" si="2"/>
        <v>262710122</v>
      </c>
      <c r="C176" s="315" t="s">
        <v>2328</v>
      </c>
      <c r="D176" s="355" t="s">
        <v>2329</v>
      </c>
      <c r="E176" s="341" t="s">
        <v>18</v>
      </c>
      <c r="F176" s="317"/>
      <c r="G176" s="318"/>
      <c r="H176" s="318"/>
      <c r="I176" s="318"/>
    </row>
    <row r="177" ht="12.75" customHeight="1" spans="1:9">
      <c r="A177" s="314">
        <v>31</v>
      </c>
      <c r="B177" s="278">
        <f t="shared" si="2"/>
        <v>262710123</v>
      </c>
      <c r="C177" s="320" t="s">
        <v>2330</v>
      </c>
      <c r="D177" s="355" t="s">
        <v>2331</v>
      </c>
      <c r="E177" s="341" t="s">
        <v>18</v>
      </c>
      <c r="F177" s="317"/>
      <c r="G177" s="318"/>
      <c r="H177" s="318"/>
      <c r="I177" s="318"/>
    </row>
    <row r="178" ht="12.75" customHeight="1" spans="1:9">
      <c r="A178" s="314">
        <v>32</v>
      </c>
      <c r="B178" s="278">
        <f t="shared" si="2"/>
        <v>262710124</v>
      </c>
      <c r="C178" s="315" t="s">
        <v>2332</v>
      </c>
      <c r="D178" s="355" t="s">
        <v>2333</v>
      </c>
      <c r="E178" s="341" t="s">
        <v>18</v>
      </c>
      <c r="F178" s="317"/>
      <c r="G178" s="318"/>
      <c r="H178" s="318"/>
      <c r="I178" s="318"/>
    </row>
    <row r="179" ht="12.75" customHeight="1" spans="1:9">
      <c r="A179" s="314">
        <v>33</v>
      </c>
      <c r="B179" s="276">
        <f t="shared" si="2"/>
        <v>262710125</v>
      </c>
      <c r="C179" s="315" t="s">
        <v>2334</v>
      </c>
      <c r="D179" s="355" t="s">
        <v>2335</v>
      </c>
      <c r="E179" s="341" t="s">
        <v>23</v>
      </c>
      <c r="F179" s="317"/>
      <c r="G179" s="318"/>
      <c r="H179" s="318"/>
      <c r="I179" s="318"/>
    </row>
    <row r="180" ht="12.75" customHeight="1" spans="1:9">
      <c r="A180" s="314">
        <v>34</v>
      </c>
      <c r="B180" s="278">
        <f t="shared" si="2"/>
        <v>262710126</v>
      </c>
      <c r="C180" s="315" t="s">
        <v>2336</v>
      </c>
      <c r="D180" s="355" t="s">
        <v>2337</v>
      </c>
      <c r="E180" s="341" t="s">
        <v>18</v>
      </c>
      <c r="F180" s="317"/>
      <c r="G180" s="318"/>
      <c r="H180" s="318"/>
      <c r="I180" s="318"/>
    </row>
    <row r="181" ht="12.75" customHeight="1" spans="1:9">
      <c r="A181" s="314">
        <v>35</v>
      </c>
      <c r="B181" s="278">
        <f t="shared" si="2"/>
        <v>262710127</v>
      </c>
      <c r="C181" s="315" t="s">
        <v>2338</v>
      </c>
      <c r="D181" s="355" t="s">
        <v>2339</v>
      </c>
      <c r="E181" s="341" t="s">
        <v>18</v>
      </c>
      <c r="F181" s="318"/>
      <c r="G181" s="318"/>
      <c r="H181" s="318"/>
      <c r="I181" s="318"/>
    </row>
    <row r="182" ht="12.75" customHeight="1" spans="1:9">
      <c r="A182" s="314">
        <v>36</v>
      </c>
      <c r="B182" s="276">
        <f t="shared" si="2"/>
        <v>262710128</v>
      </c>
      <c r="C182" s="315" t="s">
        <v>2340</v>
      </c>
      <c r="D182" s="355" t="s">
        <v>2341</v>
      </c>
      <c r="E182" s="341" t="s">
        <v>23</v>
      </c>
      <c r="F182" s="318"/>
      <c r="G182" s="318"/>
      <c r="H182" s="318"/>
      <c r="I182" s="318"/>
    </row>
    <row r="183" ht="12.75" customHeight="1" spans="1:9">
      <c r="A183" s="314">
        <v>37</v>
      </c>
      <c r="B183" s="278">
        <f t="shared" si="2"/>
        <v>262710129</v>
      </c>
      <c r="C183" s="315" t="s">
        <v>2342</v>
      </c>
      <c r="D183" s="355" t="s">
        <v>2343</v>
      </c>
      <c r="E183" s="341" t="s">
        <v>18</v>
      </c>
      <c r="F183" s="318"/>
      <c r="G183" s="318"/>
      <c r="H183" s="318"/>
      <c r="I183" s="318"/>
    </row>
    <row r="184" ht="12.75" customHeight="1" spans="1:9">
      <c r="A184" s="314">
        <v>38</v>
      </c>
      <c r="B184" s="278">
        <f t="shared" si="2"/>
        <v>262710130</v>
      </c>
      <c r="C184" s="315" t="s">
        <v>2344</v>
      </c>
      <c r="D184" s="355" t="s">
        <v>2345</v>
      </c>
      <c r="E184" s="341" t="s">
        <v>23</v>
      </c>
      <c r="F184" s="318"/>
      <c r="G184" s="318"/>
      <c r="H184" s="318"/>
      <c r="I184" s="318"/>
    </row>
    <row r="185" ht="12.75" customHeight="1" spans="1:9">
      <c r="A185" s="314">
        <v>39</v>
      </c>
      <c r="B185" s="276">
        <f t="shared" si="2"/>
        <v>262710131</v>
      </c>
      <c r="C185" s="315" t="s">
        <v>2346</v>
      </c>
      <c r="D185" s="355" t="s">
        <v>2347</v>
      </c>
      <c r="E185" s="341" t="s">
        <v>18</v>
      </c>
      <c r="F185" s="318"/>
      <c r="G185" s="318"/>
      <c r="H185" s="318"/>
      <c r="I185" s="318"/>
    </row>
    <row r="186" ht="12.75" customHeight="1" spans="1:9">
      <c r="A186" s="314">
        <v>40</v>
      </c>
      <c r="B186" s="278">
        <f t="shared" si="2"/>
        <v>262710132</v>
      </c>
      <c r="C186" s="315" t="s">
        <v>2348</v>
      </c>
      <c r="D186" s="355" t="s">
        <v>2349</v>
      </c>
      <c r="E186" s="341" t="s">
        <v>23</v>
      </c>
      <c r="F186" s="318"/>
      <c r="G186" s="318"/>
      <c r="H186" s="318"/>
      <c r="I186" s="318"/>
    </row>
    <row r="187" ht="12.75" customHeight="1" spans="1:9">
      <c r="A187" s="314">
        <v>41</v>
      </c>
      <c r="B187" s="278">
        <f t="shared" si="2"/>
        <v>262710133</v>
      </c>
      <c r="C187" s="315" t="s">
        <v>2350</v>
      </c>
      <c r="D187" s="355" t="s">
        <v>2351</v>
      </c>
      <c r="E187" s="341" t="s">
        <v>18</v>
      </c>
      <c r="F187" s="318"/>
      <c r="G187" s="318"/>
      <c r="H187" s="318"/>
      <c r="I187" s="318"/>
    </row>
    <row r="188" ht="12.75" customHeight="1" spans="1:9">
      <c r="A188" s="314">
        <v>42</v>
      </c>
      <c r="B188" s="276">
        <f t="shared" si="2"/>
        <v>262710134</v>
      </c>
      <c r="C188" s="315" t="s">
        <v>2352</v>
      </c>
      <c r="D188" s="355" t="s">
        <v>2353</v>
      </c>
      <c r="E188" s="341" t="s">
        <v>18</v>
      </c>
      <c r="F188" s="318"/>
      <c r="G188" s="318"/>
      <c r="H188" s="318"/>
      <c r="I188" s="318"/>
    </row>
    <row r="189" ht="12.75" customHeight="1" spans="1:9">
      <c r="A189" s="314">
        <v>43</v>
      </c>
      <c r="B189" s="278">
        <f t="shared" si="2"/>
        <v>262710135</v>
      </c>
      <c r="C189" s="315" t="s">
        <v>2354</v>
      </c>
      <c r="D189" s="355" t="s">
        <v>2355</v>
      </c>
      <c r="E189" s="341" t="s">
        <v>18</v>
      </c>
      <c r="F189" s="318"/>
      <c r="G189" s="318"/>
      <c r="H189" s="318"/>
      <c r="I189" s="318"/>
    </row>
    <row r="190" ht="12.75" customHeight="1" spans="1:9">
      <c r="A190" s="314">
        <v>44</v>
      </c>
      <c r="B190" s="278">
        <f t="shared" si="2"/>
        <v>262710136</v>
      </c>
      <c r="C190" s="321" t="s">
        <v>2356</v>
      </c>
      <c r="D190" s="355" t="s">
        <v>2357</v>
      </c>
      <c r="E190" s="341" t="s">
        <v>18</v>
      </c>
      <c r="F190" s="318"/>
      <c r="G190" s="318"/>
      <c r="H190" s="318"/>
      <c r="I190" s="318"/>
    </row>
    <row r="191" ht="12.75" customHeight="1" spans="1:9">
      <c r="A191" s="314">
        <v>45</v>
      </c>
      <c r="B191" s="276">
        <f t="shared" si="2"/>
        <v>262710137</v>
      </c>
      <c r="C191" s="321" t="s">
        <v>2358</v>
      </c>
      <c r="D191" s="355" t="s">
        <v>2359</v>
      </c>
      <c r="E191" s="341" t="s">
        <v>18</v>
      </c>
      <c r="F191" s="318"/>
      <c r="G191" s="318"/>
      <c r="H191" s="318"/>
      <c r="I191" s="318"/>
    </row>
    <row r="192" s="289" customFormat="1" ht="12.75" customHeight="1" spans="1:9">
      <c r="A192" s="314">
        <v>46</v>
      </c>
      <c r="B192" s="278">
        <f t="shared" si="2"/>
        <v>262710138</v>
      </c>
      <c r="C192" s="356" t="s">
        <v>2360</v>
      </c>
      <c r="D192" s="355" t="s">
        <v>2361</v>
      </c>
      <c r="E192" s="341" t="s">
        <v>18</v>
      </c>
      <c r="F192" s="331"/>
      <c r="G192" s="331"/>
      <c r="H192" s="331"/>
      <c r="I192" s="331"/>
    </row>
    <row r="193" s="289" customFormat="1" ht="12.75" customHeight="1" spans="1:9">
      <c r="A193" s="293"/>
      <c r="B193" s="333"/>
      <c r="C193" s="345"/>
      <c r="D193" s="346" t="s">
        <v>89</v>
      </c>
      <c r="E193" s="347">
        <f>COUNTIF(E147:E192,"L")</f>
        <v>20</v>
      </c>
    </row>
    <row r="194" s="289" customFormat="1" ht="12.75" customHeight="1" spans="1:9">
      <c r="A194" s="293"/>
      <c r="B194" s="333"/>
      <c r="C194" s="345"/>
      <c r="D194" s="346" t="s">
        <v>90</v>
      </c>
      <c r="E194" s="347">
        <f>COUNTIF(E147:E192,"P")</f>
        <v>26</v>
      </c>
    </row>
    <row r="195" s="289" customFormat="1" ht="12.75" customHeight="1" spans="1:9">
      <c r="A195" s="293"/>
      <c r="B195" s="334"/>
      <c r="C195" s="334"/>
      <c r="D195" s="304"/>
      <c r="E195" s="336"/>
    </row>
    <row r="196" s="289" customFormat="1" ht="12.75" customHeight="1" spans="1:9">
      <c r="A196" s="293"/>
      <c r="B196" s="334" t="s">
        <v>91</v>
      </c>
      <c r="C196" s="334"/>
      <c r="D196" s="304"/>
      <c r="E196" s="336"/>
      <c r="F196" s="289" t="s">
        <v>92</v>
      </c>
    </row>
    <row r="197" s="289" customFormat="1" ht="12.75" customHeight="1" spans="1:9">
      <c r="A197" s="293"/>
      <c r="B197" s="334"/>
      <c r="C197" s="334"/>
      <c r="D197" s="304"/>
      <c r="E197" s="336"/>
    </row>
    <row r="198" s="289" customFormat="1" ht="12.75" customHeight="1" spans="1:9">
      <c r="A198" s="293"/>
      <c r="B198" s="334"/>
      <c r="C198" s="334"/>
      <c r="D198" s="304"/>
      <c r="E198" s="336"/>
    </row>
    <row r="199" s="289" customFormat="1" ht="12.75" customHeight="1" spans="1:9">
      <c r="A199" s="293"/>
      <c r="B199" s="334"/>
      <c r="C199" s="334"/>
      <c r="D199" s="304"/>
      <c r="E199" s="336"/>
    </row>
    <row r="200" s="289" customFormat="1" ht="12.75" customHeight="1" spans="1:9">
      <c r="A200" s="293"/>
      <c r="B200" s="338" t="s">
        <v>93</v>
      </c>
      <c r="C200" s="334"/>
      <c r="D200" s="304"/>
      <c r="E200" s="336"/>
      <c r="F200" s="289" t="s">
        <v>94</v>
      </c>
    </row>
    <row r="201" s="289" customFormat="1" ht="12.75" customHeight="1" spans="1:9">
      <c r="A201" s="293"/>
      <c r="B201" s="339" t="s">
        <v>95</v>
      </c>
      <c r="C201" s="334"/>
      <c r="D201" s="304"/>
      <c r="E201" s="336"/>
    </row>
    <row r="202" ht="12.75" customHeight="1" spans="1:9">
      <c r="A202" s="357"/>
      <c r="B202" s="358"/>
      <c r="C202" s="358"/>
      <c r="D202" s="358"/>
      <c r="E202" s="359"/>
      <c r="F202" s="360"/>
      <c r="G202" s="360"/>
      <c r="H202" s="360"/>
      <c r="I202" s="360"/>
    </row>
    <row r="203" ht="12.75" customHeight="1" spans="1:9">
      <c r="A203" s="297" t="s">
        <v>1</v>
      </c>
      <c r="B203" s="297"/>
      <c r="C203" s="297"/>
      <c r="D203" s="297"/>
      <c r="E203" s="297"/>
      <c r="F203" s="297"/>
      <c r="G203" s="297"/>
      <c r="H203" s="297"/>
      <c r="I203" s="297"/>
    </row>
    <row r="204" ht="12.75" customHeight="1" spans="1:9">
      <c r="A204" s="297" t="s">
        <v>2</v>
      </c>
      <c r="B204" s="297"/>
      <c r="C204" s="297"/>
      <c r="D204" s="297"/>
      <c r="E204" s="297"/>
      <c r="F204" s="297"/>
      <c r="G204" s="297"/>
      <c r="H204" s="297"/>
      <c r="I204" s="297"/>
    </row>
    <row r="205" ht="12.75" customHeight="1" spans="1:9">
      <c r="A205" s="297" t="s">
        <v>3</v>
      </c>
      <c r="B205" s="297"/>
      <c r="C205" s="297"/>
      <c r="D205" s="297"/>
      <c r="E205" s="297"/>
      <c r="F205" s="297"/>
      <c r="G205" s="297"/>
      <c r="H205" s="297"/>
      <c r="I205" s="297"/>
    </row>
    <row r="206" s="291" customFormat="1" ht="16.5" customHeight="1" spans="1:9">
      <c r="A206" s="298" t="s">
        <v>4</v>
      </c>
      <c r="B206" s="298"/>
      <c r="C206" s="298"/>
      <c r="D206" s="298"/>
      <c r="E206" s="298"/>
      <c r="F206" s="298"/>
      <c r="G206" s="298"/>
      <c r="H206" s="298"/>
      <c r="I206" s="298"/>
    </row>
    <row r="207" ht="12.75" customHeight="1" spans="1:9">
      <c r="A207" s="299" t="s">
        <v>5</v>
      </c>
      <c r="B207" s="299"/>
      <c r="C207" s="299"/>
      <c r="D207" s="299"/>
      <c r="E207" s="299"/>
      <c r="F207" s="299"/>
      <c r="G207" s="299"/>
      <c r="H207" s="299"/>
      <c r="I207" s="299"/>
    </row>
    <row r="208" customHeight="1" spans="1:9">
      <c r="A208" s="299"/>
      <c r="B208" s="299"/>
      <c r="C208" s="299"/>
      <c r="D208" s="299"/>
      <c r="E208" s="299"/>
      <c r="F208" s="299"/>
      <c r="G208" s="299"/>
      <c r="H208" s="299"/>
      <c r="I208" s="299"/>
    </row>
    <row r="209" ht="12.75" customHeight="1" spans="1:9">
      <c r="A209" s="299"/>
      <c r="B209" s="299"/>
      <c r="C209" s="299"/>
      <c r="D209" s="299"/>
      <c r="E209" s="299"/>
      <c r="F209" s="299"/>
      <c r="G209" s="299"/>
      <c r="H209" s="299"/>
      <c r="I209" s="299"/>
    </row>
    <row r="210" s="289" customFormat="1" ht="12.75" customHeight="1" spans="1:9">
      <c r="A210" s="300" t="s">
        <v>6</v>
      </c>
      <c r="B210" s="300"/>
      <c r="C210" s="300"/>
      <c r="D210" s="300"/>
      <c r="E210" s="300"/>
      <c r="F210" s="300"/>
      <c r="G210" s="300"/>
      <c r="H210" s="300"/>
      <c r="I210" s="300"/>
    </row>
    <row r="211" s="289" customFormat="1" ht="12.75" customHeight="1" spans="1:9">
      <c r="A211" s="300"/>
      <c r="B211" s="300"/>
      <c r="C211" s="300"/>
      <c r="D211" s="300"/>
      <c r="E211" s="300"/>
      <c r="F211" s="300"/>
      <c r="G211" s="300"/>
      <c r="H211" s="300"/>
      <c r="I211" s="300"/>
    </row>
    <row r="212" s="289" customFormat="1" ht="12.75" customHeight="1" spans="1:9">
      <c r="A212" s="301"/>
      <c r="B212" s="302" t="s">
        <v>2362</v>
      </c>
      <c r="C212" s="303"/>
      <c r="D212" s="304"/>
      <c r="E212" s="305" t="s">
        <v>8</v>
      </c>
      <c r="F212" s="361" t="s">
        <v>2363</v>
      </c>
    </row>
    <row r="213" s="289" customFormat="1" ht="19.5" customHeight="1" spans="1:9">
      <c r="A213" s="307" t="s">
        <v>10</v>
      </c>
      <c r="B213" s="308" t="s">
        <v>11</v>
      </c>
      <c r="C213" s="308" t="s">
        <v>12</v>
      </c>
      <c r="D213" s="362" t="s">
        <v>13</v>
      </c>
      <c r="E213" s="309" t="s">
        <v>14</v>
      </c>
      <c r="F213" s="310"/>
      <c r="G213" s="310"/>
      <c r="H213" s="310"/>
      <c r="I213" s="310"/>
    </row>
    <row r="214" ht="12.75" customHeight="1" spans="1:9">
      <c r="A214" s="314">
        <v>1</v>
      </c>
      <c r="B214" s="276">
        <v>262710139</v>
      </c>
      <c r="C214" s="363" t="s">
        <v>2364</v>
      </c>
      <c r="D214" s="355" t="s">
        <v>2365</v>
      </c>
      <c r="E214" s="364" t="s">
        <v>23</v>
      </c>
      <c r="F214" s="317"/>
      <c r="G214" s="318"/>
      <c r="H214" s="318"/>
      <c r="I214" s="318"/>
    </row>
    <row r="215" s="291" customFormat="1" ht="12.75" customHeight="1" spans="1:9">
      <c r="A215" s="314">
        <v>2</v>
      </c>
      <c r="B215" s="278">
        <f t="shared" ref="B215:B257" si="3">B214+1</f>
        <v>262710140</v>
      </c>
      <c r="C215" s="363" t="s">
        <v>2366</v>
      </c>
      <c r="D215" s="355" t="s">
        <v>2367</v>
      </c>
      <c r="E215" s="364" t="s">
        <v>23</v>
      </c>
      <c r="F215" s="317"/>
      <c r="G215" s="318"/>
      <c r="H215" s="318"/>
      <c r="I215" s="318"/>
    </row>
    <row r="216" ht="12.75" customHeight="1" spans="1:9">
      <c r="A216" s="314">
        <v>3</v>
      </c>
      <c r="B216" s="284">
        <f t="shared" si="3"/>
        <v>262710141</v>
      </c>
      <c r="C216" s="365" t="s">
        <v>2368</v>
      </c>
      <c r="D216" s="355" t="s">
        <v>2369</v>
      </c>
      <c r="E216" s="366" t="s">
        <v>18</v>
      </c>
      <c r="F216" s="317"/>
      <c r="G216" s="318"/>
      <c r="H216" s="318"/>
      <c r="I216" s="318"/>
    </row>
    <row r="217" ht="12.75" customHeight="1" spans="1:9">
      <c r="A217" s="314">
        <v>4</v>
      </c>
      <c r="B217" s="278">
        <f t="shared" si="3"/>
        <v>262710142</v>
      </c>
      <c r="C217" s="363" t="s">
        <v>2370</v>
      </c>
      <c r="D217" s="355" t="s">
        <v>2371</v>
      </c>
      <c r="E217" s="364" t="s">
        <v>18</v>
      </c>
      <c r="F217" s="317"/>
      <c r="G217" s="318"/>
      <c r="H217" s="318"/>
      <c r="I217" s="318"/>
    </row>
    <row r="218" ht="12.75" customHeight="1" spans="1:9">
      <c r="A218" s="314">
        <v>5</v>
      </c>
      <c r="B218" s="278">
        <f t="shared" si="3"/>
        <v>262710143</v>
      </c>
      <c r="C218" s="363" t="s">
        <v>2372</v>
      </c>
      <c r="D218" s="355" t="s">
        <v>2373</v>
      </c>
      <c r="E218" s="364" t="s">
        <v>18</v>
      </c>
      <c r="F218" s="317"/>
      <c r="G218" s="318"/>
      <c r="H218" s="318"/>
      <c r="I218" s="318"/>
    </row>
    <row r="219" ht="12.75" customHeight="1" spans="1:9">
      <c r="A219" s="314">
        <v>6</v>
      </c>
      <c r="B219" s="284">
        <f t="shared" si="3"/>
        <v>262710144</v>
      </c>
      <c r="C219" s="363" t="s">
        <v>2374</v>
      </c>
      <c r="D219" s="355" t="s">
        <v>2375</v>
      </c>
      <c r="E219" s="364" t="s">
        <v>18</v>
      </c>
      <c r="F219" s="317"/>
      <c r="G219" s="318"/>
      <c r="H219" s="318"/>
      <c r="I219" s="318"/>
    </row>
    <row r="220" ht="12.75" customHeight="1" spans="1:9">
      <c r="A220" s="314">
        <v>7</v>
      </c>
      <c r="B220" s="278">
        <f t="shared" si="3"/>
        <v>262710145</v>
      </c>
      <c r="C220" s="367" t="s">
        <v>2376</v>
      </c>
      <c r="D220" s="355" t="s">
        <v>2377</v>
      </c>
      <c r="E220" s="364" t="s">
        <v>23</v>
      </c>
      <c r="F220" s="317"/>
      <c r="G220" s="318"/>
      <c r="H220" s="318"/>
      <c r="I220" s="318"/>
    </row>
    <row r="221" ht="12.75" customHeight="1" spans="1:9">
      <c r="A221" s="314">
        <v>8</v>
      </c>
      <c r="B221" s="278">
        <f t="shared" si="3"/>
        <v>262710146</v>
      </c>
      <c r="C221" s="367" t="s">
        <v>2378</v>
      </c>
      <c r="D221" s="355" t="s">
        <v>2379</v>
      </c>
      <c r="E221" s="364" t="s">
        <v>23</v>
      </c>
      <c r="F221" s="317"/>
      <c r="G221" s="318"/>
      <c r="H221" s="318"/>
      <c r="I221" s="318"/>
    </row>
    <row r="222" ht="12.75" customHeight="1" spans="1:9">
      <c r="A222" s="314">
        <v>9</v>
      </c>
      <c r="B222" s="284">
        <f t="shared" si="3"/>
        <v>262710147</v>
      </c>
      <c r="C222" s="367" t="s">
        <v>2380</v>
      </c>
      <c r="D222" s="355" t="s">
        <v>2381</v>
      </c>
      <c r="E222" s="364" t="s">
        <v>18</v>
      </c>
      <c r="F222" s="317"/>
      <c r="G222" s="318"/>
      <c r="H222" s="318"/>
      <c r="I222" s="318"/>
    </row>
    <row r="223" ht="12.75" customHeight="1" spans="1:9">
      <c r="A223" s="314">
        <v>10</v>
      </c>
      <c r="B223" s="278">
        <f t="shared" si="3"/>
        <v>262710148</v>
      </c>
      <c r="C223" s="365" t="s">
        <v>2382</v>
      </c>
      <c r="D223" s="355" t="s">
        <v>2383</v>
      </c>
      <c r="E223" s="366" t="s">
        <v>18</v>
      </c>
      <c r="F223" s="317"/>
      <c r="G223" s="318"/>
      <c r="H223" s="318"/>
      <c r="I223" s="318"/>
    </row>
    <row r="224" ht="12.75" customHeight="1" spans="1:9">
      <c r="A224" s="314">
        <v>11</v>
      </c>
      <c r="B224" s="278">
        <f t="shared" si="3"/>
        <v>262710149</v>
      </c>
      <c r="C224" s="363" t="s">
        <v>2384</v>
      </c>
      <c r="D224" s="355" t="s">
        <v>2385</v>
      </c>
      <c r="E224" s="364" t="s">
        <v>23</v>
      </c>
      <c r="F224" s="317"/>
      <c r="G224" s="318"/>
      <c r="H224" s="318"/>
      <c r="I224" s="318"/>
    </row>
    <row r="225" ht="12.75" customHeight="1" spans="1:9">
      <c r="A225" s="314">
        <v>12</v>
      </c>
      <c r="B225" s="284">
        <f t="shared" si="3"/>
        <v>262710150</v>
      </c>
      <c r="C225" s="363" t="s">
        <v>2386</v>
      </c>
      <c r="D225" s="355" t="s">
        <v>2387</v>
      </c>
      <c r="E225" s="364" t="s">
        <v>18</v>
      </c>
      <c r="F225" s="317"/>
      <c r="G225" s="318"/>
      <c r="H225" s="318"/>
      <c r="I225" s="318"/>
    </row>
    <row r="226" ht="12.75" customHeight="1" spans="1:9">
      <c r="A226" s="314">
        <v>13</v>
      </c>
      <c r="B226" s="278">
        <f t="shared" si="3"/>
        <v>262710151</v>
      </c>
      <c r="C226" s="363" t="s">
        <v>2388</v>
      </c>
      <c r="D226" s="355" t="s">
        <v>2389</v>
      </c>
      <c r="E226" s="364" t="s">
        <v>23</v>
      </c>
      <c r="F226" s="317"/>
      <c r="G226" s="318"/>
      <c r="H226" s="318"/>
      <c r="I226" s="318"/>
    </row>
    <row r="227" ht="12.75" customHeight="1" spans="1:9">
      <c r="A227" s="314">
        <v>14</v>
      </c>
      <c r="B227" s="278">
        <f t="shared" si="3"/>
        <v>262710152</v>
      </c>
      <c r="C227" s="363" t="s">
        <v>2390</v>
      </c>
      <c r="D227" s="355" t="s">
        <v>2391</v>
      </c>
      <c r="E227" s="364" t="s">
        <v>23</v>
      </c>
      <c r="F227" s="317"/>
      <c r="G227" s="318"/>
      <c r="H227" s="318"/>
      <c r="I227" s="318"/>
    </row>
    <row r="228" ht="12.75" customHeight="1" spans="1:9">
      <c r="A228" s="314">
        <v>15</v>
      </c>
      <c r="B228" s="284">
        <f t="shared" si="3"/>
        <v>262710153</v>
      </c>
      <c r="C228" s="363" t="s">
        <v>2392</v>
      </c>
      <c r="D228" s="355" t="s">
        <v>2393</v>
      </c>
      <c r="E228" s="364" t="s">
        <v>18</v>
      </c>
      <c r="F228" s="317"/>
      <c r="G228" s="318"/>
      <c r="H228" s="318"/>
      <c r="I228" s="318"/>
    </row>
    <row r="229" ht="12.75" customHeight="1" spans="1:9">
      <c r="A229" s="314">
        <v>16</v>
      </c>
      <c r="B229" s="278">
        <f t="shared" si="3"/>
        <v>262710154</v>
      </c>
      <c r="C229" s="363" t="s">
        <v>2394</v>
      </c>
      <c r="D229" s="355" t="s">
        <v>2395</v>
      </c>
      <c r="E229" s="364" t="s">
        <v>18</v>
      </c>
      <c r="F229" s="317"/>
      <c r="G229" s="318"/>
      <c r="H229" s="318"/>
      <c r="I229" s="318"/>
    </row>
    <row r="230" ht="12.75" customHeight="1" spans="1:9">
      <c r="A230" s="314">
        <v>17</v>
      </c>
      <c r="B230" s="278">
        <f t="shared" si="3"/>
        <v>262710155</v>
      </c>
      <c r="C230" s="367" t="s">
        <v>2396</v>
      </c>
      <c r="D230" s="355" t="s">
        <v>2397</v>
      </c>
      <c r="E230" s="364" t="s">
        <v>23</v>
      </c>
      <c r="F230" s="368"/>
      <c r="G230" s="318"/>
      <c r="H230" s="318"/>
      <c r="I230" s="318"/>
    </row>
    <row r="231" ht="12.75" customHeight="1" spans="1:9">
      <c r="A231" s="314">
        <v>18</v>
      </c>
      <c r="B231" s="284">
        <f t="shared" si="3"/>
        <v>262710156</v>
      </c>
      <c r="C231" s="363" t="s">
        <v>2398</v>
      </c>
      <c r="D231" s="355" t="s">
        <v>2399</v>
      </c>
      <c r="E231" s="364" t="s">
        <v>18</v>
      </c>
      <c r="F231" s="317"/>
      <c r="G231" s="318"/>
      <c r="H231" s="318"/>
      <c r="I231" s="318"/>
    </row>
    <row r="232" ht="12.75" customHeight="1" spans="1:9">
      <c r="A232" s="314">
        <v>19</v>
      </c>
      <c r="B232" s="278">
        <f t="shared" si="3"/>
        <v>262710157</v>
      </c>
      <c r="C232" s="363" t="s">
        <v>2400</v>
      </c>
      <c r="D232" s="355" t="s">
        <v>2401</v>
      </c>
      <c r="E232" s="364" t="s">
        <v>18</v>
      </c>
      <c r="F232" s="317"/>
      <c r="G232" s="318"/>
      <c r="H232" s="318"/>
      <c r="I232" s="318"/>
    </row>
    <row r="233" ht="12.75" customHeight="1" spans="1:9">
      <c r="A233" s="314">
        <v>20</v>
      </c>
      <c r="B233" s="278">
        <f t="shared" si="3"/>
        <v>262710158</v>
      </c>
      <c r="C233" s="363" t="s">
        <v>2402</v>
      </c>
      <c r="D233" s="355" t="s">
        <v>2403</v>
      </c>
      <c r="E233" s="364" t="s">
        <v>23</v>
      </c>
      <c r="F233" s="317"/>
      <c r="G233" s="318"/>
      <c r="H233" s="318"/>
      <c r="I233" s="318"/>
    </row>
    <row r="234" ht="12.75" customHeight="1" spans="1:9">
      <c r="A234" s="314">
        <v>21</v>
      </c>
      <c r="B234" s="284">
        <f t="shared" si="3"/>
        <v>262710159</v>
      </c>
      <c r="C234" s="367" t="s">
        <v>2404</v>
      </c>
      <c r="D234" s="355" t="s">
        <v>2405</v>
      </c>
      <c r="E234" s="364" t="s">
        <v>18</v>
      </c>
      <c r="F234" s="317"/>
      <c r="G234" s="318"/>
      <c r="H234" s="318"/>
      <c r="I234" s="318"/>
    </row>
    <row r="235" ht="12.75" customHeight="1" spans="1:9">
      <c r="A235" s="314">
        <v>22</v>
      </c>
      <c r="B235" s="278">
        <f t="shared" si="3"/>
        <v>262710160</v>
      </c>
      <c r="C235" s="367" t="s">
        <v>2406</v>
      </c>
      <c r="D235" s="355" t="s">
        <v>2407</v>
      </c>
      <c r="E235" s="364" t="s">
        <v>23</v>
      </c>
      <c r="F235" s="317"/>
      <c r="G235" s="318"/>
      <c r="H235" s="318"/>
      <c r="I235" s="318"/>
    </row>
    <row r="236" ht="12.75" customHeight="1" spans="1:9">
      <c r="A236" s="314">
        <v>23</v>
      </c>
      <c r="B236" s="278">
        <f t="shared" si="3"/>
        <v>262710161</v>
      </c>
      <c r="C236" s="363" t="s">
        <v>2408</v>
      </c>
      <c r="D236" s="355" t="s">
        <v>2409</v>
      </c>
      <c r="E236" s="364" t="s">
        <v>23</v>
      </c>
      <c r="F236" s="318"/>
      <c r="G236" s="318"/>
      <c r="H236" s="318"/>
      <c r="I236" s="318"/>
    </row>
    <row r="237" ht="12.75" customHeight="1" spans="1:9">
      <c r="A237" s="314">
        <v>24</v>
      </c>
      <c r="B237" s="284">
        <f t="shared" si="3"/>
        <v>262710162</v>
      </c>
      <c r="C237" s="367" t="s">
        <v>2410</v>
      </c>
      <c r="D237" s="355" t="s">
        <v>2411</v>
      </c>
      <c r="E237" s="364" t="s">
        <v>23</v>
      </c>
      <c r="F237" s="317"/>
      <c r="G237" s="318"/>
      <c r="H237" s="318"/>
      <c r="I237" s="318"/>
    </row>
    <row r="238" ht="12.75" customHeight="1" spans="1:9">
      <c r="A238" s="314">
        <v>25</v>
      </c>
      <c r="B238" s="278">
        <f t="shared" si="3"/>
        <v>262710163</v>
      </c>
      <c r="C238" s="363" t="s">
        <v>2412</v>
      </c>
      <c r="D238" s="355" t="s">
        <v>2413</v>
      </c>
      <c r="E238" s="364" t="s">
        <v>23</v>
      </c>
      <c r="F238" s="317"/>
      <c r="G238" s="318"/>
      <c r="H238" s="318"/>
      <c r="I238" s="318"/>
    </row>
    <row r="239" ht="12.75" customHeight="1" spans="1:9">
      <c r="A239" s="314">
        <v>26</v>
      </c>
      <c r="B239" s="278">
        <f t="shared" si="3"/>
        <v>262710164</v>
      </c>
      <c r="C239" s="363" t="s">
        <v>2414</v>
      </c>
      <c r="D239" s="355" t="s">
        <v>2415</v>
      </c>
      <c r="E239" s="364" t="s">
        <v>23</v>
      </c>
      <c r="F239" s="317"/>
      <c r="G239" s="318"/>
      <c r="H239" s="318"/>
      <c r="I239" s="318"/>
    </row>
    <row r="240" ht="12.75" customHeight="1" spans="1:9">
      <c r="A240" s="314">
        <v>27</v>
      </c>
      <c r="B240" s="284">
        <f t="shared" si="3"/>
        <v>262710165</v>
      </c>
      <c r="C240" s="363" t="s">
        <v>2416</v>
      </c>
      <c r="D240" s="355" t="s">
        <v>2417</v>
      </c>
      <c r="E240" s="364" t="s">
        <v>23</v>
      </c>
      <c r="F240" s="317"/>
      <c r="G240" s="318"/>
      <c r="H240" s="318"/>
      <c r="I240" s="318"/>
    </row>
    <row r="241" ht="12.75" customHeight="1" spans="1:9">
      <c r="A241" s="314">
        <v>28</v>
      </c>
      <c r="B241" s="278">
        <f t="shared" si="3"/>
        <v>262710166</v>
      </c>
      <c r="C241" s="363" t="s">
        <v>2418</v>
      </c>
      <c r="D241" s="355" t="s">
        <v>2419</v>
      </c>
      <c r="E241" s="364" t="s">
        <v>18</v>
      </c>
      <c r="F241" s="317"/>
      <c r="G241" s="318"/>
      <c r="H241" s="318"/>
      <c r="I241" s="318"/>
    </row>
    <row r="242" ht="12.75" customHeight="1" spans="1:9">
      <c r="A242" s="314">
        <v>29</v>
      </c>
      <c r="B242" s="278">
        <f t="shared" si="3"/>
        <v>262710167</v>
      </c>
      <c r="C242" s="363" t="s">
        <v>2420</v>
      </c>
      <c r="D242" s="355" t="s">
        <v>2421</v>
      </c>
      <c r="E242" s="364" t="s">
        <v>23</v>
      </c>
      <c r="F242" s="317"/>
      <c r="G242" s="318"/>
      <c r="H242" s="318"/>
      <c r="I242" s="318"/>
    </row>
    <row r="243" ht="12.75" customHeight="1" spans="1:9">
      <c r="A243" s="314">
        <v>30</v>
      </c>
      <c r="B243" s="284">
        <f t="shared" si="3"/>
        <v>262710168</v>
      </c>
      <c r="C243" s="365" t="s">
        <v>2422</v>
      </c>
      <c r="D243" s="355" t="s">
        <v>2423</v>
      </c>
      <c r="E243" s="366" t="s">
        <v>18</v>
      </c>
      <c r="F243" s="317"/>
      <c r="G243" s="318"/>
      <c r="H243" s="318"/>
      <c r="I243" s="318"/>
    </row>
    <row r="244" ht="12.75" customHeight="1" spans="1:9">
      <c r="A244" s="314">
        <v>31</v>
      </c>
      <c r="B244" s="278">
        <f t="shared" si="3"/>
        <v>262710169</v>
      </c>
      <c r="C244" s="363" t="s">
        <v>2424</v>
      </c>
      <c r="D244" s="355" t="s">
        <v>2425</v>
      </c>
      <c r="E244" s="369" t="s">
        <v>23</v>
      </c>
      <c r="F244" s="317"/>
      <c r="G244" s="318"/>
      <c r="H244" s="318"/>
      <c r="I244" s="318"/>
    </row>
    <row r="245" ht="12.75" customHeight="1" spans="1:9">
      <c r="A245" s="314">
        <v>32</v>
      </c>
      <c r="B245" s="278">
        <f t="shared" si="3"/>
        <v>262710170</v>
      </c>
      <c r="C245" s="363" t="s">
        <v>2426</v>
      </c>
      <c r="D245" s="355" t="s">
        <v>2427</v>
      </c>
      <c r="E245" s="364" t="s">
        <v>18</v>
      </c>
      <c r="F245" s="317"/>
      <c r="G245" s="318"/>
      <c r="H245" s="318"/>
      <c r="I245" s="318"/>
    </row>
    <row r="246" ht="12.75" customHeight="1" spans="1:9">
      <c r="A246" s="314">
        <v>33</v>
      </c>
      <c r="B246" s="284">
        <f t="shared" si="3"/>
        <v>262710171</v>
      </c>
      <c r="C246" s="363" t="s">
        <v>2428</v>
      </c>
      <c r="D246" s="355" t="s">
        <v>2429</v>
      </c>
      <c r="E246" s="364" t="s">
        <v>18</v>
      </c>
      <c r="F246" s="317"/>
      <c r="G246" s="318"/>
      <c r="H246" s="318"/>
      <c r="I246" s="318"/>
    </row>
    <row r="247" ht="12.75" customHeight="1" spans="1:9">
      <c r="A247" s="314">
        <v>34</v>
      </c>
      <c r="B247" s="278">
        <f t="shared" si="3"/>
        <v>262710172</v>
      </c>
      <c r="C247" s="363" t="s">
        <v>2430</v>
      </c>
      <c r="D247" s="355" t="s">
        <v>2431</v>
      </c>
      <c r="E247" s="364" t="s">
        <v>23</v>
      </c>
      <c r="F247" s="317"/>
      <c r="G247" s="318"/>
      <c r="H247" s="318"/>
      <c r="I247" s="318"/>
    </row>
    <row r="248" ht="12.75" customHeight="1" spans="1:9">
      <c r="A248" s="314">
        <v>35</v>
      </c>
      <c r="B248" s="278">
        <f t="shared" si="3"/>
        <v>262710173</v>
      </c>
      <c r="C248" s="363" t="s">
        <v>2432</v>
      </c>
      <c r="D248" s="355" t="s">
        <v>2433</v>
      </c>
      <c r="E248" s="364" t="s">
        <v>18</v>
      </c>
      <c r="F248" s="317"/>
      <c r="G248" s="318"/>
      <c r="H248" s="318"/>
      <c r="I248" s="318"/>
    </row>
    <row r="249" ht="12.75" customHeight="1" spans="1:9">
      <c r="A249" s="314">
        <v>36</v>
      </c>
      <c r="B249" s="284">
        <f t="shared" si="3"/>
        <v>262710174</v>
      </c>
      <c r="C249" s="363" t="s">
        <v>2434</v>
      </c>
      <c r="D249" s="355" t="s">
        <v>2435</v>
      </c>
      <c r="E249" s="364" t="s">
        <v>23</v>
      </c>
      <c r="F249" s="326"/>
      <c r="G249" s="327"/>
      <c r="H249" s="327"/>
      <c r="I249" s="327"/>
    </row>
    <row r="250" ht="12.75" customHeight="1" spans="1:9">
      <c r="A250" s="314">
        <v>37</v>
      </c>
      <c r="B250" s="278">
        <f t="shared" si="3"/>
        <v>262710175</v>
      </c>
      <c r="C250" s="363" t="s">
        <v>2436</v>
      </c>
      <c r="D250" s="355" t="s">
        <v>2437</v>
      </c>
      <c r="E250" s="364" t="s">
        <v>18</v>
      </c>
      <c r="F250" s="318"/>
      <c r="G250" s="318"/>
      <c r="H250" s="318"/>
      <c r="I250" s="318"/>
    </row>
    <row r="251" ht="12.75" customHeight="1" spans="1:9">
      <c r="A251" s="314">
        <v>38</v>
      </c>
      <c r="B251" s="278">
        <f t="shared" si="3"/>
        <v>262710176</v>
      </c>
      <c r="C251" s="363" t="s">
        <v>2438</v>
      </c>
      <c r="D251" s="355" t="s">
        <v>2439</v>
      </c>
      <c r="E251" s="364" t="s">
        <v>18</v>
      </c>
      <c r="F251" s="318"/>
      <c r="G251" s="318"/>
      <c r="H251" s="318"/>
      <c r="I251" s="318"/>
    </row>
    <row r="252" ht="12.75" customHeight="1" spans="1:9">
      <c r="A252" s="314">
        <v>39</v>
      </c>
      <c r="B252" s="284">
        <f t="shared" si="3"/>
        <v>262710177</v>
      </c>
      <c r="C252" s="363" t="s">
        <v>2440</v>
      </c>
      <c r="D252" s="355" t="s">
        <v>2441</v>
      </c>
      <c r="E252" s="364" t="s">
        <v>23</v>
      </c>
      <c r="F252" s="318"/>
      <c r="G252" s="318"/>
      <c r="H252" s="318"/>
      <c r="I252" s="318"/>
    </row>
    <row r="253" ht="12.75" customHeight="1" spans="1:9">
      <c r="A253" s="314">
        <v>40</v>
      </c>
      <c r="B253" s="278">
        <f t="shared" si="3"/>
        <v>262710178</v>
      </c>
      <c r="C253" s="363" t="s">
        <v>2442</v>
      </c>
      <c r="D253" s="355" t="s">
        <v>2443</v>
      </c>
      <c r="E253" s="364" t="s">
        <v>18</v>
      </c>
      <c r="F253" s="318"/>
      <c r="G253" s="318"/>
      <c r="H253" s="318"/>
      <c r="I253" s="318"/>
    </row>
    <row r="254" ht="12.75" customHeight="1" spans="1:9">
      <c r="A254" s="314">
        <v>41</v>
      </c>
      <c r="B254" s="278">
        <f t="shared" si="3"/>
        <v>262710179</v>
      </c>
      <c r="C254" s="363" t="s">
        <v>2444</v>
      </c>
      <c r="D254" s="355" t="s">
        <v>2445</v>
      </c>
      <c r="E254" s="364" t="s">
        <v>18</v>
      </c>
      <c r="F254" s="318"/>
      <c r="G254" s="318"/>
      <c r="H254" s="318"/>
      <c r="I254" s="318"/>
    </row>
    <row r="255" ht="12.75" customHeight="1" spans="1:9">
      <c r="A255" s="314">
        <v>42</v>
      </c>
      <c r="B255" s="284">
        <f t="shared" si="3"/>
        <v>262710180</v>
      </c>
      <c r="C255" s="365" t="s">
        <v>2446</v>
      </c>
      <c r="D255" s="355" t="s">
        <v>2447</v>
      </c>
      <c r="E255" s="366" t="s">
        <v>18</v>
      </c>
      <c r="F255" s="318"/>
      <c r="G255" s="318"/>
      <c r="H255" s="318"/>
      <c r="I255" s="318"/>
    </row>
    <row r="256" ht="12.75" customHeight="1" spans="1:9">
      <c r="A256" s="314">
        <v>43</v>
      </c>
      <c r="B256" s="278">
        <f t="shared" si="3"/>
        <v>262710181</v>
      </c>
      <c r="C256" s="363" t="s">
        <v>2448</v>
      </c>
      <c r="D256" s="355" t="s">
        <v>2449</v>
      </c>
      <c r="E256" s="364" t="s">
        <v>18</v>
      </c>
      <c r="F256" s="318"/>
      <c r="G256" s="318"/>
      <c r="H256" s="318"/>
      <c r="I256" s="318"/>
    </row>
    <row r="257" ht="12.75" customHeight="1" spans="1:9">
      <c r="A257" s="314">
        <v>44</v>
      </c>
      <c r="B257" s="278">
        <f t="shared" si="3"/>
        <v>262710182</v>
      </c>
      <c r="C257" s="363" t="s">
        <v>2450</v>
      </c>
      <c r="D257" s="355" t="s">
        <v>2451</v>
      </c>
      <c r="E257" s="364" t="s">
        <v>18</v>
      </c>
      <c r="F257" s="318"/>
      <c r="G257" s="318"/>
      <c r="H257" s="318"/>
      <c r="I257" s="318"/>
    </row>
    <row r="258" s="289" customFormat="1" ht="12.75" customHeight="1" spans="1:9">
      <c r="A258" s="293"/>
      <c r="B258" s="333"/>
      <c r="C258" s="345"/>
      <c r="D258" s="346" t="s">
        <v>89</v>
      </c>
      <c r="E258" s="347">
        <f>COUNTIF(E214:E257,"L")</f>
        <v>20</v>
      </c>
    </row>
    <row r="259" s="289" customFormat="1" ht="12.75" customHeight="1" spans="1:9">
      <c r="A259" s="293"/>
      <c r="B259" s="333"/>
      <c r="C259" s="345"/>
      <c r="D259" s="346" t="s">
        <v>90</v>
      </c>
      <c r="E259" s="347">
        <f>COUNTIF(E214:E257,"P")</f>
        <v>24</v>
      </c>
    </row>
    <row r="260" s="289" customFormat="1" ht="12.75" customHeight="1" spans="1:9">
      <c r="A260" s="293"/>
      <c r="B260" s="334"/>
      <c r="C260" s="334"/>
      <c r="D260" s="304"/>
      <c r="E260" s="336"/>
    </row>
    <row r="261" s="289" customFormat="1" ht="12.75" customHeight="1" spans="1:9">
      <c r="A261" s="293"/>
      <c r="B261" s="334" t="s">
        <v>91</v>
      </c>
      <c r="C261" s="334"/>
      <c r="D261" s="304"/>
      <c r="E261" s="336"/>
      <c r="F261" s="289" t="s">
        <v>92</v>
      </c>
    </row>
    <row r="262" s="289" customFormat="1" ht="12.75" customHeight="1" spans="1:9">
      <c r="A262" s="293"/>
      <c r="B262" s="334"/>
      <c r="C262" s="334"/>
      <c r="D262" s="304"/>
      <c r="E262" s="336"/>
    </row>
    <row r="263" s="289" customFormat="1" ht="12.75" customHeight="1" spans="1:9">
      <c r="A263" s="293"/>
      <c r="B263" s="334"/>
      <c r="C263" s="334"/>
      <c r="D263" s="304"/>
      <c r="E263" s="336"/>
    </row>
    <row r="264" s="289" customFormat="1" ht="12.75" customHeight="1" spans="1:9">
      <c r="A264" s="293"/>
      <c r="B264" s="334"/>
      <c r="C264" s="334"/>
      <c r="D264" s="304"/>
      <c r="E264" s="336"/>
    </row>
    <row r="265" s="289" customFormat="1" ht="12.75" customHeight="1" spans="1:9">
      <c r="A265" s="293"/>
      <c r="B265" s="338" t="s">
        <v>93</v>
      </c>
      <c r="C265" s="334"/>
      <c r="D265" s="304"/>
      <c r="E265" s="336"/>
      <c r="F265" s="289" t="s">
        <v>94</v>
      </c>
    </row>
    <row r="266" s="289" customFormat="1" ht="12.75" customHeight="1" spans="1:9">
      <c r="A266" s="293"/>
      <c r="B266" s="339" t="s">
        <v>95</v>
      </c>
      <c r="C266" s="334"/>
      <c r="D266" s="304"/>
      <c r="E266" s="336"/>
    </row>
    <row r="267" ht="12.75" customHeight="1" spans="1:9">
      <c r="B267" s="348"/>
    </row>
    <row r="268" ht="12.75" customHeight="1" spans="1:9">
      <c r="A268" s="357"/>
      <c r="B268" s="358"/>
      <c r="C268" s="358"/>
      <c r="D268" s="358"/>
      <c r="E268" s="359"/>
      <c r="F268" s="360"/>
      <c r="G268" s="360"/>
      <c r="H268" s="360"/>
      <c r="I268" s="360"/>
    </row>
    <row r="269" ht="12.75" customHeight="1" spans="1:9">
      <c r="A269" s="357"/>
      <c r="B269" s="358"/>
      <c r="C269" s="358"/>
      <c r="D269" s="358"/>
      <c r="E269" s="359"/>
      <c r="F269" s="360"/>
      <c r="G269" s="360"/>
      <c r="H269" s="360"/>
      <c r="I269" s="360"/>
    </row>
    <row r="270" ht="12.75" customHeight="1" spans="1:9">
      <c r="A270" s="297" t="s">
        <v>1</v>
      </c>
      <c r="B270" s="297"/>
      <c r="C270" s="297"/>
      <c r="D270" s="297"/>
      <c r="E270" s="297"/>
      <c r="F270" s="297"/>
      <c r="G270" s="297"/>
      <c r="H270" s="297"/>
      <c r="I270" s="297"/>
    </row>
    <row r="271" ht="12.75" customHeight="1" spans="1:9">
      <c r="A271" s="297" t="s">
        <v>2</v>
      </c>
      <c r="B271" s="297"/>
      <c r="C271" s="297"/>
      <c r="D271" s="297"/>
      <c r="E271" s="297"/>
      <c r="F271" s="297"/>
      <c r="G271" s="297"/>
      <c r="H271" s="297"/>
      <c r="I271" s="297"/>
    </row>
    <row r="272" ht="12.75" customHeight="1" spans="1:9">
      <c r="A272" s="297" t="s">
        <v>3</v>
      </c>
      <c r="B272" s="297"/>
      <c r="C272" s="297"/>
      <c r="D272" s="297"/>
      <c r="E272" s="297"/>
      <c r="F272" s="297"/>
      <c r="G272" s="297"/>
      <c r="H272" s="297"/>
      <c r="I272" s="297"/>
    </row>
    <row r="273" s="291" customFormat="1" ht="16.5" customHeight="1" spans="1:9">
      <c r="A273" s="298" t="s">
        <v>4</v>
      </c>
      <c r="B273" s="298"/>
      <c r="C273" s="298"/>
      <c r="D273" s="298"/>
      <c r="E273" s="298"/>
      <c r="F273" s="298"/>
      <c r="G273" s="298"/>
      <c r="H273" s="298"/>
      <c r="I273" s="298"/>
    </row>
    <row r="274" ht="12.75" customHeight="1" spans="1:9">
      <c r="A274" s="299" t="s">
        <v>5</v>
      </c>
      <c r="B274" s="299"/>
      <c r="C274" s="299"/>
      <c r="D274" s="299"/>
      <c r="E274" s="299"/>
      <c r="F274" s="299"/>
      <c r="G274" s="299"/>
      <c r="H274" s="299"/>
      <c r="I274" s="299"/>
    </row>
    <row r="275" customHeight="1" spans="1:9">
      <c r="A275" s="299"/>
      <c r="B275" s="299"/>
      <c r="C275" s="299"/>
      <c r="D275" s="299"/>
      <c r="E275" s="299"/>
      <c r="F275" s="299"/>
      <c r="G275" s="299"/>
      <c r="H275" s="299"/>
      <c r="I275" s="299"/>
    </row>
    <row r="276" ht="12.75" customHeight="1" spans="1:9">
      <c r="A276" s="299"/>
      <c r="B276" s="299"/>
      <c r="C276" s="299"/>
      <c r="D276" s="299"/>
      <c r="E276" s="299"/>
      <c r="F276" s="299"/>
      <c r="G276" s="299"/>
      <c r="H276" s="299"/>
      <c r="I276" s="299"/>
    </row>
    <row r="277" s="289" customFormat="1" ht="12.75" customHeight="1" spans="1:9">
      <c r="A277" s="300" t="s">
        <v>6</v>
      </c>
      <c r="B277" s="300"/>
      <c r="C277" s="300"/>
      <c r="D277" s="300"/>
      <c r="E277" s="300"/>
      <c r="F277" s="300"/>
      <c r="G277" s="300"/>
      <c r="H277" s="300"/>
      <c r="I277" s="300"/>
    </row>
    <row r="278" s="289" customFormat="1" ht="12.75" customHeight="1" spans="1:9">
      <c r="A278" s="300"/>
      <c r="B278" s="300"/>
      <c r="C278" s="300"/>
      <c r="D278" s="300"/>
      <c r="E278" s="300"/>
      <c r="F278" s="300"/>
      <c r="G278" s="300"/>
      <c r="H278" s="300"/>
      <c r="I278" s="300"/>
    </row>
    <row r="279" s="289" customFormat="1" ht="12.75" customHeight="1" spans="1:9">
      <c r="A279" s="301"/>
      <c r="B279" s="302" t="s">
        <v>2452</v>
      </c>
      <c r="C279" s="303"/>
      <c r="D279" s="353" t="s">
        <v>8</v>
      </c>
      <c r="E279" s="370" t="s">
        <v>2453</v>
      </c>
    </row>
    <row r="280" s="289" customFormat="1" ht="19.5" customHeight="1" spans="1:9">
      <c r="A280" s="307" t="s">
        <v>10</v>
      </c>
      <c r="B280" s="308" t="s">
        <v>11</v>
      </c>
      <c r="C280" s="308" t="s">
        <v>12</v>
      </c>
      <c r="D280" s="308" t="s">
        <v>13</v>
      </c>
      <c r="E280" s="309" t="s">
        <v>14</v>
      </c>
      <c r="F280" s="310"/>
      <c r="G280" s="310"/>
      <c r="H280" s="310"/>
      <c r="I280" s="310"/>
    </row>
    <row r="281" ht="12.75" customHeight="1" spans="1:9">
      <c r="A281" s="314">
        <v>1</v>
      </c>
      <c r="B281" s="278">
        <v>262710183</v>
      </c>
      <c r="C281" s="371" t="s">
        <v>2454</v>
      </c>
      <c r="D281" s="355" t="s">
        <v>2455</v>
      </c>
      <c r="E281" s="341" t="s">
        <v>23</v>
      </c>
      <c r="F281" s="317"/>
      <c r="G281" s="318"/>
      <c r="H281" s="318"/>
      <c r="I281" s="318"/>
    </row>
    <row r="282" s="291" customFormat="1" ht="12.75" customHeight="1" spans="1:9">
      <c r="A282" s="314">
        <v>2</v>
      </c>
      <c r="B282" s="276">
        <f t="shared" ref="B282:B325" si="4">B281+1</f>
        <v>262710184</v>
      </c>
      <c r="C282" s="371" t="s">
        <v>2456</v>
      </c>
      <c r="D282" s="355" t="s">
        <v>2457</v>
      </c>
      <c r="E282" s="341" t="s">
        <v>23</v>
      </c>
      <c r="F282" s="317"/>
      <c r="G282" s="318"/>
      <c r="H282" s="318"/>
      <c r="I282" s="318"/>
    </row>
    <row r="283" ht="12.75" customHeight="1" spans="1:9">
      <c r="A283" s="314">
        <v>3</v>
      </c>
      <c r="B283" s="278">
        <f t="shared" si="4"/>
        <v>262710185</v>
      </c>
      <c r="C283" s="371" t="s">
        <v>2458</v>
      </c>
      <c r="D283" s="355" t="s">
        <v>2459</v>
      </c>
      <c r="E283" s="341" t="s">
        <v>18</v>
      </c>
      <c r="F283" s="317"/>
      <c r="G283" s="318"/>
      <c r="H283" s="318"/>
      <c r="I283" s="318"/>
    </row>
    <row r="284" ht="12.75" customHeight="1" spans="1:9">
      <c r="A284" s="314">
        <v>4</v>
      </c>
      <c r="B284" s="276">
        <f t="shared" si="4"/>
        <v>262710186</v>
      </c>
      <c r="C284" s="356" t="s">
        <v>2460</v>
      </c>
      <c r="D284" s="355" t="s">
        <v>2461</v>
      </c>
      <c r="E284" s="341" t="s">
        <v>23</v>
      </c>
      <c r="F284" s="317"/>
      <c r="G284" s="318"/>
      <c r="H284" s="318"/>
      <c r="I284" s="318"/>
    </row>
    <row r="285" ht="12.75" customHeight="1" spans="1:9">
      <c r="A285" s="314">
        <v>5</v>
      </c>
      <c r="B285" s="276">
        <f t="shared" si="4"/>
        <v>262710187</v>
      </c>
      <c r="C285" s="371" t="s">
        <v>2462</v>
      </c>
      <c r="D285" s="355" t="s">
        <v>2463</v>
      </c>
      <c r="E285" s="341" t="s">
        <v>18</v>
      </c>
      <c r="F285" s="317"/>
      <c r="G285" s="318"/>
      <c r="H285" s="318"/>
      <c r="I285" s="318"/>
    </row>
    <row r="286" ht="12.75" customHeight="1" spans="1:9">
      <c r="A286" s="314">
        <v>6</v>
      </c>
      <c r="B286" s="278">
        <f t="shared" si="4"/>
        <v>262710188</v>
      </c>
      <c r="C286" s="371" t="s">
        <v>2464</v>
      </c>
      <c r="D286" s="355" t="s">
        <v>2465</v>
      </c>
      <c r="E286" s="341" t="s">
        <v>18</v>
      </c>
      <c r="F286" s="317"/>
      <c r="G286" s="318"/>
      <c r="H286" s="318"/>
      <c r="I286" s="318"/>
    </row>
    <row r="287" ht="12.75" customHeight="1" spans="1:9">
      <c r="A287" s="314">
        <v>7</v>
      </c>
      <c r="B287" s="276">
        <f t="shared" si="4"/>
        <v>262710189</v>
      </c>
      <c r="C287" s="371" t="s">
        <v>2466</v>
      </c>
      <c r="D287" s="355" t="s">
        <v>2467</v>
      </c>
      <c r="E287" s="341" t="s">
        <v>18</v>
      </c>
      <c r="F287" s="317"/>
      <c r="G287" s="318"/>
      <c r="H287" s="318"/>
      <c r="I287" s="318"/>
    </row>
    <row r="288" ht="12.75" customHeight="1" spans="1:9">
      <c r="A288" s="314">
        <v>8</v>
      </c>
      <c r="B288" s="276">
        <f t="shared" si="4"/>
        <v>262710190</v>
      </c>
      <c r="C288" s="371" t="s">
        <v>2468</v>
      </c>
      <c r="D288" s="355" t="s">
        <v>2469</v>
      </c>
      <c r="E288" s="341" t="s">
        <v>18</v>
      </c>
      <c r="F288" s="317"/>
      <c r="G288" s="318"/>
      <c r="H288" s="318"/>
      <c r="I288" s="318"/>
    </row>
    <row r="289" ht="12.75" customHeight="1" spans="1:9">
      <c r="A289" s="314">
        <v>9</v>
      </c>
      <c r="B289" s="278">
        <f t="shared" si="4"/>
        <v>262710191</v>
      </c>
      <c r="C289" s="371" t="s">
        <v>2470</v>
      </c>
      <c r="D289" s="355" t="s">
        <v>2471</v>
      </c>
      <c r="E289" s="341" t="s">
        <v>23</v>
      </c>
      <c r="F289" s="317"/>
      <c r="G289" s="318"/>
      <c r="H289" s="318"/>
      <c r="I289" s="318"/>
    </row>
    <row r="290" ht="12.75" customHeight="1" spans="1:9">
      <c r="A290" s="314">
        <v>10</v>
      </c>
      <c r="B290" s="276">
        <f t="shared" si="4"/>
        <v>262710192</v>
      </c>
      <c r="C290" s="371" t="s">
        <v>2472</v>
      </c>
      <c r="D290" s="355" t="s">
        <v>2473</v>
      </c>
      <c r="E290" s="341" t="s">
        <v>23</v>
      </c>
      <c r="F290" s="317"/>
      <c r="G290" s="318"/>
      <c r="H290" s="318"/>
      <c r="I290" s="318"/>
    </row>
    <row r="291" ht="12.75" customHeight="1" spans="1:9">
      <c r="A291" s="314">
        <v>11</v>
      </c>
      <c r="B291" s="276">
        <f t="shared" si="4"/>
        <v>262710193</v>
      </c>
      <c r="C291" s="371" t="s">
        <v>2474</v>
      </c>
      <c r="D291" s="355" t="s">
        <v>2475</v>
      </c>
      <c r="E291" s="341" t="s">
        <v>18</v>
      </c>
      <c r="F291" s="317"/>
      <c r="G291" s="318"/>
      <c r="H291" s="318"/>
      <c r="I291" s="318"/>
    </row>
    <row r="292" ht="12.75" customHeight="1" spans="1:9">
      <c r="A292" s="314">
        <v>12</v>
      </c>
      <c r="B292" s="278">
        <f t="shared" si="4"/>
        <v>262710194</v>
      </c>
      <c r="C292" s="329" t="s">
        <v>2476</v>
      </c>
      <c r="D292" s="355" t="s">
        <v>2477</v>
      </c>
      <c r="E292" s="314" t="s">
        <v>23</v>
      </c>
      <c r="F292" s="317"/>
      <c r="G292" s="318"/>
      <c r="H292" s="318"/>
      <c r="I292" s="318"/>
    </row>
    <row r="293" ht="12.75" customHeight="1" spans="1:9">
      <c r="A293" s="314">
        <v>13</v>
      </c>
      <c r="B293" s="276">
        <f t="shared" si="4"/>
        <v>262710195</v>
      </c>
      <c r="C293" s="329" t="s">
        <v>2478</v>
      </c>
      <c r="D293" s="355" t="s">
        <v>2479</v>
      </c>
      <c r="E293" s="314" t="s">
        <v>18</v>
      </c>
      <c r="F293" s="317"/>
      <c r="G293" s="318"/>
      <c r="H293" s="318"/>
      <c r="I293" s="318"/>
    </row>
    <row r="294" ht="12.75" customHeight="1" spans="1:9">
      <c r="A294" s="314">
        <v>14</v>
      </c>
      <c r="B294" s="276">
        <f t="shared" si="4"/>
        <v>262710196</v>
      </c>
      <c r="C294" s="356" t="s">
        <v>2480</v>
      </c>
      <c r="D294" s="355" t="s">
        <v>2481</v>
      </c>
      <c r="E294" s="341" t="s">
        <v>18</v>
      </c>
      <c r="F294" s="317"/>
      <c r="G294" s="318"/>
      <c r="H294" s="318"/>
      <c r="I294" s="318"/>
    </row>
    <row r="295" ht="12.75" customHeight="1" spans="1:9">
      <c r="A295" s="314">
        <v>15</v>
      </c>
      <c r="B295" s="278">
        <f t="shared" si="4"/>
        <v>262710197</v>
      </c>
      <c r="C295" s="371" t="s">
        <v>2482</v>
      </c>
      <c r="D295" s="355" t="s">
        <v>2483</v>
      </c>
      <c r="E295" s="341" t="s">
        <v>23</v>
      </c>
      <c r="F295" s="317"/>
      <c r="G295" s="318"/>
      <c r="H295" s="318"/>
      <c r="I295" s="318"/>
    </row>
    <row r="296" ht="12.75" customHeight="1" spans="1:9">
      <c r="A296" s="314">
        <v>16</v>
      </c>
      <c r="B296" s="276">
        <f t="shared" si="4"/>
        <v>262710198</v>
      </c>
      <c r="C296" s="356" t="s">
        <v>2484</v>
      </c>
      <c r="D296" s="355" t="s">
        <v>2485</v>
      </c>
      <c r="E296" s="341" t="s">
        <v>23</v>
      </c>
      <c r="F296" s="317"/>
      <c r="G296" s="318"/>
      <c r="H296" s="318"/>
      <c r="I296" s="318"/>
    </row>
    <row r="297" ht="12.75" customHeight="1" spans="1:9">
      <c r="A297" s="314">
        <v>17</v>
      </c>
      <c r="B297" s="276">
        <f t="shared" si="4"/>
        <v>262710199</v>
      </c>
      <c r="C297" s="371" t="s">
        <v>2486</v>
      </c>
      <c r="D297" s="355" t="s">
        <v>2487</v>
      </c>
      <c r="E297" s="341" t="s">
        <v>18</v>
      </c>
      <c r="F297" s="317"/>
      <c r="G297" s="318"/>
      <c r="H297" s="318"/>
      <c r="I297" s="318"/>
    </row>
    <row r="298" ht="12.75" customHeight="1" spans="1:9">
      <c r="A298" s="314">
        <v>18</v>
      </c>
      <c r="B298" s="278">
        <f t="shared" si="4"/>
        <v>262710200</v>
      </c>
      <c r="C298" s="356" t="s">
        <v>2488</v>
      </c>
      <c r="D298" s="355" t="s">
        <v>2489</v>
      </c>
      <c r="E298" s="341" t="s">
        <v>18</v>
      </c>
      <c r="F298" s="317"/>
      <c r="G298" s="318"/>
      <c r="H298" s="318"/>
      <c r="I298" s="318"/>
    </row>
    <row r="299" ht="12.75" customHeight="1" spans="1:9">
      <c r="A299" s="314">
        <v>19</v>
      </c>
      <c r="B299" s="276">
        <f t="shared" si="4"/>
        <v>262710201</v>
      </c>
      <c r="C299" s="371" t="s">
        <v>2490</v>
      </c>
      <c r="D299" s="355" t="s">
        <v>2491</v>
      </c>
      <c r="E299" s="341" t="s">
        <v>18</v>
      </c>
      <c r="F299" s="317"/>
      <c r="G299" s="318"/>
      <c r="H299" s="318"/>
      <c r="I299" s="318"/>
    </row>
    <row r="300" ht="12.75" customHeight="1" spans="1:9">
      <c r="A300" s="314">
        <v>20</v>
      </c>
      <c r="B300" s="276">
        <f t="shared" si="4"/>
        <v>262710202</v>
      </c>
      <c r="C300" s="371" t="s">
        <v>2492</v>
      </c>
      <c r="D300" s="355" t="s">
        <v>2493</v>
      </c>
      <c r="E300" s="341" t="s">
        <v>18</v>
      </c>
      <c r="F300" s="317"/>
      <c r="G300" s="318"/>
      <c r="H300" s="318"/>
      <c r="I300" s="318"/>
    </row>
    <row r="301" ht="12.75" customHeight="1" spans="1:9">
      <c r="A301" s="314">
        <v>21</v>
      </c>
      <c r="B301" s="278">
        <f t="shared" si="4"/>
        <v>262710203</v>
      </c>
      <c r="C301" s="371" t="s">
        <v>2494</v>
      </c>
      <c r="D301" s="355" t="s">
        <v>2495</v>
      </c>
      <c r="E301" s="341" t="s">
        <v>18</v>
      </c>
      <c r="F301" s="317"/>
      <c r="G301" s="318"/>
      <c r="H301" s="318"/>
      <c r="I301" s="318"/>
    </row>
    <row r="302" ht="12.75" customHeight="1" spans="1:9">
      <c r="A302" s="314">
        <v>22</v>
      </c>
      <c r="B302" s="276">
        <f t="shared" si="4"/>
        <v>262710204</v>
      </c>
      <c r="C302" s="371" t="s">
        <v>2496</v>
      </c>
      <c r="D302" s="355" t="s">
        <v>2497</v>
      </c>
      <c r="E302" s="341" t="s">
        <v>23</v>
      </c>
      <c r="F302" s="317"/>
      <c r="G302" s="318"/>
      <c r="H302" s="318"/>
      <c r="I302" s="318"/>
    </row>
    <row r="303" ht="12.75" customHeight="1" spans="1:9">
      <c r="A303" s="314">
        <v>23</v>
      </c>
      <c r="B303" s="276">
        <f t="shared" si="4"/>
        <v>262710205</v>
      </c>
      <c r="C303" s="371" t="s">
        <v>2498</v>
      </c>
      <c r="D303" s="355" t="s">
        <v>2499</v>
      </c>
      <c r="E303" s="341" t="s">
        <v>18</v>
      </c>
      <c r="F303" s="317"/>
      <c r="G303" s="318"/>
      <c r="H303" s="318"/>
      <c r="I303" s="318"/>
    </row>
    <row r="304" ht="12.75" customHeight="1" spans="1:9">
      <c r="A304" s="314">
        <v>24</v>
      </c>
      <c r="B304" s="278">
        <f t="shared" si="4"/>
        <v>262710206</v>
      </c>
      <c r="C304" s="371" t="s">
        <v>2500</v>
      </c>
      <c r="D304" s="355" t="s">
        <v>2501</v>
      </c>
      <c r="E304" s="341" t="s">
        <v>23</v>
      </c>
      <c r="F304" s="317"/>
      <c r="G304" s="318"/>
      <c r="H304" s="318"/>
      <c r="I304" s="318"/>
    </row>
    <row r="305" ht="12.75" customHeight="1" spans="1:9">
      <c r="A305" s="314">
        <v>25</v>
      </c>
      <c r="B305" s="276">
        <f t="shared" si="4"/>
        <v>262710207</v>
      </c>
      <c r="C305" s="329" t="s">
        <v>2502</v>
      </c>
      <c r="D305" s="355" t="s">
        <v>2503</v>
      </c>
      <c r="E305" s="314" t="s">
        <v>23</v>
      </c>
      <c r="F305" s="317"/>
      <c r="G305" s="318"/>
      <c r="H305" s="318"/>
      <c r="I305" s="318"/>
    </row>
    <row r="306" ht="12.75" customHeight="1" spans="1:9">
      <c r="A306" s="314">
        <v>26</v>
      </c>
      <c r="B306" s="276">
        <f t="shared" si="4"/>
        <v>262710208</v>
      </c>
      <c r="C306" s="371" t="s">
        <v>2504</v>
      </c>
      <c r="D306" s="355" t="s">
        <v>2505</v>
      </c>
      <c r="E306" s="341" t="s">
        <v>23</v>
      </c>
      <c r="F306" s="317"/>
      <c r="G306" s="318"/>
      <c r="H306" s="318"/>
      <c r="I306" s="318"/>
    </row>
    <row r="307" ht="12.75" customHeight="1" spans="1:9">
      <c r="A307" s="314">
        <v>27</v>
      </c>
      <c r="B307" s="278">
        <f t="shared" si="4"/>
        <v>262710209</v>
      </c>
      <c r="C307" s="371" t="s">
        <v>2506</v>
      </c>
      <c r="D307" s="355" t="s">
        <v>2507</v>
      </c>
      <c r="E307" s="341" t="s">
        <v>23</v>
      </c>
      <c r="F307" s="317"/>
      <c r="G307" s="318"/>
      <c r="H307" s="318"/>
      <c r="I307" s="318"/>
    </row>
    <row r="308" ht="12.75" customHeight="1" spans="1:9">
      <c r="A308" s="314">
        <v>28</v>
      </c>
      <c r="B308" s="276">
        <f t="shared" si="4"/>
        <v>262710210</v>
      </c>
      <c r="C308" s="371" t="s">
        <v>2508</v>
      </c>
      <c r="D308" s="355" t="s">
        <v>2509</v>
      </c>
      <c r="E308" s="341" t="s">
        <v>23</v>
      </c>
      <c r="F308" s="317"/>
      <c r="G308" s="318"/>
      <c r="H308" s="318"/>
      <c r="I308" s="318"/>
    </row>
    <row r="309" ht="12.75" customHeight="1" spans="1:9">
      <c r="A309" s="314">
        <v>29</v>
      </c>
      <c r="B309" s="276">
        <f t="shared" si="4"/>
        <v>262710211</v>
      </c>
      <c r="C309" s="371" t="s">
        <v>2510</v>
      </c>
      <c r="D309" s="355" t="s">
        <v>2511</v>
      </c>
      <c r="E309" s="341" t="s">
        <v>18</v>
      </c>
      <c r="F309" s="317"/>
      <c r="G309" s="318"/>
      <c r="H309" s="318"/>
      <c r="I309" s="318"/>
    </row>
    <row r="310" ht="12.75" customHeight="1" spans="1:9">
      <c r="A310" s="314">
        <v>30</v>
      </c>
      <c r="B310" s="278">
        <f t="shared" si="4"/>
        <v>262710212</v>
      </c>
      <c r="C310" s="356" t="s">
        <v>2512</v>
      </c>
      <c r="D310" s="355" t="s">
        <v>2513</v>
      </c>
      <c r="E310" s="341" t="s">
        <v>18</v>
      </c>
      <c r="F310" s="317"/>
      <c r="G310" s="318"/>
      <c r="H310" s="318"/>
      <c r="I310" s="318"/>
    </row>
    <row r="311" ht="12.75" customHeight="1" spans="1:9">
      <c r="A311" s="314">
        <v>31</v>
      </c>
      <c r="B311" s="276">
        <f t="shared" si="4"/>
        <v>262710213</v>
      </c>
      <c r="C311" s="310" t="s">
        <v>2514</v>
      </c>
      <c r="D311" s="355" t="s">
        <v>2515</v>
      </c>
      <c r="E311" s="341" t="s">
        <v>23</v>
      </c>
      <c r="F311" s="317"/>
      <c r="G311" s="318"/>
      <c r="H311" s="318"/>
      <c r="I311" s="318"/>
    </row>
    <row r="312" ht="12.75" customHeight="1" spans="1:9">
      <c r="A312" s="314">
        <v>32</v>
      </c>
      <c r="B312" s="276">
        <f t="shared" si="4"/>
        <v>262710214</v>
      </c>
      <c r="C312" s="371" t="s">
        <v>2516</v>
      </c>
      <c r="D312" s="355" t="s">
        <v>2517</v>
      </c>
      <c r="E312" s="341" t="s">
        <v>23</v>
      </c>
      <c r="F312" s="318"/>
      <c r="G312" s="318"/>
      <c r="H312" s="318"/>
      <c r="I312" s="318"/>
    </row>
    <row r="313" ht="12.75" customHeight="1" spans="1:9">
      <c r="A313" s="314">
        <v>33</v>
      </c>
      <c r="B313" s="278">
        <f t="shared" si="4"/>
        <v>262710215</v>
      </c>
      <c r="C313" s="371" t="s">
        <v>2518</v>
      </c>
      <c r="D313" s="355" t="s">
        <v>2519</v>
      </c>
      <c r="E313" s="341" t="s">
        <v>23</v>
      </c>
      <c r="F313" s="317"/>
      <c r="G313" s="318"/>
      <c r="H313" s="318"/>
      <c r="I313" s="318"/>
    </row>
    <row r="314" ht="12.75" customHeight="1" spans="1:9">
      <c r="A314" s="314">
        <v>34</v>
      </c>
      <c r="B314" s="276">
        <f t="shared" si="4"/>
        <v>262710216</v>
      </c>
      <c r="C314" s="371" t="s">
        <v>2520</v>
      </c>
      <c r="D314" s="355" t="s">
        <v>2521</v>
      </c>
      <c r="E314" s="341" t="s">
        <v>18</v>
      </c>
      <c r="F314" s="317"/>
      <c r="G314" s="318"/>
      <c r="H314" s="318"/>
      <c r="I314" s="318"/>
    </row>
    <row r="315" ht="12.75" customHeight="1" spans="1:9">
      <c r="A315" s="314">
        <v>35</v>
      </c>
      <c r="B315" s="276">
        <f t="shared" si="4"/>
        <v>262710217</v>
      </c>
      <c r="C315" s="371" t="s">
        <v>2522</v>
      </c>
      <c r="D315" s="355" t="s">
        <v>2523</v>
      </c>
      <c r="E315" s="341" t="s">
        <v>18</v>
      </c>
      <c r="F315" s="326"/>
      <c r="G315" s="327"/>
      <c r="H315" s="327"/>
      <c r="I315" s="327"/>
    </row>
    <row r="316" ht="12.75" customHeight="1" spans="1:9">
      <c r="A316" s="314">
        <v>36</v>
      </c>
      <c r="B316" s="278">
        <f t="shared" si="4"/>
        <v>262710218</v>
      </c>
      <c r="C316" s="371" t="s">
        <v>2524</v>
      </c>
      <c r="D316" s="355" t="s">
        <v>2525</v>
      </c>
      <c r="E316" s="341" t="s">
        <v>18</v>
      </c>
      <c r="F316" s="318"/>
      <c r="G316" s="318"/>
      <c r="H316" s="318"/>
      <c r="I316" s="318"/>
    </row>
    <row r="317" ht="12.75" customHeight="1" spans="1:9">
      <c r="A317" s="314">
        <v>37</v>
      </c>
      <c r="B317" s="276">
        <f t="shared" si="4"/>
        <v>262710219</v>
      </c>
      <c r="C317" s="371" t="s">
        <v>2526</v>
      </c>
      <c r="D317" s="355" t="s">
        <v>2527</v>
      </c>
      <c r="E317" s="341" t="s">
        <v>23</v>
      </c>
      <c r="F317" s="318"/>
      <c r="G317" s="318"/>
      <c r="H317" s="318"/>
      <c r="I317" s="318"/>
    </row>
    <row r="318" ht="12.75" customHeight="1" spans="1:9">
      <c r="A318" s="314">
        <v>38</v>
      </c>
      <c r="B318" s="276">
        <f t="shared" si="4"/>
        <v>262710220</v>
      </c>
      <c r="C318" s="371" t="s">
        <v>2528</v>
      </c>
      <c r="D318" s="355" t="s">
        <v>2529</v>
      </c>
      <c r="E318" s="341" t="s">
        <v>18</v>
      </c>
      <c r="F318" s="318"/>
      <c r="G318" s="318"/>
      <c r="H318" s="318"/>
      <c r="I318" s="318"/>
    </row>
    <row r="319" ht="12.75" customHeight="1" spans="1:9">
      <c r="A319" s="314">
        <v>39</v>
      </c>
      <c r="B319" s="278">
        <f t="shared" si="4"/>
        <v>262710221</v>
      </c>
      <c r="C319" s="371" t="s">
        <v>2530</v>
      </c>
      <c r="D319" s="355" t="s">
        <v>2531</v>
      </c>
      <c r="E319" s="341" t="s">
        <v>18</v>
      </c>
      <c r="F319" s="318"/>
      <c r="G319" s="318"/>
      <c r="H319" s="318"/>
      <c r="I319" s="318"/>
    </row>
    <row r="320" ht="12.75" customHeight="1" spans="1:9">
      <c r="A320" s="314">
        <v>40</v>
      </c>
      <c r="B320" s="276">
        <f t="shared" si="4"/>
        <v>262710222</v>
      </c>
      <c r="C320" s="371" t="s">
        <v>2532</v>
      </c>
      <c r="D320" s="355" t="s">
        <v>2533</v>
      </c>
      <c r="E320" s="341" t="s">
        <v>18</v>
      </c>
      <c r="F320" s="318"/>
      <c r="G320" s="318"/>
      <c r="H320" s="318"/>
      <c r="I320" s="318"/>
    </row>
    <row r="321" ht="12.75" customHeight="1" spans="1:9">
      <c r="A321" s="314">
        <v>41</v>
      </c>
      <c r="B321" s="276">
        <f t="shared" si="4"/>
        <v>262710223</v>
      </c>
      <c r="C321" s="356" t="s">
        <v>2534</v>
      </c>
      <c r="D321" s="355" t="s">
        <v>2535</v>
      </c>
      <c r="E321" s="341" t="s">
        <v>18</v>
      </c>
      <c r="F321" s="318"/>
      <c r="G321" s="318"/>
      <c r="H321" s="318"/>
      <c r="I321" s="318"/>
    </row>
    <row r="322" ht="12.75" customHeight="1" spans="1:9">
      <c r="A322" s="314">
        <v>42</v>
      </c>
      <c r="B322" s="278">
        <f t="shared" si="4"/>
        <v>262710224</v>
      </c>
      <c r="C322" s="371" t="s">
        <v>2536</v>
      </c>
      <c r="D322" s="355" t="s">
        <v>2537</v>
      </c>
      <c r="E322" s="341" t="s">
        <v>23</v>
      </c>
      <c r="F322" s="318"/>
      <c r="G322" s="318"/>
      <c r="H322" s="318"/>
      <c r="I322" s="318"/>
    </row>
    <row r="323" ht="12.75" customHeight="1" spans="1:9">
      <c r="A323" s="314">
        <v>43</v>
      </c>
      <c r="B323" s="276">
        <f t="shared" si="4"/>
        <v>262710225</v>
      </c>
      <c r="C323" s="371" t="s">
        <v>2538</v>
      </c>
      <c r="D323" s="355" t="s">
        <v>2539</v>
      </c>
      <c r="E323" s="341" t="s">
        <v>18</v>
      </c>
      <c r="F323" s="318"/>
      <c r="G323" s="318"/>
      <c r="H323" s="318"/>
      <c r="I323" s="318"/>
    </row>
    <row r="324" ht="12.75" customHeight="1" spans="1:9">
      <c r="A324" s="314">
        <v>44</v>
      </c>
      <c r="B324" s="276">
        <f t="shared" si="4"/>
        <v>262710226</v>
      </c>
      <c r="C324" s="371" t="s">
        <v>2540</v>
      </c>
      <c r="D324" s="355" t="s">
        <v>2541</v>
      </c>
      <c r="E324" s="341" t="s">
        <v>18</v>
      </c>
      <c r="F324" s="318"/>
      <c r="G324" s="318"/>
      <c r="H324" s="318"/>
      <c r="I324" s="318"/>
    </row>
    <row r="325" ht="12.75" customHeight="1" spans="1:9">
      <c r="A325" s="314">
        <v>45</v>
      </c>
      <c r="B325" s="278">
        <f t="shared" si="4"/>
        <v>262710227</v>
      </c>
      <c r="C325" s="356" t="s">
        <v>2542</v>
      </c>
      <c r="D325" s="355" t="s">
        <v>2543</v>
      </c>
      <c r="E325" s="341" t="s">
        <v>18</v>
      </c>
      <c r="F325" s="318"/>
      <c r="G325" s="318"/>
      <c r="H325" s="318"/>
      <c r="I325" s="318"/>
    </row>
    <row r="326" s="289" customFormat="1" ht="12.75" customHeight="1" spans="1:9">
      <c r="A326" s="293"/>
      <c r="B326" s="333"/>
      <c r="C326" s="345"/>
      <c r="D326" s="346" t="s">
        <v>89</v>
      </c>
      <c r="E326" s="347">
        <f>COUNTIF(E281:E325,"L")</f>
        <v>19</v>
      </c>
    </row>
    <row r="327" s="289" customFormat="1" ht="12.75" customHeight="1" spans="1:9">
      <c r="A327" s="293"/>
      <c r="B327" s="333"/>
      <c r="C327" s="345"/>
      <c r="D327" s="346" t="s">
        <v>90</v>
      </c>
      <c r="E327" s="347">
        <f>COUNTIF(E281:E325,"P")</f>
        <v>26</v>
      </c>
    </row>
    <row r="328" s="289" customFormat="1" ht="12.75" customHeight="1" spans="1:9">
      <c r="A328" s="293"/>
      <c r="B328" s="334"/>
      <c r="C328" s="334"/>
      <c r="D328" s="304"/>
      <c r="E328" s="336"/>
    </row>
    <row r="329" s="289" customFormat="1" ht="12.75" customHeight="1" spans="1:9">
      <c r="A329" s="293"/>
      <c r="B329" s="334" t="s">
        <v>91</v>
      </c>
      <c r="C329" s="334"/>
      <c r="D329" s="304"/>
      <c r="E329" s="336"/>
      <c r="F329" s="289" t="s">
        <v>92</v>
      </c>
    </row>
    <row r="330" s="289" customFormat="1" ht="12.75" customHeight="1" spans="1:9">
      <c r="A330" s="293"/>
      <c r="B330" s="334"/>
      <c r="C330" s="334"/>
      <c r="D330" s="304"/>
      <c r="E330" s="336"/>
    </row>
    <row r="331" s="289" customFormat="1" ht="12.75" customHeight="1" spans="1:9">
      <c r="A331" s="293"/>
      <c r="B331" s="334"/>
      <c r="C331" s="334"/>
      <c r="D331" s="304"/>
      <c r="E331" s="336"/>
    </row>
    <row r="332" s="289" customFormat="1" ht="12.75" customHeight="1" spans="1:9">
      <c r="A332" s="293"/>
      <c r="B332" s="334"/>
      <c r="C332" s="334"/>
      <c r="D332" s="304"/>
      <c r="E332" s="336"/>
    </row>
    <row r="333" s="289" customFormat="1" ht="12.75" customHeight="1" spans="1:9">
      <c r="A333" s="293"/>
      <c r="B333" s="338" t="s">
        <v>93</v>
      </c>
      <c r="C333" s="334"/>
      <c r="D333" s="304"/>
      <c r="E333" s="336"/>
      <c r="F333" s="289" t="s">
        <v>94</v>
      </c>
    </row>
    <row r="334" s="289" customFormat="1" ht="12.75" customHeight="1" spans="1:9">
      <c r="A334" s="293"/>
      <c r="B334" s="339" t="s">
        <v>95</v>
      </c>
      <c r="C334" s="334"/>
      <c r="D334" s="304"/>
      <c r="E334" s="336"/>
    </row>
    <row r="335" ht="12.75" customHeight="1" spans="1:9">
      <c r="A335" s="357"/>
      <c r="B335" s="358"/>
      <c r="C335" s="358"/>
      <c r="D335" s="358"/>
      <c r="E335" s="359"/>
      <c r="F335" s="360"/>
      <c r="G335" s="360"/>
      <c r="H335" s="360"/>
      <c r="I335" s="360"/>
    </row>
    <row r="336" ht="12.75" customHeight="1" spans="1:9">
      <c r="A336" s="297" t="s">
        <v>1</v>
      </c>
      <c r="B336" s="297"/>
      <c r="C336" s="297"/>
      <c r="D336" s="297"/>
      <c r="E336" s="297"/>
      <c r="F336" s="297"/>
      <c r="G336" s="297"/>
      <c r="H336" s="297"/>
      <c r="I336" s="297"/>
    </row>
    <row r="337" ht="12.75" customHeight="1" spans="1:9">
      <c r="A337" s="297" t="s">
        <v>2</v>
      </c>
      <c r="B337" s="297"/>
      <c r="C337" s="297"/>
      <c r="D337" s="297"/>
      <c r="E337" s="297"/>
      <c r="F337" s="297"/>
      <c r="G337" s="297"/>
      <c r="H337" s="297"/>
      <c r="I337" s="297"/>
    </row>
    <row r="338" ht="12.75" customHeight="1" spans="1:9">
      <c r="A338" s="297" t="s">
        <v>3</v>
      </c>
      <c r="B338" s="297"/>
      <c r="C338" s="297"/>
      <c r="D338" s="297"/>
      <c r="E338" s="297"/>
      <c r="F338" s="297"/>
      <c r="G338" s="297"/>
      <c r="H338" s="297"/>
      <c r="I338" s="297"/>
    </row>
    <row r="339" s="291" customFormat="1" ht="16.5" customHeight="1" spans="1:9">
      <c r="A339" s="298" t="s">
        <v>4</v>
      </c>
      <c r="B339" s="298"/>
      <c r="C339" s="298"/>
      <c r="D339" s="298"/>
      <c r="E339" s="298"/>
      <c r="F339" s="298"/>
      <c r="G339" s="298"/>
      <c r="H339" s="298"/>
      <c r="I339" s="298"/>
    </row>
    <row r="340" ht="12.75" customHeight="1" spans="1:9">
      <c r="A340" s="299" t="s">
        <v>5</v>
      </c>
      <c r="B340" s="299"/>
      <c r="C340" s="299"/>
      <c r="D340" s="299"/>
      <c r="E340" s="299"/>
      <c r="F340" s="299"/>
      <c r="G340" s="299"/>
      <c r="H340" s="299"/>
      <c r="I340" s="299"/>
    </row>
    <row r="341" customHeight="1" spans="1:9">
      <c r="A341" s="299"/>
      <c r="B341" s="299"/>
      <c r="C341" s="299"/>
      <c r="D341" s="299"/>
      <c r="E341" s="299"/>
      <c r="F341" s="299"/>
      <c r="G341" s="299"/>
      <c r="H341" s="299"/>
      <c r="I341" s="299"/>
    </row>
    <row r="342" ht="12.75" customHeight="1" spans="1:9">
      <c r="A342" s="299"/>
      <c r="B342" s="299"/>
      <c r="C342" s="299"/>
      <c r="D342" s="299"/>
      <c r="E342" s="299"/>
      <c r="F342" s="299"/>
      <c r="G342" s="299"/>
      <c r="H342" s="299"/>
      <c r="I342" s="299"/>
    </row>
    <row r="343" s="289" customFormat="1" ht="12.75" customHeight="1" spans="1:9">
      <c r="A343" s="300" t="s">
        <v>6</v>
      </c>
      <c r="B343" s="300"/>
      <c r="C343" s="300"/>
      <c r="D343" s="300"/>
      <c r="E343" s="300"/>
      <c r="F343" s="300"/>
      <c r="G343" s="300"/>
      <c r="H343" s="300"/>
      <c r="I343" s="300"/>
    </row>
    <row r="344" s="289" customFormat="1" ht="12.75" customHeight="1" spans="1:9">
      <c r="A344" s="300"/>
      <c r="B344" s="300"/>
      <c r="C344" s="300"/>
      <c r="D344" s="300"/>
      <c r="E344" s="300"/>
      <c r="F344" s="300"/>
      <c r="G344" s="300"/>
      <c r="H344" s="300"/>
      <c r="I344" s="300"/>
    </row>
    <row r="345" s="289" customFormat="1" ht="12.75" customHeight="1" spans="1:9">
      <c r="A345" s="301"/>
      <c r="B345" s="302" t="s">
        <v>2544</v>
      </c>
      <c r="C345" s="303"/>
      <c r="D345" s="353" t="s">
        <v>8</v>
      </c>
      <c r="E345" s="370" t="s">
        <v>2545</v>
      </c>
    </row>
    <row r="346" s="289" customFormat="1" ht="19.5" customHeight="1" spans="1:9">
      <c r="A346" s="307" t="s">
        <v>10</v>
      </c>
      <c r="B346" s="308" t="s">
        <v>11</v>
      </c>
      <c r="C346" s="308" t="s">
        <v>12</v>
      </c>
      <c r="D346" s="362" t="s">
        <v>13</v>
      </c>
      <c r="E346" s="309" t="s">
        <v>14</v>
      </c>
      <c r="F346" s="310"/>
      <c r="G346" s="310"/>
      <c r="H346" s="310"/>
      <c r="I346" s="310"/>
    </row>
    <row r="347" ht="12.75" customHeight="1" spans="1:9">
      <c r="A347" s="314">
        <v>1</v>
      </c>
      <c r="B347" s="276">
        <v>262710228</v>
      </c>
      <c r="C347" s="372" t="s">
        <v>2546</v>
      </c>
      <c r="D347" s="355" t="s">
        <v>2547</v>
      </c>
      <c r="E347" s="373" t="s">
        <v>23</v>
      </c>
      <c r="F347" s="317"/>
      <c r="G347" s="318"/>
      <c r="H347" s="318"/>
      <c r="I347" s="318"/>
    </row>
    <row r="348" s="291" customFormat="1" ht="12.75" customHeight="1" spans="1:9">
      <c r="A348" s="314">
        <v>2</v>
      </c>
      <c r="B348" s="278">
        <f t="shared" ref="B348:B392" si="5">B347+1</f>
        <v>262710229</v>
      </c>
      <c r="C348" s="372" t="s">
        <v>2548</v>
      </c>
      <c r="D348" s="355" t="s">
        <v>2549</v>
      </c>
      <c r="E348" s="373" t="s">
        <v>23</v>
      </c>
      <c r="F348" s="317"/>
      <c r="G348" s="318"/>
      <c r="H348" s="318"/>
      <c r="I348" s="318"/>
    </row>
    <row r="349" ht="12.75" customHeight="1" spans="1:9">
      <c r="A349" s="314">
        <v>3</v>
      </c>
      <c r="B349" s="276">
        <f t="shared" si="5"/>
        <v>262710230</v>
      </c>
      <c r="C349" s="372" t="s">
        <v>2550</v>
      </c>
      <c r="D349" s="355" t="s">
        <v>2551</v>
      </c>
      <c r="E349" s="373" t="s">
        <v>23</v>
      </c>
      <c r="F349" s="317"/>
      <c r="G349" s="318"/>
      <c r="H349" s="318"/>
      <c r="I349" s="318"/>
    </row>
    <row r="350" ht="12.75" customHeight="1" spans="1:9">
      <c r="A350" s="314">
        <v>4</v>
      </c>
      <c r="B350" s="278">
        <f t="shared" si="5"/>
        <v>262710231</v>
      </c>
      <c r="C350" s="372" t="s">
        <v>2552</v>
      </c>
      <c r="D350" s="355" t="s">
        <v>2553</v>
      </c>
      <c r="E350" s="373" t="s">
        <v>18</v>
      </c>
      <c r="F350" s="317"/>
      <c r="G350" s="318"/>
      <c r="H350" s="318"/>
      <c r="I350" s="318"/>
    </row>
    <row r="351" ht="12.75" customHeight="1" spans="1:9">
      <c r="A351" s="314">
        <v>5</v>
      </c>
      <c r="B351" s="278">
        <f t="shared" si="5"/>
        <v>262710232</v>
      </c>
      <c r="C351" s="372" t="s">
        <v>2554</v>
      </c>
      <c r="D351" s="355" t="s">
        <v>2555</v>
      </c>
      <c r="E351" s="373" t="s">
        <v>18</v>
      </c>
      <c r="F351" s="317"/>
      <c r="G351" s="318"/>
      <c r="H351" s="318"/>
      <c r="I351" s="318"/>
    </row>
    <row r="352" ht="12.75" customHeight="1" spans="1:9">
      <c r="A352" s="314">
        <v>6</v>
      </c>
      <c r="B352" s="276">
        <f t="shared" si="5"/>
        <v>262710233</v>
      </c>
      <c r="C352" s="372" t="s">
        <v>2556</v>
      </c>
      <c r="D352" s="355" t="s">
        <v>2557</v>
      </c>
      <c r="E352" s="373" t="s">
        <v>23</v>
      </c>
      <c r="F352" s="317"/>
      <c r="G352" s="318"/>
      <c r="H352" s="318"/>
      <c r="I352" s="318"/>
    </row>
    <row r="353" ht="12.75" customHeight="1" spans="1:9">
      <c r="A353" s="314">
        <v>7</v>
      </c>
      <c r="B353" s="278">
        <f t="shared" si="5"/>
        <v>262710234</v>
      </c>
      <c r="C353" s="374" t="s">
        <v>2558</v>
      </c>
      <c r="D353" s="355" t="s">
        <v>2559</v>
      </c>
      <c r="E353" s="375" t="s">
        <v>18</v>
      </c>
      <c r="F353" s="317"/>
      <c r="G353" s="318"/>
      <c r="H353" s="318"/>
      <c r="I353" s="318"/>
    </row>
    <row r="354" ht="12.75" customHeight="1" spans="1:9">
      <c r="A354" s="314">
        <v>8</v>
      </c>
      <c r="B354" s="278">
        <f t="shared" si="5"/>
        <v>262710235</v>
      </c>
      <c r="C354" s="372" t="s">
        <v>2560</v>
      </c>
      <c r="D354" s="355" t="s">
        <v>2561</v>
      </c>
      <c r="E354" s="373" t="s">
        <v>18</v>
      </c>
      <c r="F354" s="317"/>
      <c r="G354" s="318"/>
      <c r="H354" s="318"/>
      <c r="I354" s="318"/>
    </row>
    <row r="355" ht="12.75" customHeight="1" spans="1:9">
      <c r="A355" s="314">
        <v>9</v>
      </c>
      <c r="B355" s="276">
        <f t="shared" si="5"/>
        <v>262710236</v>
      </c>
      <c r="C355" s="372" t="s">
        <v>2562</v>
      </c>
      <c r="D355" s="355" t="s">
        <v>2563</v>
      </c>
      <c r="E355" s="373" t="s">
        <v>23</v>
      </c>
      <c r="F355" s="317"/>
      <c r="G355" s="318"/>
      <c r="H355" s="318"/>
      <c r="I355" s="318"/>
    </row>
    <row r="356" ht="12.75" customHeight="1" spans="1:9">
      <c r="A356" s="314">
        <v>10</v>
      </c>
      <c r="B356" s="278">
        <f t="shared" si="5"/>
        <v>262710237</v>
      </c>
      <c r="C356" s="376" t="s">
        <v>2564</v>
      </c>
      <c r="D356" s="355" t="s">
        <v>2565</v>
      </c>
      <c r="E356" s="373" t="s">
        <v>18</v>
      </c>
      <c r="F356" s="317"/>
      <c r="G356" s="318"/>
      <c r="H356" s="318"/>
      <c r="I356" s="318"/>
    </row>
    <row r="357" ht="12.75" customHeight="1" spans="1:9">
      <c r="A357" s="314">
        <v>11</v>
      </c>
      <c r="B357" s="278">
        <f t="shared" si="5"/>
        <v>262710238</v>
      </c>
      <c r="C357" s="374" t="s">
        <v>2566</v>
      </c>
      <c r="D357" s="355" t="s">
        <v>2567</v>
      </c>
      <c r="E357" s="377" t="s">
        <v>23</v>
      </c>
      <c r="F357" s="317"/>
      <c r="G357" s="318"/>
      <c r="H357" s="318"/>
      <c r="I357" s="318"/>
    </row>
    <row r="358" ht="12.75" customHeight="1" spans="1:9">
      <c r="A358" s="314">
        <v>12</v>
      </c>
      <c r="B358" s="276">
        <f t="shared" si="5"/>
        <v>262710239</v>
      </c>
      <c r="C358" s="372" t="s">
        <v>2568</v>
      </c>
      <c r="D358" s="355" t="s">
        <v>2569</v>
      </c>
      <c r="E358" s="373" t="s">
        <v>18</v>
      </c>
      <c r="F358" s="317"/>
      <c r="G358" s="318"/>
      <c r="H358" s="318"/>
      <c r="I358" s="318"/>
    </row>
    <row r="359" ht="12.75" customHeight="1" spans="1:9">
      <c r="A359" s="314">
        <v>13</v>
      </c>
      <c r="B359" s="278">
        <f t="shared" si="5"/>
        <v>262710240</v>
      </c>
      <c r="C359" s="372" t="s">
        <v>2570</v>
      </c>
      <c r="D359" s="355" t="s">
        <v>2571</v>
      </c>
      <c r="E359" s="373" t="s">
        <v>18</v>
      </c>
      <c r="F359" s="317"/>
      <c r="G359" s="318"/>
      <c r="H359" s="318"/>
      <c r="I359" s="318"/>
    </row>
    <row r="360" ht="12.75" customHeight="1" spans="1:9">
      <c r="A360" s="314">
        <v>14</v>
      </c>
      <c r="B360" s="278">
        <f t="shared" si="5"/>
        <v>262710241</v>
      </c>
      <c r="C360" s="372" t="s">
        <v>2572</v>
      </c>
      <c r="D360" s="355" t="s">
        <v>2573</v>
      </c>
      <c r="E360" s="373" t="s">
        <v>18</v>
      </c>
      <c r="F360" s="317"/>
      <c r="G360" s="318"/>
      <c r="H360" s="318"/>
      <c r="I360" s="318"/>
    </row>
    <row r="361" ht="12.75" customHeight="1" spans="1:9">
      <c r="A361" s="314">
        <v>15</v>
      </c>
      <c r="B361" s="276">
        <f t="shared" si="5"/>
        <v>262710242</v>
      </c>
      <c r="C361" s="372" t="s">
        <v>2574</v>
      </c>
      <c r="D361" s="355" t="s">
        <v>2575</v>
      </c>
      <c r="E361" s="373" t="s">
        <v>23</v>
      </c>
      <c r="F361" s="317"/>
      <c r="G361" s="318"/>
      <c r="H361" s="318"/>
      <c r="I361" s="318"/>
    </row>
    <row r="362" ht="12.75" customHeight="1" spans="1:9">
      <c r="A362" s="314">
        <v>16</v>
      </c>
      <c r="B362" s="278">
        <f t="shared" si="5"/>
        <v>262710243</v>
      </c>
      <c r="C362" s="372" t="s">
        <v>2576</v>
      </c>
      <c r="D362" s="355" t="s">
        <v>2577</v>
      </c>
      <c r="E362" s="373" t="s">
        <v>18</v>
      </c>
      <c r="F362" s="317"/>
      <c r="G362" s="318"/>
      <c r="H362" s="318"/>
      <c r="I362" s="318"/>
    </row>
    <row r="363" ht="12.75" customHeight="1" spans="1:9">
      <c r="A363" s="314">
        <v>17</v>
      </c>
      <c r="B363" s="278">
        <f t="shared" si="5"/>
        <v>262710244</v>
      </c>
      <c r="C363" s="372" t="s">
        <v>2578</v>
      </c>
      <c r="D363" s="355" t="s">
        <v>2579</v>
      </c>
      <c r="E363" s="373" t="s">
        <v>18</v>
      </c>
      <c r="F363" s="317"/>
      <c r="G363" s="318"/>
      <c r="H363" s="318"/>
      <c r="I363" s="318"/>
    </row>
    <row r="364" ht="12.75" customHeight="1" spans="1:9">
      <c r="A364" s="314">
        <v>18</v>
      </c>
      <c r="B364" s="276">
        <f t="shared" si="5"/>
        <v>262710245</v>
      </c>
      <c r="C364" s="376" t="s">
        <v>2580</v>
      </c>
      <c r="D364" s="355" t="s">
        <v>2581</v>
      </c>
      <c r="E364" s="373" t="s">
        <v>18</v>
      </c>
      <c r="F364" s="317"/>
      <c r="G364" s="318"/>
      <c r="H364" s="318"/>
      <c r="I364" s="318"/>
    </row>
    <row r="365" ht="12.75" customHeight="1" spans="1:9">
      <c r="A365" s="314">
        <v>19</v>
      </c>
      <c r="B365" s="278">
        <f t="shared" si="5"/>
        <v>262710246</v>
      </c>
      <c r="C365" s="372" t="s">
        <v>2582</v>
      </c>
      <c r="D365" s="355" t="s">
        <v>2583</v>
      </c>
      <c r="E365" s="373" t="s">
        <v>23</v>
      </c>
      <c r="F365" s="317"/>
      <c r="G365" s="318"/>
      <c r="H365" s="318"/>
      <c r="I365" s="318"/>
    </row>
    <row r="366" ht="12.75" customHeight="1" spans="1:9">
      <c r="A366" s="314">
        <v>20</v>
      </c>
      <c r="B366" s="278">
        <f t="shared" si="5"/>
        <v>262710247</v>
      </c>
      <c r="C366" s="372" t="s">
        <v>2584</v>
      </c>
      <c r="D366" s="355" t="s">
        <v>2585</v>
      </c>
      <c r="E366" s="373" t="s">
        <v>18</v>
      </c>
      <c r="F366" s="317"/>
      <c r="G366" s="318"/>
      <c r="H366" s="318"/>
      <c r="I366" s="318"/>
    </row>
    <row r="367" ht="12.75" customHeight="1" spans="1:9">
      <c r="A367" s="314">
        <v>21</v>
      </c>
      <c r="B367" s="276">
        <f t="shared" si="5"/>
        <v>262710248</v>
      </c>
      <c r="C367" s="376" t="s">
        <v>2586</v>
      </c>
      <c r="D367" s="355" t="s">
        <v>2587</v>
      </c>
      <c r="E367" s="373" t="s">
        <v>18</v>
      </c>
      <c r="F367" s="317"/>
      <c r="G367" s="318"/>
      <c r="H367" s="318"/>
      <c r="I367" s="318"/>
    </row>
    <row r="368" ht="12.75" customHeight="1" spans="1:9">
      <c r="A368" s="314">
        <v>22</v>
      </c>
      <c r="B368" s="278">
        <f t="shared" si="5"/>
        <v>262710249</v>
      </c>
      <c r="C368" s="372" t="s">
        <v>2588</v>
      </c>
      <c r="D368" s="355" t="s">
        <v>2589</v>
      </c>
      <c r="E368" s="373" t="s">
        <v>18</v>
      </c>
      <c r="F368" s="317"/>
      <c r="G368" s="318"/>
      <c r="H368" s="318"/>
      <c r="I368" s="318"/>
    </row>
    <row r="369" ht="12.75" customHeight="1" spans="1:9">
      <c r="A369" s="314">
        <v>23</v>
      </c>
      <c r="B369" s="278">
        <f t="shared" si="5"/>
        <v>262710250</v>
      </c>
      <c r="C369" s="372" t="s">
        <v>2590</v>
      </c>
      <c r="D369" s="355" t="s">
        <v>2591</v>
      </c>
      <c r="E369" s="373" t="s">
        <v>23</v>
      </c>
      <c r="F369" s="317"/>
      <c r="G369" s="318"/>
      <c r="H369" s="318"/>
      <c r="I369" s="318"/>
    </row>
    <row r="370" ht="12.75" customHeight="1" spans="1:9">
      <c r="A370" s="314">
        <v>24</v>
      </c>
      <c r="B370" s="276">
        <f t="shared" si="5"/>
        <v>262710251</v>
      </c>
      <c r="C370" s="372" t="s">
        <v>2592</v>
      </c>
      <c r="D370" s="355" t="s">
        <v>2593</v>
      </c>
      <c r="E370" s="373" t="s">
        <v>23</v>
      </c>
      <c r="F370" s="317"/>
      <c r="G370" s="318"/>
      <c r="H370" s="318"/>
      <c r="I370" s="318"/>
    </row>
    <row r="371" ht="12.75" customHeight="1" spans="1:9">
      <c r="A371" s="314">
        <v>25</v>
      </c>
      <c r="B371" s="278">
        <f t="shared" si="5"/>
        <v>262710252</v>
      </c>
      <c r="C371" s="372" t="s">
        <v>2594</v>
      </c>
      <c r="D371" s="355" t="s">
        <v>2595</v>
      </c>
      <c r="E371" s="373" t="s">
        <v>23</v>
      </c>
      <c r="F371" s="317"/>
      <c r="G371" s="318"/>
      <c r="H371" s="318"/>
      <c r="I371" s="318"/>
    </row>
    <row r="372" ht="12.75" customHeight="1" spans="1:9">
      <c r="A372" s="314">
        <v>26</v>
      </c>
      <c r="B372" s="278">
        <f t="shared" si="5"/>
        <v>262710253</v>
      </c>
      <c r="C372" s="372" t="s">
        <v>2596</v>
      </c>
      <c r="D372" s="355" t="s">
        <v>2597</v>
      </c>
      <c r="E372" s="373" t="s">
        <v>23</v>
      </c>
      <c r="F372" s="317"/>
      <c r="G372" s="318"/>
      <c r="H372" s="318"/>
      <c r="I372" s="318"/>
    </row>
    <row r="373" ht="12.75" customHeight="1" spans="1:9">
      <c r="A373" s="314">
        <v>27</v>
      </c>
      <c r="B373" s="276">
        <f t="shared" si="5"/>
        <v>262710254</v>
      </c>
      <c r="C373" s="372" t="s">
        <v>2598</v>
      </c>
      <c r="D373" s="355" t="s">
        <v>2599</v>
      </c>
      <c r="E373" s="373" t="s">
        <v>23</v>
      </c>
      <c r="F373" s="317"/>
      <c r="G373" s="318"/>
      <c r="H373" s="318"/>
      <c r="I373" s="318"/>
    </row>
    <row r="374" ht="12.75" customHeight="1" spans="1:9">
      <c r="A374" s="314">
        <v>28</v>
      </c>
      <c r="B374" s="278">
        <f t="shared" si="5"/>
        <v>262710255</v>
      </c>
      <c r="C374" s="372" t="s">
        <v>2600</v>
      </c>
      <c r="D374" s="355" t="s">
        <v>2601</v>
      </c>
      <c r="E374" s="373" t="s">
        <v>23</v>
      </c>
      <c r="F374" s="317"/>
      <c r="G374" s="318"/>
      <c r="H374" s="318"/>
      <c r="I374" s="318"/>
    </row>
    <row r="375" ht="12.75" customHeight="1" spans="1:9">
      <c r="A375" s="314">
        <v>29</v>
      </c>
      <c r="B375" s="278">
        <f t="shared" si="5"/>
        <v>262710256</v>
      </c>
      <c r="C375" s="372" t="s">
        <v>2602</v>
      </c>
      <c r="D375" s="355" t="s">
        <v>2603</v>
      </c>
      <c r="E375" s="373" t="s">
        <v>23</v>
      </c>
      <c r="F375" s="317"/>
      <c r="G375" s="318"/>
      <c r="H375" s="318"/>
      <c r="I375" s="318"/>
    </row>
    <row r="376" ht="12.75" customHeight="1" spans="1:9">
      <c r="A376" s="314">
        <v>30</v>
      </c>
      <c r="B376" s="276">
        <f t="shared" si="5"/>
        <v>262710257</v>
      </c>
      <c r="C376" s="372" t="s">
        <v>2604</v>
      </c>
      <c r="D376" s="355" t="s">
        <v>2605</v>
      </c>
      <c r="E376" s="378" t="s">
        <v>18</v>
      </c>
      <c r="F376" s="317"/>
      <c r="G376" s="318"/>
      <c r="H376" s="318"/>
      <c r="I376" s="318"/>
    </row>
    <row r="377" ht="12.75" customHeight="1" spans="1:9">
      <c r="A377" s="314">
        <v>31</v>
      </c>
      <c r="B377" s="278">
        <f t="shared" si="5"/>
        <v>262710258</v>
      </c>
      <c r="C377" s="372" t="s">
        <v>2606</v>
      </c>
      <c r="D377" s="355" t="s">
        <v>2607</v>
      </c>
      <c r="E377" s="373" t="s">
        <v>18</v>
      </c>
      <c r="F377" s="317"/>
      <c r="G377" s="318"/>
      <c r="H377" s="318"/>
      <c r="I377" s="318"/>
    </row>
    <row r="378" ht="12.75" customHeight="1" spans="1:9">
      <c r="A378" s="314">
        <v>32</v>
      </c>
      <c r="B378" s="278">
        <f t="shared" si="5"/>
        <v>262710259</v>
      </c>
      <c r="C378" s="372" t="s">
        <v>2608</v>
      </c>
      <c r="D378" s="355" t="s">
        <v>2609</v>
      </c>
      <c r="E378" s="373" t="s">
        <v>18</v>
      </c>
      <c r="F378" s="317"/>
      <c r="G378" s="318"/>
      <c r="H378" s="318"/>
      <c r="I378" s="318"/>
    </row>
    <row r="379" ht="12.75" customHeight="1" spans="1:9">
      <c r="A379" s="314">
        <v>33</v>
      </c>
      <c r="B379" s="276">
        <f t="shared" si="5"/>
        <v>262710260</v>
      </c>
      <c r="C379" s="372" t="s">
        <v>2610</v>
      </c>
      <c r="D379" s="355" t="s">
        <v>2611</v>
      </c>
      <c r="E379" s="373" t="s">
        <v>23</v>
      </c>
      <c r="F379" s="317"/>
      <c r="G379" s="318"/>
      <c r="H379" s="318"/>
      <c r="I379" s="318"/>
    </row>
    <row r="380" ht="12.75" customHeight="1" spans="1:9">
      <c r="A380" s="314">
        <v>34</v>
      </c>
      <c r="B380" s="278">
        <f t="shared" si="5"/>
        <v>262710261</v>
      </c>
      <c r="C380" s="372" t="s">
        <v>2612</v>
      </c>
      <c r="D380" s="355" t="s">
        <v>2613</v>
      </c>
      <c r="E380" s="373" t="s">
        <v>23</v>
      </c>
      <c r="F380" s="317"/>
      <c r="G380" s="318"/>
      <c r="H380" s="318"/>
      <c r="I380" s="318"/>
    </row>
    <row r="381" ht="12.75" customHeight="1" spans="1:9">
      <c r="A381" s="314">
        <v>35</v>
      </c>
      <c r="B381" s="278">
        <f t="shared" si="5"/>
        <v>262710262</v>
      </c>
      <c r="C381" s="372" t="s">
        <v>2614</v>
      </c>
      <c r="D381" s="355" t="s">
        <v>2615</v>
      </c>
      <c r="E381" s="373" t="s">
        <v>18</v>
      </c>
      <c r="F381" s="326"/>
      <c r="G381" s="327"/>
      <c r="H381" s="327"/>
      <c r="I381" s="327"/>
    </row>
    <row r="382" ht="12.75" customHeight="1" spans="1:9">
      <c r="A382" s="314">
        <v>36</v>
      </c>
      <c r="B382" s="276">
        <f t="shared" si="5"/>
        <v>262710263</v>
      </c>
      <c r="C382" s="372" t="s">
        <v>2616</v>
      </c>
      <c r="D382" s="355" t="s">
        <v>2617</v>
      </c>
      <c r="E382" s="373" t="s">
        <v>23</v>
      </c>
      <c r="F382" s="318"/>
      <c r="G382" s="318"/>
      <c r="H382" s="318"/>
      <c r="I382" s="318"/>
    </row>
    <row r="383" ht="12.75" customHeight="1" spans="1:9">
      <c r="A383" s="314">
        <v>37</v>
      </c>
      <c r="B383" s="278">
        <f t="shared" si="5"/>
        <v>262710264</v>
      </c>
      <c r="C383" s="372" t="s">
        <v>2618</v>
      </c>
      <c r="D383" s="355" t="s">
        <v>2619</v>
      </c>
      <c r="E383" s="373" t="s">
        <v>18</v>
      </c>
      <c r="F383" s="318"/>
      <c r="G383" s="318"/>
      <c r="H383" s="318"/>
      <c r="I383" s="318"/>
    </row>
    <row r="384" ht="12.75" customHeight="1" spans="1:9">
      <c r="A384" s="314">
        <v>38</v>
      </c>
      <c r="B384" s="278">
        <f t="shared" si="5"/>
        <v>262710265</v>
      </c>
      <c r="C384" s="372" t="s">
        <v>2620</v>
      </c>
      <c r="D384" s="355" t="s">
        <v>2621</v>
      </c>
      <c r="E384" s="373" t="s">
        <v>18</v>
      </c>
      <c r="F384" s="318"/>
      <c r="G384" s="318"/>
      <c r="H384" s="318"/>
      <c r="I384" s="318"/>
    </row>
    <row r="385" ht="12.75" customHeight="1" spans="1:9">
      <c r="A385" s="314">
        <v>39</v>
      </c>
      <c r="B385" s="276">
        <f t="shared" si="5"/>
        <v>262710266</v>
      </c>
      <c r="C385" s="372" t="s">
        <v>2622</v>
      </c>
      <c r="D385" s="355" t="s">
        <v>2623</v>
      </c>
      <c r="E385" s="373" t="s">
        <v>23</v>
      </c>
      <c r="F385" s="318"/>
      <c r="G385" s="318"/>
      <c r="H385" s="318"/>
      <c r="I385" s="318"/>
    </row>
    <row r="386" ht="12.75" customHeight="1" spans="1:9">
      <c r="A386" s="314">
        <v>40</v>
      </c>
      <c r="B386" s="278">
        <f t="shared" si="5"/>
        <v>262710267</v>
      </c>
      <c r="C386" s="372" t="s">
        <v>2624</v>
      </c>
      <c r="D386" s="355" t="s">
        <v>2625</v>
      </c>
      <c r="E386" s="373" t="s">
        <v>18</v>
      </c>
      <c r="F386" s="318"/>
      <c r="G386" s="318"/>
      <c r="H386" s="318"/>
      <c r="I386" s="318"/>
    </row>
    <row r="387" ht="12.75" customHeight="1" spans="1:9">
      <c r="A387" s="314">
        <v>41</v>
      </c>
      <c r="B387" s="278">
        <f t="shared" si="5"/>
        <v>262710268</v>
      </c>
      <c r="C387" s="372" t="s">
        <v>2626</v>
      </c>
      <c r="D387" s="355" t="s">
        <v>2627</v>
      </c>
      <c r="E387" s="373" t="s">
        <v>18</v>
      </c>
      <c r="F387" s="318"/>
      <c r="G387" s="318"/>
      <c r="H387" s="318"/>
      <c r="I387" s="318"/>
    </row>
    <row r="388" ht="12.75" customHeight="1" spans="1:9">
      <c r="A388" s="314">
        <v>42</v>
      </c>
      <c r="B388" s="276">
        <f t="shared" si="5"/>
        <v>262710269</v>
      </c>
      <c r="C388" s="374" t="s">
        <v>2628</v>
      </c>
      <c r="D388" s="355" t="s">
        <v>2629</v>
      </c>
      <c r="E388" s="377" t="s">
        <v>18</v>
      </c>
      <c r="F388" s="318"/>
      <c r="G388" s="318"/>
      <c r="H388" s="318"/>
      <c r="I388" s="318"/>
    </row>
    <row r="389" ht="12.75" customHeight="1" spans="1:9">
      <c r="A389" s="314">
        <v>43</v>
      </c>
      <c r="B389" s="278">
        <f t="shared" si="5"/>
        <v>262710270</v>
      </c>
      <c r="C389" s="374" t="s">
        <v>2630</v>
      </c>
      <c r="D389" s="355" t="s">
        <v>2631</v>
      </c>
      <c r="E389" s="377" t="s">
        <v>23</v>
      </c>
      <c r="F389" s="318"/>
      <c r="G389" s="318"/>
      <c r="H389" s="318"/>
      <c r="I389" s="318"/>
    </row>
    <row r="390" ht="12.75" customHeight="1" spans="1:9">
      <c r="A390" s="314">
        <v>44</v>
      </c>
      <c r="B390" s="278">
        <f t="shared" si="5"/>
        <v>262710271</v>
      </c>
      <c r="C390" s="372" t="s">
        <v>2632</v>
      </c>
      <c r="D390" s="355" t="s">
        <v>2633</v>
      </c>
      <c r="E390" s="373" t="s">
        <v>18</v>
      </c>
      <c r="F390" s="318"/>
      <c r="G390" s="318"/>
      <c r="H390" s="318"/>
      <c r="I390" s="318"/>
    </row>
    <row r="391" ht="12.75" customHeight="1" spans="1:9">
      <c r="A391" s="314">
        <v>45</v>
      </c>
      <c r="B391" s="276">
        <f t="shared" si="5"/>
        <v>262710272</v>
      </c>
      <c r="C391" s="372" t="s">
        <v>2634</v>
      </c>
      <c r="D391" s="355" t="s">
        <v>2635</v>
      </c>
      <c r="E391" s="373" t="s">
        <v>18</v>
      </c>
      <c r="F391" s="318"/>
      <c r="G391" s="318"/>
      <c r="H391" s="318"/>
      <c r="I391" s="318"/>
    </row>
    <row r="392" ht="12.75" customHeight="1" spans="1:9">
      <c r="A392" s="314">
        <v>46</v>
      </c>
      <c r="B392" s="278">
        <f t="shared" si="5"/>
        <v>262710273</v>
      </c>
      <c r="C392" s="372" t="s">
        <v>2636</v>
      </c>
      <c r="D392" s="355" t="s">
        <v>2637</v>
      </c>
      <c r="E392" s="373" t="s">
        <v>18</v>
      </c>
      <c r="F392" s="318"/>
      <c r="G392" s="318"/>
      <c r="H392" s="318"/>
      <c r="I392" s="318"/>
    </row>
    <row r="393" s="289" customFormat="1" ht="12.75" customHeight="1" spans="1:9">
      <c r="A393" s="293"/>
      <c r="B393" s="344"/>
      <c r="C393" s="290"/>
      <c r="D393" s="379" t="s">
        <v>1481</v>
      </c>
      <c r="E393" s="347">
        <f>COUNTIF(E347:E392,"L")</f>
        <v>20</v>
      </c>
    </row>
    <row r="394" s="289" customFormat="1" ht="12.75" customHeight="1" spans="1:9">
      <c r="A394" s="293"/>
      <c r="B394" s="333"/>
      <c r="C394" s="345"/>
      <c r="D394" s="346" t="s">
        <v>90</v>
      </c>
      <c r="E394" s="347">
        <f>COUNTIF(E347:E392,"P")</f>
        <v>26</v>
      </c>
    </row>
    <row r="395" s="289" customFormat="1" ht="12.75" customHeight="1" spans="1:9">
      <c r="A395" s="293"/>
      <c r="B395" s="334"/>
      <c r="C395" s="334"/>
      <c r="D395" s="304"/>
      <c r="E395" s="336"/>
    </row>
    <row r="396" s="289" customFormat="1" ht="12.75" customHeight="1" spans="1:9">
      <c r="A396" s="293"/>
      <c r="B396" s="334" t="s">
        <v>91</v>
      </c>
      <c r="C396" s="334"/>
      <c r="D396" s="304"/>
      <c r="E396" s="336"/>
      <c r="F396" s="289" t="s">
        <v>92</v>
      </c>
    </row>
    <row r="397" s="289" customFormat="1" ht="12.75" customHeight="1" spans="1:9">
      <c r="A397" s="293"/>
      <c r="B397" s="334"/>
      <c r="C397" s="334"/>
      <c r="D397" s="304"/>
      <c r="E397" s="336"/>
    </row>
    <row r="398" s="289" customFormat="1" ht="12.75" customHeight="1" spans="1:9">
      <c r="A398" s="293"/>
      <c r="B398" s="334"/>
      <c r="C398" s="334"/>
      <c r="D398" s="304"/>
      <c r="E398" s="336"/>
    </row>
    <row r="399" s="289" customFormat="1" ht="12.75" customHeight="1" spans="1:9">
      <c r="A399" s="293"/>
      <c r="B399" s="334"/>
      <c r="C399" s="334"/>
      <c r="D399" s="304"/>
      <c r="E399" s="336"/>
    </row>
    <row r="400" s="289" customFormat="1" ht="12.75" customHeight="1" spans="1:9">
      <c r="A400" s="293"/>
      <c r="B400" s="338" t="s">
        <v>93</v>
      </c>
      <c r="C400" s="334"/>
      <c r="D400" s="304"/>
      <c r="E400" s="336"/>
      <c r="F400" s="289" t="s">
        <v>94</v>
      </c>
    </row>
    <row r="401" s="289" customFormat="1" ht="12.75" customHeight="1" spans="1:9">
      <c r="A401" s="293"/>
      <c r="B401" s="339" t="s">
        <v>95</v>
      </c>
      <c r="C401" s="334"/>
      <c r="D401" s="304"/>
      <c r="E401" s="336"/>
    </row>
    <row r="402" ht="12.75" customHeight="1" spans="1:9">
      <c r="A402" s="357"/>
      <c r="B402" s="358"/>
      <c r="C402" s="358"/>
      <c r="D402" s="358"/>
      <c r="E402" s="359"/>
      <c r="F402" s="360"/>
      <c r="G402" s="360"/>
      <c r="H402" s="360"/>
      <c r="I402" s="360"/>
    </row>
    <row r="403" ht="12.75" customHeight="1" spans="1:9">
      <c r="A403" s="357"/>
      <c r="B403" s="358"/>
      <c r="C403" s="358"/>
      <c r="D403" s="358"/>
      <c r="E403" s="359"/>
      <c r="F403" s="360"/>
      <c r="G403" s="360"/>
      <c r="H403" s="360"/>
      <c r="I403" s="360"/>
    </row>
    <row r="404" ht="12.75" customHeight="1" spans="1:9">
      <c r="A404" s="297" t="s">
        <v>1</v>
      </c>
      <c r="B404" s="297"/>
      <c r="C404" s="297"/>
      <c r="D404" s="297"/>
      <c r="E404" s="297"/>
      <c r="F404" s="297"/>
      <c r="G404" s="297"/>
      <c r="H404" s="297"/>
      <c r="I404" s="297"/>
    </row>
    <row r="405" ht="12.75" customHeight="1" spans="1:9">
      <c r="A405" s="297" t="s">
        <v>2</v>
      </c>
      <c r="B405" s="297"/>
      <c r="C405" s="297"/>
      <c r="D405" s="297"/>
      <c r="E405" s="297"/>
      <c r="F405" s="297"/>
      <c r="G405" s="297"/>
      <c r="H405" s="297"/>
      <c r="I405" s="297"/>
    </row>
    <row r="406" ht="12.75" customHeight="1" spans="1:9">
      <c r="A406" s="297" t="s">
        <v>3</v>
      </c>
      <c r="B406" s="297"/>
      <c r="C406" s="297"/>
      <c r="D406" s="297"/>
      <c r="E406" s="297"/>
      <c r="F406" s="297"/>
      <c r="G406" s="297"/>
      <c r="H406" s="297"/>
      <c r="I406" s="297"/>
    </row>
    <row r="407" s="291" customFormat="1" ht="16.5" customHeight="1" spans="1:9">
      <c r="A407" s="298" t="s">
        <v>4</v>
      </c>
      <c r="B407" s="298"/>
      <c r="C407" s="298"/>
      <c r="D407" s="298"/>
      <c r="E407" s="298"/>
      <c r="F407" s="298"/>
      <c r="G407" s="298"/>
      <c r="H407" s="298"/>
      <c r="I407" s="298"/>
    </row>
    <row r="408" ht="12.75" customHeight="1" spans="1:9">
      <c r="A408" s="299" t="s">
        <v>5</v>
      </c>
      <c r="B408" s="299"/>
      <c r="C408" s="299"/>
      <c r="D408" s="299"/>
      <c r="E408" s="299"/>
      <c r="F408" s="299"/>
      <c r="G408" s="299"/>
      <c r="H408" s="299"/>
      <c r="I408" s="299"/>
    </row>
    <row r="409" customHeight="1" spans="1:9">
      <c r="A409" s="299"/>
      <c r="B409" s="299"/>
      <c r="C409" s="299"/>
      <c r="D409" s="299"/>
      <c r="E409" s="299"/>
      <c r="F409" s="299"/>
      <c r="G409" s="299"/>
      <c r="H409" s="299"/>
      <c r="I409" s="299"/>
    </row>
    <row r="410" ht="12.75" customHeight="1" spans="1:9">
      <c r="A410" s="299"/>
      <c r="B410" s="299"/>
      <c r="C410" s="299"/>
      <c r="D410" s="299"/>
      <c r="E410" s="299"/>
      <c r="F410" s="299"/>
      <c r="G410" s="299"/>
      <c r="H410" s="299"/>
      <c r="I410" s="299"/>
    </row>
    <row r="411" s="289" customFormat="1" ht="12.75" customHeight="1" spans="1:9">
      <c r="A411" s="300" t="s">
        <v>6</v>
      </c>
      <c r="B411" s="300"/>
      <c r="C411" s="300"/>
      <c r="D411" s="300"/>
      <c r="E411" s="300"/>
      <c r="F411" s="300"/>
      <c r="G411" s="300"/>
      <c r="H411" s="300"/>
      <c r="I411" s="300"/>
    </row>
    <row r="412" s="289" customFormat="1" ht="12.75" customHeight="1" spans="1:9">
      <c r="A412" s="300"/>
      <c r="B412" s="300"/>
      <c r="C412" s="300"/>
      <c r="D412" s="300"/>
      <c r="E412" s="300"/>
      <c r="F412" s="300"/>
      <c r="G412" s="300"/>
      <c r="H412" s="300"/>
      <c r="I412" s="300"/>
    </row>
    <row r="413" s="289" customFormat="1" ht="12.75" customHeight="1" spans="1:9">
      <c r="A413" s="301"/>
      <c r="B413" s="302" t="s">
        <v>2638</v>
      </c>
      <c r="C413" s="303"/>
      <c r="D413" s="353" t="s">
        <v>8</v>
      </c>
      <c r="E413" s="370" t="s">
        <v>2639</v>
      </c>
    </row>
    <row r="414" s="289" customFormat="1" ht="19.5" customHeight="1" spans="1:9">
      <c r="A414" s="307" t="s">
        <v>10</v>
      </c>
      <c r="B414" s="308" t="s">
        <v>11</v>
      </c>
      <c r="C414" s="308" t="s">
        <v>12</v>
      </c>
      <c r="D414" s="308" t="s">
        <v>13</v>
      </c>
      <c r="E414" s="309" t="s">
        <v>14</v>
      </c>
      <c r="F414" s="310"/>
      <c r="G414" s="310"/>
      <c r="H414" s="310"/>
      <c r="I414" s="310"/>
    </row>
    <row r="415" ht="12.75" customHeight="1" spans="1:9">
      <c r="A415" s="314">
        <v>1</v>
      </c>
      <c r="B415" s="278">
        <v>262710274</v>
      </c>
      <c r="C415" s="371" t="s">
        <v>2640</v>
      </c>
      <c r="D415" s="355" t="s">
        <v>2641</v>
      </c>
      <c r="E415" s="341" t="s">
        <v>18</v>
      </c>
      <c r="F415" s="317"/>
      <c r="G415" s="318"/>
      <c r="H415" s="318"/>
      <c r="I415" s="318"/>
    </row>
    <row r="416" s="291" customFormat="1" ht="12.75" customHeight="1" spans="1:9">
      <c r="A416" s="314">
        <v>2</v>
      </c>
      <c r="B416" s="276">
        <f t="shared" ref="B416:B460" si="6">B415+1</f>
        <v>262710275</v>
      </c>
      <c r="C416" s="371" t="s">
        <v>2642</v>
      </c>
      <c r="D416" s="355" t="s">
        <v>2643</v>
      </c>
      <c r="E416" s="341" t="s">
        <v>23</v>
      </c>
      <c r="F416" s="317"/>
      <c r="G416" s="318"/>
      <c r="H416" s="318"/>
      <c r="I416" s="318"/>
    </row>
    <row r="417" ht="12.75" customHeight="1" spans="1:9">
      <c r="A417" s="314">
        <v>3</v>
      </c>
      <c r="B417" s="278">
        <f t="shared" si="6"/>
        <v>262710276</v>
      </c>
      <c r="C417" s="371" t="s">
        <v>2644</v>
      </c>
      <c r="D417" s="355" t="s">
        <v>2645</v>
      </c>
      <c r="E417" s="341" t="s">
        <v>18</v>
      </c>
      <c r="F417" s="317"/>
      <c r="G417" s="318"/>
      <c r="H417" s="318"/>
      <c r="I417" s="318"/>
    </row>
    <row r="418" ht="12.75" customHeight="1" spans="1:9">
      <c r="A418" s="314">
        <v>4</v>
      </c>
      <c r="B418" s="276">
        <f t="shared" si="6"/>
        <v>262710277</v>
      </c>
      <c r="C418" s="371" t="s">
        <v>2646</v>
      </c>
      <c r="D418" s="355" t="s">
        <v>2647</v>
      </c>
      <c r="E418" s="341" t="s">
        <v>18</v>
      </c>
      <c r="F418" s="317"/>
      <c r="G418" s="318"/>
      <c r="H418" s="318"/>
      <c r="I418" s="318"/>
    </row>
    <row r="419" ht="12.75" customHeight="1" spans="1:9">
      <c r="A419" s="314">
        <v>5</v>
      </c>
      <c r="B419" s="276">
        <f t="shared" si="6"/>
        <v>262710278</v>
      </c>
      <c r="C419" s="329" t="s">
        <v>2648</v>
      </c>
      <c r="D419" s="355" t="s">
        <v>2649</v>
      </c>
      <c r="E419" s="314" t="s">
        <v>23</v>
      </c>
      <c r="F419" s="317"/>
      <c r="G419" s="318"/>
      <c r="H419" s="318"/>
      <c r="I419" s="318"/>
    </row>
    <row r="420" ht="12.75" customHeight="1" spans="1:9">
      <c r="A420" s="314">
        <v>6</v>
      </c>
      <c r="B420" s="278">
        <f t="shared" si="6"/>
        <v>262710279</v>
      </c>
      <c r="C420" s="371" t="s">
        <v>2650</v>
      </c>
      <c r="D420" s="355" t="s">
        <v>2651</v>
      </c>
      <c r="E420" s="341" t="s">
        <v>23</v>
      </c>
      <c r="F420" s="317"/>
      <c r="G420" s="318"/>
      <c r="H420" s="318"/>
      <c r="I420" s="318"/>
    </row>
    <row r="421" ht="12.75" customHeight="1" spans="1:9">
      <c r="A421" s="314">
        <v>7</v>
      </c>
      <c r="B421" s="276">
        <f t="shared" si="6"/>
        <v>262710280</v>
      </c>
      <c r="C421" s="371" t="s">
        <v>2652</v>
      </c>
      <c r="D421" s="355" t="s">
        <v>2653</v>
      </c>
      <c r="E421" s="341" t="s">
        <v>18</v>
      </c>
      <c r="F421" s="317"/>
      <c r="G421" s="318"/>
      <c r="H421" s="318"/>
      <c r="I421" s="318"/>
    </row>
    <row r="422" ht="12.75" customHeight="1" spans="1:9">
      <c r="A422" s="314">
        <v>8</v>
      </c>
      <c r="B422" s="276">
        <f t="shared" si="6"/>
        <v>262710281</v>
      </c>
      <c r="C422" s="356" t="s">
        <v>2654</v>
      </c>
      <c r="D422" s="355" t="s">
        <v>2655</v>
      </c>
      <c r="E422" s="341" t="s">
        <v>18</v>
      </c>
      <c r="F422" s="317"/>
      <c r="G422" s="318"/>
      <c r="H422" s="318"/>
      <c r="I422" s="318"/>
    </row>
    <row r="423" ht="12.75" customHeight="1" spans="1:9">
      <c r="A423" s="314">
        <v>9</v>
      </c>
      <c r="B423" s="278">
        <f t="shared" si="6"/>
        <v>262710282</v>
      </c>
      <c r="C423" s="329" t="s">
        <v>2656</v>
      </c>
      <c r="D423" s="355" t="s">
        <v>2657</v>
      </c>
      <c r="E423" s="314" t="s">
        <v>18</v>
      </c>
      <c r="F423" s="317"/>
      <c r="G423" s="318"/>
      <c r="H423" s="318"/>
      <c r="I423" s="318"/>
    </row>
    <row r="424" ht="12.75" customHeight="1" spans="1:9">
      <c r="A424" s="314">
        <v>10</v>
      </c>
      <c r="B424" s="276">
        <f t="shared" si="6"/>
        <v>262710283</v>
      </c>
      <c r="C424" s="356" t="s">
        <v>2658</v>
      </c>
      <c r="D424" s="355" t="s">
        <v>2659</v>
      </c>
      <c r="E424" s="341" t="s">
        <v>23</v>
      </c>
      <c r="F424" s="317"/>
      <c r="G424" s="318"/>
      <c r="H424" s="318"/>
      <c r="I424" s="318"/>
    </row>
    <row r="425" ht="12.75" customHeight="1" spans="1:9">
      <c r="A425" s="314">
        <v>11</v>
      </c>
      <c r="B425" s="276">
        <f t="shared" si="6"/>
        <v>262710284</v>
      </c>
      <c r="C425" s="356" t="s">
        <v>2660</v>
      </c>
      <c r="D425" s="355" t="s">
        <v>2661</v>
      </c>
      <c r="E425" s="341" t="s">
        <v>23</v>
      </c>
      <c r="F425" s="317"/>
      <c r="G425" s="318"/>
      <c r="H425" s="318"/>
      <c r="I425" s="318"/>
    </row>
    <row r="426" ht="12.75" customHeight="1" spans="1:9">
      <c r="A426" s="314">
        <v>12</v>
      </c>
      <c r="B426" s="278">
        <f t="shared" si="6"/>
        <v>262710285</v>
      </c>
      <c r="C426" s="371" t="s">
        <v>2662</v>
      </c>
      <c r="D426" s="355" t="s">
        <v>2663</v>
      </c>
      <c r="E426" s="341" t="s">
        <v>18</v>
      </c>
      <c r="F426" s="317"/>
      <c r="G426" s="318"/>
      <c r="H426" s="318"/>
      <c r="I426" s="318"/>
    </row>
    <row r="427" ht="12.75" customHeight="1" spans="1:9">
      <c r="A427" s="314">
        <v>13</v>
      </c>
      <c r="B427" s="276">
        <f t="shared" si="6"/>
        <v>262710286</v>
      </c>
      <c r="C427" s="371" t="s">
        <v>2664</v>
      </c>
      <c r="D427" s="355" t="s">
        <v>2665</v>
      </c>
      <c r="E427" s="341" t="s">
        <v>18</v>
      </c>
      <c r="F427" s="317"/>
      <c r="G427" s="318"/>
      <c r="H427" s="318"/>
      <c r="I427" s="318"/>
    </row>
    <row r="428" ht="12.75" customHeight="1" spans="1:9">
      <c r="A428" s="314">
        <v>14</v>
      </c>
      <c r="B428" s="276">
        <f t="shared" si="6"/>
        <v>262710287</v>
      </c>
      <c r="C428" s="371" t="s">
        <v>2666</v>
      </c>
      <c r="D428" s="355" t="s">
        <v>2667</v>
      </c>
      <c r="E428" s="341" t="s">
        <v>18</v>
      </c>
      <c r="F428" s="317"/>
      <c r="G428" s="318"/>
      <c r="H428" s="318"/>
      <c r="I428" s="318"/>
    </row>
    <row r="429" ht="12.75" customHeight="1" spans="1:9">
      <c r="A429" s="314">
        <v>15</v>
      </c>
      <c r="B429" s="278">
        <f t="shared" si="6"/>
        <v>262710288</v>
      </c>
      <c r="C429" s="356" t="s">
        <v>2668</v>
      </c>
      <c r="D429" s="355" t="s">
        <v>2669</v>
      </c>
      <c r="E429" s="341" t="s">
        <v>23</v>
      </c>
      <c r="F429" s="317"/>
      <c r="G429" s="318"/>
      <c r="H429" s="318"/>
      <c r="I429" s="318"/>
    </row>
    <row r="430" ht="12.75" customHeight="1" spans="1:9">
      <c r="A430" s="314">
        <v>16</v>
      </c>
      <c r="B430" s="276">
        <f t="shared" si="6"/>
        <v>262710289</v>
      </c>
      <c r="C430" s="371" t="s">
        <v>2670</v>
      </c>
      <c r="D430" s="355" t="s">
        <v>2671</v>
      </c>
      <c r="E430" s="341" t="s">
        <v>23</v>
      </c>
      <c r="F430" s="317"/>
      <c r="G430" s="318"/>
      <c r="H430" s="318"/>
      <c r="I430" s="318"/>
    </row>
    <row r="431" ht="12.75" customHeight="1" spans="1:9">
      <c r="A431" s="314">
        <v>17</v>
      </c>
      <c r="B431" s="276">
        <f t="shared" si="6"/>
        <v>262710290</v>
      </c>
      <c r="C431" s="371" t="s">
        <v>2672</v>
      </c>
      <c r="D431" s="355" t="s">
        <v>2673</v>
      </c>
      <c r="E431" s="341" t="s">
        <v>18</v>
      </c>
      <c r="F431" s="317"/>
      <c r="G431" s="318"/>
      <c r="H431" s="318"/>
      <c r="I431" s="318"/>
    </row>
    <row r="432" ht="12.75" customHeight="1" spans="1:9">
      <c r="A432" s="314">
        <v>18</v>
      </c>
      <c r="B432" s="278">
        <f t="shared" si="6"/>
        <v>262710291</v>
      </c>
      <c r="C432" s="371" t="s">
        <v>2674</v>
      </c>
      <c r="D432" s="355" t="s">
        <v>2675</v>
      </c>
      <c r="E432" s="341" t="s">
        <v>18</v>
      </c>
      <c r="F432" s="317"/>
      <c r="G432" s="318"/>
      <c r="H432" s="318"/>
      <c r="I432" s="318"/>
    </row>
    <row r="433" ht="12.75" customHeight="1" spans="1:9">
      <c r="A433" s="314">
        <v>19</v>
      </c>
      <c r="B433" s="276">
        <f t="shared" si="6"/>
        <v>262710292</v>
      </c>
      <c r="C433" s="371" t="s">
        <v>2676</v>
      </c>
      <c r="D433" s="355" t="s">
        <v>2677</v>
      </c>
      <c r="E433" s="341" t="s">
        <v>18</v>
      </c>
      <c r="F433" s="317"/>
      <c r="G433" s="318"/>
      <c r="H433" s="318"/>
      <c r="I433" s="318"/>
    </row>
    <row r="434" ht="12.75" customHeight="1" spans="1:9">
      <c r="A434" s="314">
        <v>20</v>
      </c>
      <c r="B434" s="276">
        <f t="shared" si="6"/>
        <v>262710293</v>
      </c>
      <c r="C434" s="371" t="s">
        <v>2678</v>
      </c>
      <c r="D434" s="355" t="s">
        <v>2679</v>
      </c>
      <c r="E434" s="341" t="s">
        <v>23</v>
      </c>
      <c r="F434" s="317"/>
      <c r="G434" s="318"/>
      <c r="H434" s="318"/>
      <c r="I434" s="318"/>
    </row>
    <row r="435" ht="12.75" customHeight="1" spans="1:9">
      <c r="A435" s="314">
        <v>21</v>
      </c>
      <c r="B435" s="278">
        <f t="shared" si="6"/>
        <v>262710294</v>
      </c>
      <c r="C435" s="371" t="s">
        <v>2680</v>
      </c>
      <c r="D435" s="355" t="s">
        <v>2681</v>
      </c>
      <c r="E435" s="341" t="s">
        <v>18</v>
      </c>
      <c r="F435" s="317"/>
      <c r="G435" s="318"/>
      <c r="H435" s="318"/>
      <c r="I435" s="318"/>
    </row>
    <row r="436" ht="12.75" customHeight="1" spans="1:9">
      <c r="A436" s="314">
        <v>22</v>
      </c>
      <c r="B436" s="276">
        <f t="shared" si="6"/>
        <v>262710295</v>
      </c>
      <c r="C436" s="329" t="s">
        <v>2682</v>
      </c>
      <c r="D436" s="355" t="s">
        <v>2683</v>
      </c>
      <c r="E436" s="314" t="s">
        <v>18</v>
      </c>
      <c r="F436" s="317"/>
      <c r="G436" s="318"/>
      <c r="H436" s="318"/>
      <c r="I436" s="318"/>
    </row>
    <row r="437" ht="12.75" customHeight="1" spans="1:9">
      <c r="A437" s="314">
        <v>23</v>
      </c>
      <c r="B437" s="276">
        <f t="shared" si="6"/>
        <v>262710296</v>
      </c>
      <c r="C437" s="371" t="s">
        <v>2684</v>
      </c>
      <c r="D437" s="355" t="s">
        <v>2685</v>
      </c>
      <c r="E437" s="341" t="s">
        <v>23</v>
      </c>
      <c r="F437" s="317"/>
      <c r="G437" s="318"/>
      <c r="H437" s="318"/>
      <c r="I437" s="318"/>
    </row>
    <row r="438" ht="12.75" customHeight="1" spans="1:9">
      <c r="A438" s="314">
        <v>24</v>
      </c>
      <c r="B438" s="278">
        <f t="shared" si="6"/>
        <v>262710297</v>
      </c>
      <c r="C438" s="371" t="s">
        <v>2686</v>
      </c>
      <c r="D438" s="355" t="s">
        <v>2687</v>
      </c>
      <c r="E438" s="341" t="s">
        <v>23</v>
      </c>
      <c r="F438" s="317"/>
      <c r="G438" s="318"/>
      <c r="H438" s="318"/>
      <c r="I438" s="318"/>
    </row>
    <row r="439" ht="12.75" customHeight="1" spans="1:9">
      <c r="A439" s="314">
        <v>25</v>
      </c>
      <c r="B439" s="276">
        <f t="shared" si="6"/>
        <v>262710298</v>
      </c>
      <c r="C439" s="371" t="s">
        <v>2688</v>
      </c>
      <c r="D439" s="355" t="s">
        <v>2689</v>
      </c>
      <c r="E439" s="341" t="s">
        <v>23</v>
      </c>
      <c r="F439" s="317"/>
      <c r="G439" s="318"/>
      <c r="H439" s="318"/>
      <c r="I439" s="318"/>
    </row>
    <row r="440" ht="12.75" customHeight="1" spans="1:9">
      <c r="A440" s="314">
        <v>26</v>
      </c>
      <c r="B440" s="276">
        <f t="shared" si="6"/>
        <v>262710299</v>
      </c>
      <c r="C440" s="371" t="s">
        <v>2690</v>
      </c>
      <c r="D440" s="355" t="s">
        <v>2691</v>
      </c>
      <c r="E440" s="341" t="s">
        <v>23</v>
      </c>
      <c r="F440" s="317"/>
      <c r="G440" s="318"/>
      <c r="H440" s="318"/>
      <c r="I440" s="318"/>
    </row>
    <row r="441" ht="12.75" customHeight="1" spans="1:9">
      <c r="A441" s="314">
        <v>27</v>
      </c>
      <c r="B441" s="278">
        <f t="shared" si="6"/>
        <v>262710300</v>
      </c>
      <c r="C441" s="371" t="s">
        <v>2692</v>
      </c>
      <c r="D441" s="355" t="s">
        <v>2693</v>
      </c>
      <c r="E441" s="341" t="s">
        <v>23</v>
      </c>
      <c r="F441" s="317"/>
      <c r="G441" s="318"/>
      <c r="H441" s="318"/>
      <c r="I441" s="318"/>
    </row>
    <row r="442" ht="12.75" customHeight="1" spans="1:9">
      <c r="A442" s="314">
        <v>28</v>
      </c>
      <c r="B442" s="276">
        <f t="shared" si="6"/>
        <v>262710301</v>
      </c>
      <c r="C442" s="371" t="s">
        <v>2694</v>
      </c>
      <c r="D442" s="355" t="s">
        <v>2695</v>
      </c>
      <c r="E442" s="341" t="s">
        <v>23</v>
      </c>
      <c r="F442" s="317"/>
      <c r="G442" s="318"/>
      <c r="H442" s="318"/>
      <c r="I442" s="318"/>
    </row>
    <row r="443" ht="12.75" customHeight="1" spans="1:9">
      <c r="A443" s="314">
        <v>29</v>
      </c>
      <c r="B443" s="276">
        <f t="shared" si="6"/>
        <v>262710302</v>
      </c>
      <c r="C443" s="371" t="s">
        <v>2696</v>
      </c>
      <c r="D443" s="355" t="s">
        <v>2697</v>
      </c>
      <c r="E443" s="341" t="s">
        <v>23</v>
      </c>
      <c r="F443" s="317"/>
      <c r="G443" s="318"/>
      <c r="H443" s="318"/>
      <c r="I443" s="318"/>
    </row>
    <row r="444" ht="12.75" customHeight="1" spans="1:9">
      <c r="A444" s="314">
        <v>30</v>
      </c>
      <c r="B444" s="278">
        <f t="shared" si="6"/>
        <v>262710303</v>
      </c>
      <c r="C444" s="371" t="s">
        <v>2698</v>
      </c>
      <c r="D444" s="355" t="s">
        <v>2699</v>
      </c>
      <c r="E444" s="341" t="s">
        <v>18</v>
      </c>
      <c r="F444" s="317"/>
      <c r="G444" s="318"/>
      <c r="H444" s="318"/>
      <c r="I444" s="318"/>
    </row>
    <row r="445" ht="12.75" customHeight="1" spans="1:9">
      <c r="A445" s="314">
        <v>31</v>
      </c>
      <c r="B445" s="276">
        <f t="shared" si="6"/>
        <v>262710304</v>
      </c>
      <c r="C445" s="371" t="s">
        <v>2700</v>
      </c>
      <c r="D445" s="355" t="s">
        <v>2701</v>
      </c>
      <c r="E445" s="343" t="s">
        <v>18</v>
      </c>
      <c r="F445" s="317"/>
      <c r="G445" s="318"/>
      <c r="H445" s="318"/>
      <c r="I445" s="318"/>
    </row>
    <row r="446" ht="12.75" customHeight="1" spans="1:9">
      <c r="A446" s="314">
        <v>32</v>
      </c>
      <c r="B446" s="276">
        <f t="shared" si="6"/>
        <v>262710305</v>
      </c>
      <c r="C446" s="371" t="s">
        <v>2702</v>
      </c>
      <c r="D446" s="355" t="s">
        <v>2703</v>
      </c>
      <c r="E446" s="343" t="s">
        <v>23</v>
      </c>
      <c r="F446" s="317"/>
      <c r="G446" s="318"/>
      <c r="H446" s="318"/>
      <c r="I446" s="318"/>
    </row>
    <row r="447" ht="12.75" customHeight="1" spans="1:9">
      <c r="A447" s="314">
        <v>33</v>
      </c>
      <c r="B447" s="278">
        <f t="shared" si="6"/>
        <v>262710306</v>
      </c>
      <c r="C447" s="329" t="s">
        <v>2704</v>
      </c>
      <c r="D447" s="355" t="s">
        <v>2705</v>
      </c>
      <c r="E447" s="314" t="s">
        <v>23</v>
      </c>
      <c r="F447" s="317"/>
      <c r="G447" s="318"/>
      <c r="H447" s="318"/>
      <c r="I447" s="318"/>
    </row>
    <row r="448" ht="12.75" customHeight="1" spans="1:9">
      <c r="A448" s="314">
        <v>34</v>
      </c>
      <c r="B448" s="276">
        <f t="shared" si="6"/>
        <v>262710307</v>
      </c>
      <c r="C448" s="371" t="s">
        <v>2706</v>
      </c>
      <c r="D448" s="355" t="s">
        <v>2707</v>
      </c>
      <c r="E448" s="341" t="s">
        <v>18</v>
      </c>
      <c r="F448" s="326"/>
      <c r="G448" s="327"/>
      <c r="H448" s="327"/>
      <c r="I448" s="327"/>
    </row>
    <row r="449" ht="12.75" customHeight="1" spans="1:9">
      <c r="A449" s="314">
        <v>35</v>
      </c>
      <c r="B449" s="276">
        <f t="shared" si="6"/>
        <v>262710308</v>
      </c>
      <c r="C449" s="371" t="s">
        <v>2708</v>
      </c>
      <c r="D449" s="355" t="s">
        <v>2709</v>
      </c>
      <c r="E449" s="341" t="s">
        <v>23</v>
      </c>
      <c r="F449" s="318"/>
      <c r="G449" s="318"/>
      <c r="H449" s="318"/>
      <c r="I449" s="318"/>
    </row>
    <row r="450" ht="12.75" customHeight="1" spans="1:9">
      <c r="A450" s="314">
        <v>36</v>
      </c>
      <c r="B450" s="278">
        <f t="shared" si="6"/>
        <v>262710309</v>
      </c>
      <c r="C450" s="371" t="s">
        <v>2710</v>
      </c>
      <c r="D450" s="355" t="s">
        <v>2711</v>
      </c>
      <c r="E450" s="341" t="s">
        <v>18</v>
      </c>
      <c r="F450" s="318"/>
      <c r="G450" s="318"/>
      <c r="H450" s="318"/>
      <c r="I450" s="318"/>
    </row>
    <row r="451" ht="12.75" customHeight="1" spans="1:9">
      <c r="A451" s="314">
        <v>37</v>
      </c>
      <c r="B451" s="276">
        <f t="shared" si="6"/>
        <v>262710310</v>
      </c>
      <c r="C451" s="371" t="s">
        <v>2712</v>
      </c>
      <c r="D451" s="355" t="s">
        <v>2713</v>
      </c>
      <c r="E451" s="341" t="s">
        <v>18</v>
      </c>
      <c r="F451" s="318"/>
      <c r="G451" s="318"/>
      <c r="H451" s="318"/>
      <c r="I451" s="318"/>
    </row>
    <row r="452" ht="12.75" customHeight="1" spans="1:9">
      <c r="A452" s="314">
        <v>38</v>
      </c>
      <c r="B452" s="276">
        <f t="shared" si="6"/>
        <v>262710311</v>
      </c>
      <c r="C452" s="329" t="s">
        <v>2714</v>
      </c>
      <c r="D452" s="355" t="s">
        <v>2715</v>
      </c>
      <c r="E452" s="314" t="s">
        <v>18</v>
      </c>
      <c r="F452" s="318"/>
      <c r="G452" s="318"/>
      <c r="H452" s="318"/>
      <c r="I452" s="318"/>
    </row>
    <row r="453" ht="12.75" customHeight="1" spans="1:9">
      <c r="A453" s="314">
        <v>39</v>
      </c>
      <c r="B453" s="278">
        <f t="shared" si="6"/>
        <v>262710312</v>
      </c>
      <c r="C453" s="371" t="s">
        <v>2716</v>
      </c>
      <c r="D453" s="355" t="s">
        <v>2717</v>
      </c>
      <c r="E453" s="341" t="s">
        <v>18</v>
      </c>
      <c r="F453" s="318"/>
      <c r="G453" s="318"/>
      <c r="H453" s="318"/>
      <c r="I453" s="318"/>
    </row>
    <row r="454" ht="12.75" customHeight="1" spans="1:9">
      <c r="A454" s="314">
        <v>40</v>
      </c>
      <c r="B454" s="276">
        <f t="shared" si="6"/>
        <v>262710313</v>
      </c>
      <c r="C454" s="371" t="s">
        <v>2718</v>
      </c>
      <c r="D454" s="355" t="s">
        <v>2719</v>
      </c>
      <c r="E454" s="341" t="s">
        <v>18</v>
      </c>
      <c r="F454" s="318"/>
      <c r="G454" s="318"/>
      <c r="H454" s="318"/>
      <c r="I454" s="318"/>
    </row>
    <row r="455" ht="12.75" customHeight="1" spans="1:9">
      <c r="A455" s="314">
        <v>41</v>
      </c>
      <c r="B455" s="276">
        <f t="shared" si="6"/>
        <v>262710314</v>
      </c>
      <c r="C455" s="371" t="s">
        <v>2720</v>
      </c>
      <c r="D455" s="355" t="s">
        <v>2721</v>
      </c>
      <c r="E455" s="341" t="s">
        <v>18</v>
      </c>
      <c r="F455" s="318"/>
      <c r="G455" s="318"/>
      <c r="H455" s="318"/>
      <c r="I455" s="318"/>
    </row>
    <row r="456" ht="12.75" customHeight="1" spans="1:9">
      <c r="A456" s="314">
        <v>42</v>
      </c>
      <c r="B456" s="278">
        <f t="shared" si="6"/>
        <v>262710315</v>
      </c>
      <c r="C456" s="371" t="s">
        <v>2722</v>
      </c>
      <c r="D456" s="355" t="s">
        <v>2723</v>
      </c>
      <c r="E456" s="341" t="s">
        <v>23</v>
      </c>
      <c r="F456" s="318"/>
      <c r="G456" s="318"/>
      <c r="H456" s="318"/>
      <c r="I456" s="318"/>
    </row>
    <row r="457" ht="12.75" customHeight="1" spans="1:9">
      <c r="A457" s="314">
        <v>43</v>
      </c>
      <c r="B457" s="276">
        <f t="shared" si="6"/>
        <v>262710316</v>
      </c>
      <c r="C457" s="371" t="s">
        <v>2724</v>
      </c>
      <c r="D457" s="355" t="s">
        <v>2725</v>
      </c>
      <c r="E457" s="341" t="s">
        <v>18</v>
      </c>
      <c r="F457" s="318"/>
      <c r="G457" s="318"/>
      <c r="H457" s="318"/>
      <c r="I457" s="318"/>
    </row>
    <row r="458" ht="12.75" customHeight="1" spans="1:9">
      <c r="A458" s="314">
        <v>44</v>
      </c>
      <c r="B458" s="276">
        <f t="shared" si="6"/>
        <v>262710317</v>
      </c>
      <c r="C458" s="371" t="s">
        <v>2726</v>
      </c>
      <c r="D458" s="355" t="s">
        <v>2727</v>
      </c>
      <c r="E458" s="341" t="s">
        <v>23</v>
      </c>
      <c r="F458" s="318"/>
      <c r="G458" s="318"/>
      <c r="H458" s="318"/>
      <c r="I458" s="318"/>
    </row>
    <row r="459" ht="12.75" customHeight="1" spans="1:9">
      <c r="A459" s="314">
        <v>45</v>
      </c>
      <c r="B459" s="278">
        <f t="shared" si="6"/>
        <v>262710318</v>
      </c>
      <c r="C459" s="371" t="s">
        <v>2728</v>
      </c>
      <c r="D459" s="355" t="s">
        <v>2729</v>
      </c>
      <c r="E459" s="341" t="s">
        <v>18</v>
      </c>
      <c r="F459" s="318"/>
      <c r="G459" s="318"/>
      <c r="H459" s="318"/>
      <c r="I459" s="318"/>
    </row>
    <row r="460" s="289" customFormat="1" ht="12.75" customHeight="1" spans="1:9">
      <c r="A460" s="314">
        <v>46</v>
      </c>
      <c r="B460" s="380">
        <f t="shared" si="6"/>
        <v>262710319</v>
      </c>
      <c r="C460" s="371" t="s">
        <v>2730</v>
      </c>
      <c r="D460" s="355" t="s">
        <v>2731</v>
      </c>
      <c r="E460" s="341" t="s">
        <v>18</v>
      </c>
      <c r="F460" s="331"/>
      <c r="G460" s="331"/>
      <c r="H460" s="331"/>
      <c r="I460" s="331"/>
    </row>
    <row r="461" s="289" customFormat="1" ht="12.75" customHeight="1" spans="1:9">
      <c r="A461" s="293"/>
      <c r="B461" s="333"/>
      <c r="C461" s="345"/>
      <c r="D461" s="381" t="s">
        <v>89</v>
      </c>
      <c r="E461" s="382">
        <f>COUNTIF(E415:E460,"L")</f>
        <v>20</v>
      </c>
    </row>
    <row r="462" s="289" customFormat="1" ht="12.75" customHeight="1" spans="1:9">
      <c r="A462" s="293"/>
      <c r="B462" s="334"/>
      <c r="C462" s="334"/>
      <c r="D462" s="381" t="s">
        <v>90</v>
      </c>
      <c r="E462" s="382">
        <f>COUNTIF(E415:E460,"P")</f>
        <v>26</v>
      </c>
    </row>
    <row r="463" s="289" customFormat="1" ht="12.75" customHeight="1" spans="1:9">
      <c r="A463" s="293"/>
      <c r="B463" s="334" t="s">
        <v>91</v>
      </c>
      <c r="C463" s="334"/>
      <c r="D463" s="304"/>
      <c r="E463" s="336"/>
      <c r="F463" s="289" t="s">
        <v>92</v>
      </c>
    </row>
    <row r="464" s="289" customFormat="1" ht="12.75" customHeight="1" spans="1:9">
      <c r="A464" s="293"/>
      <c r="B464" s="334"/>
      <c r="C464" s="334"/>
      <c r="D464" s="304"/>
      <c r="E464" s="336"/>
    </row>
    <row r="465" s="289" customFormat="1" ht="12.75" customHeight="1" spans="1:9">
      <c r="A465" s="293"/>
      <c r="B465" s="334"/>
      <c r="C465" s="334"/>
      <c r="D465" s="304"/>
      <c r="E465" s="336"/>
    </row>
    <row r="466" s="289" customFormat="1" ht="12.75" customHeight="1" spans="1:9">
      <c r="A466" s="293"/>
      <c r="B466" s="334"/>
      <c r="C466" s="334"/>
      <c r="D466" s="304"/>
      <c r="E466" s="336"/>
    </row>
    <row r="467" s="289" customFormat="1" ht="12.75" customHeight="1" spans="1:9">
      <c r="A467" s="293"/>
      <c r="B467" s="338" t="s">
        <v>93</v>
      </c>
      <c r="C467" s="334"/>
      <c r="D467" s="304"/>
      <c r="E467" s="336"/>
      <c r="F467" s="289" t="s">
        <v>94</v>
      </c>
    </row>
    <row r="468" s="289" customFormat="1" ht="12.75" customHeight="1" spans="1:9">
      <c r="A468" s="293"/>
      <c r="B468" s="339" t="s">
        <v>95</v>
      </c>
      <c r="C468" s="334"/>
      <c r="D468" s="304"/>
      <c r="E468" s="336"/>
    </row>
    <row r="469" s="289" customFormat="1" ht="12.75" customHeight="1" spans="1:9">
      <c r="A469" s="293"/>
      <c r="B469" s="339"/>
      <c r="C469" s="334"/>
      <c r="D469" s="304"/>
      <c r="E469" s="336"/>
    </row>
    <row r="470" s="289" customFormat="1" ht="12.75" customHeight="1" spans="1:9">
      <c r="A470" s="293"/>
      <c r="B470" s="339"/>
      <c r="C470" s="334"/>
      <c r="D470" s="304"/>
      <c r="E470" s="336"/>
    </row>
    <row r="471" ht="12.75" customHeight="1" spans="1:9">
      <c r="A471" s="297" t="s">
        <v>1</v>
      </c>
      <c r="B471" s="297"/>
      <c r="C471" s="297"/>
      <c r="D471" s="297"/>
      <c r="E471" s="297"/>
      <c r="F471" s="297"/>
      <c r="G471" s="297"/>
      <c r="H471" s="297"/>
      <c r="I471" s="297"/>
    </row>
    <row r="472" ht="12.75" customHeight="1" spans="1:9">
      <c r="A472" s="297" t="s">
        <v>2</v>
      </c>
      <c r="B472" s="297"/>
      <c r="C472" s="297"/>
      <c r="D472" s="297"/>
      <c r="E472" s="297"/>
      <c r="F472" s="297"/>
      <c r="G472" s="297"/>
      <c r="H472" s="297"/>
      <c r="I472" s="297"/>
    </row>
    <row r="473" ht="12.75" customHeight="1" spans="1:9">
      <c r="A473" s="297" t="s">
        <v>3</v>
      </c>
      <c r="B473" s="297"/>
      <c r="C473" s="297"/>
      <c r="D473" s="297"/>
      <c r="E473" s="297"/>
      <c r="F473" s="297"/>
      <c r="G473" s="297"/>
      <c r="H473" s="297"/>
      <c r="I473" s="297"/>
    </row>
    <row r="474" s="291" customFormat="1" ht="16.5" customHeight="1" spans="1:9">
      <c r="A474" s="298" t="s">
        <v>4</v>
      </c>
      <c r="B474" s="298"/>
      <c r="C474" s="298"/>
      <c r="D474" s="298"/>
      <c r="E474" s="298"/>
      <c r="F474" s="298"/>
      <c r="G474" s="298"/>
      <c r="H474" s="298"/>
      <c r="I474" s="298"/>
    </row>
    <row r="475" ht="12.75" customHeight="1" spans="1:9">
      <c r="A475" s="299" t="s">
        <v>5</v>
      </c>
      <c r="B475" s="299"/>
      <c r="C475" s="299"/>
      <c r="D475" s="299"/>
      <c r="E475" s="299"/>
      <c r="F475" s="299"/>
      <c r="G475" s="299"/>
      <c r="H475" s="299"/>
      <c r="I475" s="299"/>
    </row>
    <row r="476" customHeight="1" spans="1:9">
      <c r="A476" s="299"/>
      <c r="B476" s="299"/>
      <c r="C476" s="299"/>
      <c r="D476" s="299"/>
      <c r="E476" s="299"/>
      <c r="F476" s="299"/>
      <c r="G476" s="299"/>
      <c r="H476" s="299"/>
      <c r="I476" s="299"/>
    </row>
    <row r="477" ht="12.75" customHeight="1" spans="1:9">
      <c r="A477" s="299"/>
      <c r="B477" s="299"/>
      <c r="C477" s="299"/>
      <c r="D477" s="299"/>
      <c r="E477" s="299"/>
      <c r="F477" s="299"/>
      <c r="G477" s="299"/>
      <c r="H477" s="299"/>
      <c r="I477" s="299"/>
    </row>
    <row r="478" s="289" customFormat="1" ht="12.75" customHeight="1" spans="1:9">
      <c r="A478" s="300" t="s">
        <v>6</v>
      </c>
      <c r="B478" s="300"/>
      <c r="C478" s="300"/>
      <c r="D478" s="300"/>
      <c r="E478" s="300"/>
      <c r="F478" s="300"/>
      <c r="G478" s="300"/>
      <c r="H478" s="300"/>
      <c r="I478" s="300"/>
    </row>
    <row r="479" s="289" customFormat="1" ht="12.75" customHeight="1" spans="1:9">
      <c r="A479" s="300"/>
      <c r="B479" s="300"/>
      <c r="C479" s="300"/>
      <c r="D479" s="300"/>
      <c r="E479" s="300"/>
      <c r="F479" s="300"/>
      <c r="G479" s="300"/>
      <c r="H479" s="300"/>
      <c r="I479" s="300"/>
    </row>
    <row r="480" s="289" customFormat="1" ht="12.75" customHeight="1" spans="1:9">
      <c r="A480" s="301"/>
      <c r="B480" s="302" t="s">
        <v>2732</v>
      </c>
      <c r="C480" s="303"/>
      <c r="D480" s="383" t="s">
        <v>8</v>
      </c>
      <c r="E480" s="354" t="s">
        <v>2733</v>
      </c>
      <c r="F480" s="384"/>
      <c r="G480" s="384"/>
      <c r="H480" s="384"/>
      <c r="I480" s="384"/>
    </row>
    <row r="481" s="289" customFormat="1" ht="19.5" customHeight="1" spans="1:9">
      <c r="A481" s="307" t="s">
        <v>10</v>
      </c>
      <c r="B481" s="308" t="s">
        <v>11</v>
      </c>
      <c r="C481" s="308" t="s">
        <v>12</v>
      </c>
      <c r="D481" s="308" t="s">
        <v>13</v>
      </c>
      <c r="E481" s="309" t="s">
        <v>14</v>
      </c>
      <c r="F481" s="310"/>
      <c r="G481" s="310"/>
      <c r="H481" s="310"/>
      <c r="I481" s="310"/>
    </row>
    <row r="482" ht="12.75" customHeight="1" spans="1:9">
      <c r="A482" s="314">
        <v>1</v>
      </c>
      <c r="B482" s="276">
        <v>262710320</v>
      </c>
      <c r="C482" s="315" t="s">
        <v>2734</v>
      </c>
      <c r="D482" s="316" t="s">
        <v>2735</v>
      </c>
      <c r="E482" s="385" t="s">
        <v>23</v>
      </c>
      <c r="F482" s="317"/>
      <c r="G482" s="318"/>
      <c r="H482" s="318"/>
      <c r="I482" s="318"/>
    </row>
    <row r="483" s="291" customFormat="1" ht="12.75" customHeight="1" spans="1:9">
      <c r="A483" s="314">
        <v>2</v>
      </c>
      <c r="B483" s="278">
        <f t="shared" ref="B483:B526" si="7">B482+1</f>
        <v>262710321</v>
      </c>
      <c r="C483" s="315" t="s">
        <v>2736</v>
      </c>
      <c r="D483" s="316" t="s">
        <v>2737</v>
      </c>
      <c r="E483" s="385" t="s">
        <v>18</v>
      </c>
      <c r="F483" s="317"/>
      <c r="G483" s="318"/>
      <c r="H483" s="318"/>
      <c r="I483" s="318"/>
    </row>
    <row r="484" ht="12.75" customHeight="1" spans="1:9">
      <c r="A484" s="314">
        <v>3</v>
      </c>
      <c r="B484" s="276">
        <f t="shared" si="7"/>
        <v>262710322</v>
      </c>
      <c r="C484" s="315" t="s">
        <v>2738</v>
      </c>
      <c r="D484" s="316" t="s">
        <v>2739</v>
      </c>
      <c r="E484" s="385" t="s">
        <v>23</v>
      </c>
      <c r="F484" s="317"/>
      <c r="G484" s="318"/>
      <c r="H484" s="318"/>
      <c r="I484" s="318"/>
    </row>
    <row r="485" ht="12.75" customHeight="1" spans="1:9">
      <c r="A485" s="314">
        <v>4</v>
      </c>
      <c r="B485" s="278">
        <f t="shared" si="7"/>
        <v>262710323</v>
      </c>
      <c r="C485" s="315" t="s">
        <v>2740</v>
      </c>
      <c r="D485" s="316" t="s">
        <v>2741</v>
      </c>
      <c r="E485" s="385" t="s">
        <v>18</v>
      </c>
      <c r="F485" s="317"/>
      <c r="G485" s="318"/>
      <c r="H485" s="318"/>
      <c r="I485" s="318"/>
    </row>
    <row r="486" ht="12.75" customHeight="1" spans="1:9">
      <c r="A486" s="314">
        <v>5</v>
      </c>
      <c r="B486" s="278">
        <f t="shared" si="7"/>
        <v>262710324</v>
      </c>
      <c r="C486" s="320" t="s">
        <v>2742</v>
      </c>
      <c r="D486" s="316" t="s">
        <v>2743</v>
      </c>
      <c r="E486" s="386" t="s">
        <v>23</v>
      </c>
      <c r="F486" s="317"/>
      <c r="G486" s="318"/>
      <c r="H486" s="318"/>
      <c r="I486" s="318"/>
    </row>
    <row r="487" ht="12.75" customHeight="1" spans="1:9">
      <c r="A487" s="314">
        <v>6</v>
      </c>
      <c r="B487" s="276">
        <f t="shared" si="7"/>
        <v>262710325</v>
      </c>
      <c r="C487" s="315" t="s">
        <v>2744</v>
      </c>
      <c r="D487" s="316" t="s">
        <v>2745</v>
      </c>
      <c r="E487" s="385" t="s">
        <v>18</v>
      </c>
      <c r="F487" s="317"/>
      <c r="G487" s="318"/>
      <c r="H487" s="318"/>
      <c r="I487" s="318"/>
    </row>
    <row r="488" ht="12.75" customHeight="1" spans="1:9">
      <c r="A488" s="314">
        <v>7</v>
      </c>
      <c r="B488" s="278">
        <f t="shared" si="7"/>
        <v>262710326</v>
      </c>
      <c r="C488" s="315" t="s">
        <v>2746</v>
      </c>
      <c r="D488" s="316" t="s">
        <v>2747</v>
      </c>
      <c r="E488" s="385" t="s">
        <v>18</v>
      </c>
      <c r="F488" s="317"/>
      <c r="G488" s="318"/>
      <c r="H488" s="318"/>
      <c r="I488" s="318"/>
    </row>
    <row r="489" ht="12.75" customHeight="1" spans="1:9">
      <c r="A489" s="314">
        <v>8</v>
      </c>
      <c r="B489" s="278">
        <f t="shared" si="7"/>
        <v>262710327</v>
      </c>
      <c r="C489" s="315" t="s">
        <v>2748</v>
      </c>
      <c r="D489" s="316" t="s">
        <v>2749</v>
      </c>
      <c r="E489" s="385" t="s">
        <v>18</v>
      </c>
      <c r="F489" s="317"/>
      <c r="G489" s="318"/>
      <c r="H489" s="318"/>
      <c r="I489" s="318"/>
    </row>
    <row r="490" ht="12.75" customHeight="1" spans="1:9">
      <c r="A490" s="314">
        <v>9</v>
      </c>
      <c r="B490" s="276">
        <f t="shared" si="7"/>
        <v>262710328</v>
      </c>
      <c r="C490" s="315" t="s">
        <v>2750</v>
      </c>
      <c r="D490" s="316" t="s">
        <v>2751</v>
      </c>
      <c r="E490" s="385" t="s">
        <v>18</v>
      </c>
      <c r="F490" s="317"/>
      <c r="G490" s="318"/>
      <c r="H490" s="318"/>
      <c r="I490" s="318"/>
    </row>
    <row r="491" ht="12.75" customHeight="1" spans="1:9">
      <c r="A491" s="314">
        <v>10</v>
      </c>
      <c r="B491" s="278">
        <f t="shared" si="7"/>
        <v>262710329</v>
      </c>
      <c r="C491" s="315" t="s">
        <v>2752</v>
      </c>
      <c r="D491" s="316" t="s">
        <v>2753</v>
      </c>
      <c r="E491" s="385" t="s">
        <v>23</v>
      </c>
      <c r="F491" s="317"/>
      <c r="G491" s="318"/>
      <c r="H491" s="318"/>
      <c r="I491" s="318"/>
    </row>
    <row r="492" ht="12.75" customHeight="1" spans="1:9">
      <c r="A492" s="314">
        <v>11</v>
      </c>
      <c r="B492" s="278">
        <f t="shared" si="7"/>
        <v>262710330</v>
      </c>
      <c r="C492" s="315" t="s">
        <v>2754</v>
      </c>
      <c r="D492" s="316" t="s">
        <v>2755</v>
      </c>
      <c r="E492" s="385" t="s">
        <v>18</v>
      </c>
      <c r="F492" s="317"/>
      <c r="G492" s="318"/>
      <c r="H492" s="318"/>
      <c r="I492" s="318"/>
    </row>
    <row r="493" ht="12.75" customHeight="1" spans="1:9">
      <c r="A493" s="314">
        <v>12</v>
      </c>
      <c r="B493" s="276">
        <f t="shared" si="7"/>
        <v>262710331</v>
      </c>
      <c r="C493" s="315" t="s">
        <v>2756</v>
      </c>
      <c r="D493" s="316" t="s">
        <v>2757</v>
      </c>
      <c r="E493" s="385" t="s">
        <v>23</v>
      </c>
      <c r="F493" s="317"/>
      <c r="G493" s="318"/>
      <c r="H493" s="318"/>
      <c r="I493" s="318"/>
    </row>
    <row r="494" ht="12.75" customHeight="1" spans="1:9">
      <c r="A494" s="314">
        <v>13</v>
      </c>
      <c r="B494" s="278">
        <f t="shared" si="7"/>
        <v>262710332</v>
      </c>
      <c r="C494" s="315" t="s">
        <v>2758</v>
      </c>
      <c r="D494" s="316" t="s">
        <v>2759</v>
      </c>
      <c r="E494" s="385" t="s">
        <v>23</v>
      </c>
      <c r="F494" s="317"/>
      <c r="G494" s="318"/>
      <c r="H494" s="318"/>
      <c r="I494" s="318"/>
    </row>
    <row r="495" ht="12.75" customHeight="1" spans="1:9">
      <c r="A495" s="314">
        <v>14</v>
      </c>
      <c r="B495" s="278">
        <f t="shared" si="7"/>
        <v>262710333</v>
      </c>
      <c r="C495" s="315" t="s">
        <v>2760</v>
      </c>
      <c r="D495" s="316" t="s">
        <v>2761</v>
      </c>
      <c r="E495" s="385" t="s">
        <v>18</v>
      </c>
      <c r="F495" s="317"/>
      <c r="G495" s="318"/>
      <c r="H495" s="318"/>
      <c r="I495" s="318"/>
    </row>
    <row r="496" ht="12.75" customHeight="1" spans="1:9">
      <c r="A496" s="314">
        <v>15</v>
      </c>
      <c r="B496" s="276">
        <f t="shared" si="7"/>
        <v>262710334</v>
      </c>
      <c r="C496" s="315" t="s">
        <v>2762</v>
      </c>
      <c r="D496" s="316" t="s">
        <v>2763</v>
      </c>
      <c r="E496" s="385" t="s">
        <v>18</v>
      </c>
      <c r="F496" s="317"/>
      <c r="G496" s="318"/>
      <c r="H496" s="318"/>
      <c r="I496" s="318"/>
    </row>
    <row r="497" ht="12.75" customHeight="1" spans="1:13">
      <c r="A497" s="314">
        <v>16</v>
      </c>
      <c r="B497" s="278">
        <f t="shared" si="7"/>
        <v>262710335</v>
      </c>
      <c r="C497" s="320" t="s">
        <v>2764</v>
      </c>
      <c r="D497" s="316" t="s">
        <v>2765</v>
      </c>
      <c r="E497" s="386" t="s">
        <v>18</v>
      </c>
      <c r="F497" s="317"/>
      <c r="G497" s="318"/>
      <c r="H497" s="318"/>
      <c r="I497" s="318"/>
    </row>
    <row r="498" ht="12.75" customHeight="1" spans="1:13">
      <c r="A498" s="314">
        <v>17</v>
      </c>
      <c r="B498" s="278">
        <f t="shared" si="7"/>
        <v>262710336</v>
      </c>
      <c r="C498" s="315" t="s">
        <v>2766</v>
      </c>
      <c r="D498" s="316" t="s">
        <v>2767</v>
      </c>
      <c r="E498" s="385" t="s">
        <v>18</v>
      </c>
      <c r="F498" s="317"/>
      <c r="G498" s="318"/>
      <c r="H498" s="318"/>
      <c r="I498" s="318"/>
    </row>
    <row r="499" ht="12.75" customHeight="1" spans="1:13">
      <c r="A499" s="314">
        <v>18</v>
      </c>
      <c r="B499" s="276">
        <f t="shared" si="7"/>
        <v>262710337</v>
      </c>
      <c r="C499" s="321" t="s">
        <v>2768</v>
      </c>
      <c r="D499" s="316" t="s">
        <v>2769</v>
      </c>
      <c r="E499" s="385" t="s">
        <v>23</v>
      </c>
      <c r="F499" s="317"/>
      <c r="G499" s="318"/>
      <c r="H499" s="318"/>
      <c r="I499" s="318"/>
    </row>
    <row r="500" ht="12.75" customHeight="1" spans="1:13">
      <c r="A500" s="314">
        <v>19</v>
      </c>
      <c r="B500" s="278">
        <f t="shared" si="7"/>
        <v>262710338</v>
      </c>
      <c r="C500" s="315" t="s">
        <v>2770</v>
      </c>
      <c r="D500" s="316" t="s">
        <v>2771</v>
      </c>
      <c r="E500" s="385" t="s">
        <v>18</v>
      </c>
      <c r="F500" s="317"/>
      <c r="G500" s="318"/>
      <c r="H500" s="318"/>
      <c r="I500" s="318"/>
    </row>
    <row r="501" ht="12.75" customHeight="1" spans="1:13">
      <c r="A501" s="314">
        <v>20</v>
      </c>
      <c r="B501" s="278">
        <f t="shared" si="7"/>
        <v>262710339</v>
      </c>
      <c r="C501" s="315" t="s">
        <v>2772</v>
      </c>
      <c r="D501" s="316" t="s">
        <v>2773</v>
      </c>
      <c r="E501" s="385" t="s">
        <v>23</v>
      </c>
      <c r="F501" s="317"/>
      <c r="G501" s="318"/>
      <c r="H501" s="318"/>
      <c r="I501" s="318"/>
    </row>
    <row r="502" ht="12.75" customHeight="1" spans="1:13">
      <c r="A502" s="314">
        <v>21</v>
      </c>
      <c r="B502" s="276">
        <f t="shared" si="7"/>
        <v>262710340</v>
      </c>
      <c r="C502" s="321" t="s">
        <v>2774</v>
      </c>
      <c r="D502" s="316" t="s">
        <v>2775</v>
      </c>
      <c r="E502" s="385" t="s">
        <v>23</v>
      </c>
      <c r="F502" s="317"/>
      <c r="G502" s="318"/>
      <c r="H502" s="318"/>
      <c r="I502" s="318"/>
    </row>
    <row r="503" ht="12.75" customHeight="1" spans="1:13">
      <c r="A503" s="314">
        <v>22</v>
      </c>
      <c r="B503" s="278">
        <f t="shared" si="7"/>
        <v>262710341</v>
      </c>
      <c r="C503" s="315" t="s">
        <v>2776</v>
      </c>
      <c r="D503" s="316" t="s">
        <v>2777</v>
      </c>
      <c r="E503" s="385" t="s">
        <v>23</v>
      </c>
      <c r="F503" s="317"/>
      <c r="G503" s="318"/>
      <c r="H503" s="318"/>
      <c r="I503" s="318"/>
    </row>
    <row r="504" ht="12.75" customHeight="1" spans="1:13">
      <c r="A504" s="314">
        <v>23</v>
      </c>
      <c r="B504" s="278">
        <f t="shared" si="7"/>
        <v>262710342</v>
      </c>
      <c r="C504" s="315" t="s">
        <v>2778</v>
      </c>
      <c r="D504" s="316" t="s">
        <v>2779</v>
      </c>
      <c r="E504" s="385" t="s">
        <v>23</v>
      </c>
      <c r="F504" s="317"/>
      <c r="G504" s="318"/>
      <c r="H504" s="318"/>
      <c r="I504" s="318"/>
    </row>
    <row r="505" ht="12.75" customHeight="1" spans="1:13">
      <c r="A505" s="314">
        <v>24</v>
      </c>
      <c r="B505" s="276">
        <f t="shared" si="7"/>
        <v>262710343</v>
      </c>
      <c r="C505" s="315" t="s">
        <v>2780</v>
      </c>
      <c r="D505" s="316" t="s">
        <v>2781</v>
      </c>
      <c r="E505" s="385" t="s">
        <v>23</v>
      </c>
      <c r="F505" s="317"/>
      <c r="G505" s="318"/>
      <c r="H505" s="318"/>
      <c r="I505" s="318"/>
    </row>
    <row r="506" ht="12.75" customHeight="1" spans="1:13">
      <c r="A506" s="314">
        <v>25</v>
      </c>
      <c r="B506" s="278">
        <f t="shared" si="7"/>
        <v>262710344</v>
      </c>
      <c r="C506" s="315" t="s">
        <v>2782</v>
      </c>
      <c r="D506" s="316" t="s">
        <v>2783</v>
      </c>
      <c r="E506" s="385" t="s">
        <v>23</v>
      </c>
      <c r="F506" s="317"/>
      <c r="G506" s="318"/>
      <c r="H506" s="318"/>
      <c r="I506" s="318"/>
    </row>
    <row r="507" ht="12.75" customHeight="1" spans="1:13">
      <c r="A507" s="314">
        <v>26</v>
      </c>
      <c r="B507" s="278">
        <f t="shared" si="7"/>
        <v>262710345</v>
      </c>
      <c r="C507" s="315" t="s">
        <v>2784</v>
      </c>
      <c r="D507" s="316" t="s">
        <v>2785</v>
      </c>
      <c r="E507" s="385" t="s">
        <v>18</v>
      </c>
      <c r="F507" s="317"/>
      <c r="G507" s="318"/>
      <c r="H507" s="318"/>
      <c r="I507" s="318"/>
    </row>
    <row r="508" ht="12.75" customHeight="1" spans="1:13">
      <c r="A508" s="314">
        <v>27</v>
      </c>
      <c r="B508" s="276">
        <f t="shared" si="7"/>
        <v>262710346</v>
      </c>
      <c r="C508" s="315" t="s">
        <v>2786</v>
      </c>
      <c r="D508" s="316" t="s">
        <v>2787</v>
      </c>
      <c r="E508" s="385" t="s">
        <v>18</v>
      </c>
      <c r="F508" s="317"/>
      <c r="G508" s="318"/>
      <c r="H508" s="318"/>
      <c r="I508" s="318"/>
    </row>
    <row r="509" ht="12.75" customHeight="1" spans="1:13">
      <c r="A509" s="314">
        <v>28</v>
      </c>
      <c r="B509" s="278">
        <f t="shared" si="7"/>
        <v>262710347</v>
      </c>
      <c r="C509" s="315" t="s">
        <v>2788</v>
      </c>
      <c r="D509" s="316" t="s">
        <v>2789</v>
      </c>
      <c r="E509" s="385" t="s">
        <v>18</v>
      </c>
      <c r="F509" s="317"/>
      <c r="G509" s="318"/>
      <c r="H509" s="318"/>
      <c r="I509" s="318"/>
    </row>
    <row r="510" ht="12.75" customHeight="1" spans="1:13">
      <c r="A510" s="314">
        <v>29</v>
      </c>
      <c r="B510" s="278">
        <f t="shared" si="7"/>
        <v>262710348</v>
      </c>
      <c r="C510" s="315" t="s">
        <v>2790</v>
      </c>
      <c r="D510" s="316" t="s">
        <v>2791</v>
      </c>
      <c r="E510" s="385" t="s">
        <v>23</v>
      </c>
      <c r="F510" s="317"/>
      <c r="G510" s="318"/>
      <c r="H510" s="318"/>
      <c r="I510" s="318"/>
    </row>
    <row r="511" ht="12.75" customHeight="1" spans="1:13">
      <c r="A511" s="314">
        <v>30</v>
      </c>
      <c r="B511" s="276">
        <f t="shared" si="7"/>
        <v>262710349</v>
      </c>
      <c r="C511" s="315" t="s">
        <v>2792</v>
      </c>
      <c r="D511" s="316" t="s">
        <v>2793</v>
      </c>
      <c r="E511" s="385" t="s">
        <v>23</v>
      </c>
      <c r="F511" s="317"/>
      <c r="G511" s="318"/>
      <c r="H511" s="318"/>
      <c r="I511" s="318"/>
      <c r="K511" s="387"/>
      <c r="L511" s="388"/>
      <c r="M511" s="389"/>
    </row>
    <row r="512" ht="12.75" customHeight="1" spans="1:13">
      <c r="A512" s="314">
        <v>31</v>
      </c>
      <c r="B512" s="278">
        <f t="shared" si="7"/>
        <v>262710350</v>
      </c>
      <c r="C512" s="315" t="s">
        <v>2794</v>
      </c>
      <c r="D512" s="316" t="s">
        <v>2795</v>
      </c>
      <c r="E512" s="385" t="s">
        <v>18</v>
      </c>
      <c r="F512" s="317"/>
      <c r="G512" s="318"/>
      <c r="H512" s="318"/>
      <c r="I512" s="318"/>
    </row>
    <row r="513" ht="12.75" customHeight="1" spans="1:9">
      <c r="A513" s="314">
        <v>32</v>
      </c>
      <c r="B513" s="278">
        <f t="shared" si="7"/>
        <v>262710351</v>
      </c>
      <c r="C513" s="315" t="s">
        <v>2796</v>
      </c>
      <c r="D513" s="316" t="s">
        <v>2797</v>
      </c>
      <c r="E513" s="385" t="s">
        <v>18</v>
      </c>
      <c r="F513" s="317"/>
      <c r="G513" s="318"/>
      <c r="H513" s="318"/>
      <c r="I513" s="318"/>
    </row>
    <row r="514" ht="12.75" customHeight="1" spans="1:9">
      <c r="A514" s="314">
        <v>33</v>
      </c>
      <c r="B514" s="276">
        <f t="shared" si="7"/>
        <v>262710352</v>
      </c>
      <c r="C514" s="315" t="s">
        <v>2798</v>
      </c>
      <c r="D514" s="316" t="s">
        <v>2799</v>
      </c>
      <c r="E514" s="385" t="s">
        <v>23</v>
      </c>
      <c r="F514" s="317"/>
      <c r="G514" s="318"/>
      <c r="H514" s="318"/>
      <c r="I514" s="318"/>
    </row>
    <row r="515" ht="12.75" customHeight="1" spans="1:9">
      <c r="A515" s="314">
        <v>34</v>
      </c>
      <c r="B515" s="278">
        <f t="shared" si="7"/>
        <v>262710353</v>
      </c>
      <c r="C515" s="315" t="s">
        <v>2800</v>
      </c>
      <c r="D515" s="316" t="s">
        <v>2801</v>
      </c>
      <c r="E515" s="385" t="s">
        <v>18</v>
      </c>
      <c r="F515" s="317"/>
      <c r="G515" s="318"/>
      <c r="H515" s="318"/>
      <c r="I515" s="318"/>
    </row>
    <row r="516" ht="12.75" customHeight="1" spans="1:9">
      <c r="A516" s="314">
        <v>35</v>
      </c>
      <c r="B516" s="278">
        <f t="shared" si="7"/>
        <v>262710354</v>
      </c>
      <c r="C516" s="320" t="s">
        <v>2802</v>
      </c>
      <c r="D516" s="316" t="s">
        <v>2803</v>
      </c>
      <c r="E516" s="386" t="s">
        <v>18</v>
      </c>
      <c r="F516" s="317"/>
      <c r="G516" s="318"/>
      <c r="H516" s="318"/>
      <c r="I516" s="318"/>
    </row>
    <row r="517" ht="12.75" customHeight="1" spans="1:9">
      <c r="A517" s="314">
        <v>36</v>
      </c>
      <c r="B517" s="276">
        <f t="shared" si="7"/>
        <v>262710355</v>
      </c>
      <c r="C517" s="321" t="s">
        <v>2804</v>
      </c>
      <c r="D517" s="316" t="s">
        <v>2805</v>
      </c>
      <c r="E517" s="385" t="s">
        <v>23</v>
      </c>
      <c r="F517" s="317"/>
      <c r="G517" s="318"/>
      <c r="H517" s="318"/>
      <c r="I517" s="318"/>
    </row>
    <row r="518" ht="12.75" customHeight="1" spans="1:9">
      <c r="A518" s="314">
        <v>37</v>
      </c>
      <c r="B518" s="278">
        <f t="shared" si="7"/>
        <v>262710356</v>
      </c>
      <c r="C518" s="315" t="s">
        <v>2806</v>
      </c>
      <c r="D518" s="316" t="s">
        <v>2807</v>
      </c>
      <c r="E518" s="385" t="s">
        <v>18</v>
      </c>
      <c r="F518" s="326"/>
      <c r="G518" s="327"/>
      <c r="H518" s="327"/>
      <c r="I518" s="327"/>
    </row>
    <row r="519" ht="12.75" customHeight="1" spans="1:9">
      <c r="A519" s="314">
        <v>38</v>
      </c>
      <c r="B519" s="278">
        <f t="shared" si="7"/>
        <v>262710357</v>
      </c>
      <c r="C519" s="315" t="s">
        <v>2808</v>
      </c>
      <c r="D519" s="316" t="s">
        <v>2809</v>
      </c>
      <c r="E519" s="385" t="s">
        <v>23</v>
      </c>
      <c r="F519" s="318"/>
      <c r="G519" s="318"/>
      <c r="H519" s="318"/>
      <c r="I519" s="318"/>
    </row>
    <row r="520" ht="12.75" customHeight="1" spans="1:9">
      <c r="A520" s="314">
        <v>39</v>
      </c>
      <c r="B520" s="276">
        <f t="shared" si="7"/>
        <v>262710358</v>
      </c>
      <c r="C520" s="315" t="s">
        <v>2810</v>
      </c>
      <c r="D520" s="316" t="s">
        <v>2811</v>
      </c>
      <c r="E520" s="385" t="s">
        <v>18</v>
      </c>
      <c r="F520" s="318"/>
      <c r="G520" s="318"/>
      <c r="H520" s="318"/>
      <c r="I520" s="318"/>
    </row>
    <row r="521" ht="12.75" customHeight="1" spans="1:9">
      <c r="A521" s="314">
        <v>40</v>
      </c>
      <c r="B521" s="278">
        <f t="shared" si="7"/>
        <v>262710359</v>
      </c>
      <c r="C521" s="315" t="s">
        <v>2812</v>
      </c>
      <c r="D521" s="316" t="s">
        <v>2813</v>
      </c>
      <c r="E521" s="385" t="s">
        <v>18</v>
      </c>
      <c r="F521" s="318"/>
      <c r="G521" s="318"/>
      <c r="H521" s="318"/>
      <c r="I521" s="318"/>
    </row>
    <row r="522" ht="12.75" customHeight="1" spans="1:9">
      <c r="A522" s="314">
        <v>41</v>
      </c>
      <c r="B522" s="278">
        <f t="shared" si="7"/>
        <v>262710360</v>
      </c>
      <c r="C522" s="315" t="s">
        <v>2814</v>
      </c>
      <c r="D522" s="316" t="s">
        <v>2815</v>
      </c>
      <c r="E522" s="385" t="s">
        <v>18</v>
      </c>
      <c r="F522" s="318"/>
      <c r="G522" s="318"/>
      <c r="H522" s="318"/>
      <c r="I522" s="318"/>
    </row>
    <row r="523" ht="12.75" customHeight="1" spans="1:9">
      <c r="A523" s="314">
        <v>42</v>
      </c>
      <c r="B523" s="276">
        <f t="shared" si="7"/>
        <v>262710361</v>
      </c>
      <c r="C523" s="315" t="s">
        <v>2816</v>
      </c>
      <c r="D523" s="316" t="s">
        <v>2817</v>
      </c>
      <c r="E523" s="385" t="s">
        <v>18</v>
      </c>
      <c r="F523" s="318"/>
      <c r="G523" s="318"/>
      <c r="H523" s="318"/>
      <c r="I523" s="318"/>
    </row>
    <row r="524" ht="12.75" customHeight="1" spans="1:9">
      <c r="A524" s="314">
        <v>43</v>
      </c>
      <c r="B524" s="278">
        <f t="shared" si="7"/>
        <v>262710362</v>
      </c>
      <c r="C524" s="320" t="s">
        <v>2818</v>
      </c>
      <c r="D524" s="316" t="s">
        <v>2819</v>
      </c>
      <c r="E524" s="386" t="s">
        <v>18</v>
      </c>
      <c r="F524" s="318"/>
      <c r="G524" s="318"/>
      <c r="H524" s="318"/>
      <c r="I524" s="318"/>
    </row>
    <row r="525" ht="12.75" customHeight="1" spans="1:9">
      <c r="A525" s="314">
        <v>44</v>
      </c>
      <c r="B525" s="278">
        <f t="shared" si="7"/>
        <v>262710363</v>
      </c>
      <c r="C525" s="315" t="s">
        <v>2820</v>
      </c>
      <c r="D525" s="316" t="s">
        <v>2821</v>
      </c>
      <c r="E525" s="385" t="s">
        <v>23</v>
      </c>
      <c r="F525" s="318"/>
      <c r="G525" s="318"/>
      <c r="H525" s="318"/>
      <c r="I525" s="318"/>
    </row>
    <row r="526" ht="12.75" customHeight="1" spans="1:9">
      <c r="A526" s="314">
        <v>45</v>
      </c>
      <c r="B526" s="276">
        <f t="shared" si="7"/>
        <v>262710364</v>
      </c>
      <c r="C526" s="315" t="s">
        <v>2822</v>
      </c>
      <c r="D526" s="316" t="s">
        <v>2823</v>
      </c>
      <c r="E526" s="385" t="s">
        <v>23</v>
      </c>
      <c r="F526" s="318"/>
      <c r="G526" s="318"/>
      <c r="H526" s="318"/>
      <c r="I526" s="318"/>
    </row>
    <row r="527" s="292" customFormat="1" ht="12.75" customHeight="1" spans="1:9">
      <c r="A527" s="390"/>
      <c r="B527" s="391"/>
      <c r="C527" s="392"/>
      <c r="D527" s="381" t="s">
        <v>89</v>
      </c>
      <c r="E527" s="382">
        <f>COUNTIF(E482:E526,"L")</f>
        <v>20</v>
      </c>
    </row>
    <row r="528" s="292" customFormat="1" ht="12.75" customHeight="1" spans="1:9">
      <c r="A528" s="390"/>
      <c r="B528" s="393"/>
      <c r="C528" s="392"/>
      <c r="D528" s="381" t="s">
        <v>90</v>
      </c>
      <c r="E528" s="382">
        <f>COUNTIF(E482:E526,"P")</f>
        <v>25</v>
      </c>
    </row>
    <row r="529" s="292" customFormat="1" ht="12.75" customHeight="1" spans="1:9">
      <c r="A529" s="390"/>
      <c r="B529" s="394"/>
      <c r="C529" s="394"/>
      <c r="D529" s="395"/>
      <c r="E529" s="396"/>
    </row>
    <row r="530" s="292" customFormat="1" ht="12.75" customHeight="1" spans="1:9">
      <c r="A530" s="390"/>
      <c r="B530" s="394" t="s">
        <v>91</v>
      </c>
      <c r="C530" s="394"/>
      <c r="D530" s="395"/>
      <c r="E530" s="396"/>
      <c r="F530" s="292" t="s">
        <v>92</v>
      </c>
    </row>
    <row r="531" s="292" customFormat="1" ht="12.75" customHeight="1" spans="1:9">
      <c r="A531" s="390"/>
      <c r="B531" s="394"/>
      <c r="C531" s="394"/>
      <c r="D531" s="395"/>
      <c r="E531" s="396"/>
    </row>
    <row r="532" s="292" customFormat="1" ht="12.75" customHeight="1" spans="1:9">
      <c r="A532" s="390"/>
      <c r="B532" s="394"/>
      <c r="C532" s="394"/>
      <c r="D532" s="395"/>
      <c r="E532" s="396"/>
    </row>
    <row r="533" s="292" customFormat="1" ht="12.75" customHeight="1" spans="1:9">
      <c r="A533" s="390"/>
      <c r="B533" s="394"/>
      <c r="C533" s="394"/>
      <c r="D533" s="395"/>
      <c r="E533" s="396"/>
    </row>
    <row r="534" s="292" customFormat="1" ht="12.75" customHeight="1" spans="1:9">
      <c r="A534" s="390"/>
      <c r="B534" s="397" t="s">
        <v>93</v>
      </c>
      <c r="C534" s="394"/>
      <c r="D534" s="395"/>
      <c r="E534" s="396"/>
      <c r="F534" s="292" t="s">
        <v>94</v>
      </c>
    </row>
    <row r="535" s="292" customFormat="1" ht="12.75" customHeight="1" spans="1:9">
      <c r="A535" s="390"/>
      <c r="B535" s="398" t="s">
        <v>95</v>
      </c>
      <c r="C535" s="394"/>
      <c r="D535" s="395"/>
      <c r="E535" s="396"/>
    </row>
    <row r="536" ht="12.75" customHeight="1" spans="1:9">
      <c r="A536" s="357"/>
      <c r="B536" s="358"/>
      <c r="C536" s="358"/>
      <c r="D536" s="358"/>
      <c r="E536" s="359"/>
      <c r="F536" s="360"/>
      <c r="G536" s="360"/>
      <c r="H536" s="360"/>
      <c r="I536" s="360"/>
    </row>
    <row r="537" ht="12.75" customHeight="1" spans="1:9">
      <c r="A537" s="297" t="s">
        <v>1</v>
      </c>
      <c r="B537" s="297"/>
      <c r="C537" s="297"/>
      <c r="D537" s="297"/>
      <c r="E537" s="297"/>
      <c r="F537" s="297"/>
      <c r="G537" s="297"/>
      <c r="H537" s="297"/>
      <c r="I537" s="297"/>
    </row>
    <row r="538" ht="12.75" customHeight="1" spans="1:9">
      <c r="A538" s="297" t="s">
        <v>2</v>
      </c>
      <c r="B538" s="297"/>
      <c r="C538" s="297"/>
      <c r="D538" s="297"/>
      <c r="E538" s="297"/>
      <c r="F538" s="297"/>
      <c r="G538" s="297"/>
      <c r="H538" s="297"/>
      <c r="I538" s="297"/>
    </row>
    <row r="539" ht="12.75" customHeight="1" spans="1:9">
      <c r="A539" s="297" t="s">
        <v>3</v>
      </c>
      <c r="B539" s="297"/>
      <c r="C539" s="297"/>
      <c r="D539" s="297"/>
      <c r="E539" s="297"/>
      <c r="F539" s="297"/>
      <c r="G539" s="297"/>
      <c r="H539" s="297"/>
      <c r="I539" s="297"/>
    </row>
    <row r="540" s="291" customFormat="1" ht="16.5" customHeight="1" spans="1:9">
      <c r="A540" s="298" t="s">
        <v>4</v>
      </c>
      <c r="B540" s="298"/>
      <c r="C540" s="298"/>
      <c r="D540" s="298"/>
      <c r="E540" s="298"/>
      <c r="F540" s="298"/>
      <c r="G540" s="298"/>
      <c r="H540" s="298"/>
      <c r="I540" s="298"/>
    </row>
    <row r="541" ht="12.75" customHeight="1" spans="1:9">
      <c r="A541" s="299" t="s">
        <v>5</v>
      </c>
      <c r="B541" s="299"/>
      <c r="C541" s="299"/>
      <c r="D541" s="299"/>
      <c r="E541" s="299"/>
      <c r="F541" s="299"/>
      <c r="G541" s="299"/>
      <c r="H541" s="299"/>
      <c r="I541" s="299"/>
    </row>
    <row r="542" customHeight="1" spans="1:9">
      <c r="A542" s="299"/>
      <c r="B542" s="299"/>
      <c r="C542" s="299"/>
      <c r="D542" s="299"/>
      <c r="E542" s="299"/>
      <c r="F542" s="299"/>
      <c r="G542" s="299"/>
      <c r="H542" s="299"/>
      <c r="I542" s="299"/>
    </row>
    <row r="543" ht="12.75" customHeight="1" spans="1:9">
      <c r="A543" s="299"/>
      <c r="B543" s="299"/>
      <c r="C543" s="299"/>
      <c r="D543" s="299"/>
      <c r="E543" s="299"/>
      <c r="F543" s="299"/>
      <c r="G543" s="299"/>
      <c r="H543" s="299"/>
      <c r="I543" s="299"/>
    </row>
    <row r="544" s="289" customFormat="1" ht="12.75" customHeight="1" spans="1:9">
      <c r="A544" s="300" t="s">
        <v>6</v>
      </c>
      <c r="B544" s="300"/>
      <c r="C544" s="300"/>
      <c r="D544" s="300"/>
      <c r="E544" s="300"/>
      <c r="F544" s="300"/>
      <c r="G544" s="300"/>
      <c r="H544" s="300"/>
      <c r="I544" s="300"/>
    </row>
    <row r="545" s="289" customFormat="1" ht="12.75" customHeight="1" spans="1:9">
      <c r="A545" s="300"/>
      <c r="B545" s="300"/>
      <c r="C545" s="300"/>
      <c r="D545" s="300"/>
      <c r="E545" s="300"/>
      <c r="F545" s="300"/>
      <c r="G545" s="300"/>
      <c r="H545" s="300"/>
      <c r="I545" s="300"/>
    </row>
    <row r="546" s="289" customFormat="1" ht="12.75" customHeight="1" spans="1:9">
      <c r="A546" s="301"/>
      <c r="B546" s="302" t="s">
        <v>2824</v>
      </c>
      <c r="C546" s="303"/>
      <c r="D546" s="383" t="s">
        <v>8</v>
      </c>
      <c r="E546" s="370" t="s">
        <v>2825</v>
      </c>
      <c r="F546" s="399"/>
      <c r="G546" s="399"/>
      <c r="H546" s="399"/>
      <c r="I546" s="399"/>
    </row>
    <row r="547" s="289" customFormat="1" ht="19.5" customHeight="1" spans="1:9">
      <c r="A547" s="307" t="s">
        <v>10</v>
      </c>
      <c r="B547" s="308" t="s">
        <v>11</v>
      </c>
      <c r="C547" s="308" t="s">
        <v>12</v>
      </c>
      <c r="D547" s="308" t="s">
        <v>13</v>
      </c>
      <c r="E547" s="309" t="s">
        <v>14</v>
      </c>
      <c r="F547" s="310"/>
      <c r="G547" s="310"/>
      <c r="H547" s="310"/>
      <c r="I547" s="310"/>
    </row>
    <row r="548" ht="12.75" customHeight="1" spans="1:9">
      <c r="A548" s="314">
        <v>1</v>
      </c>
      <c r="B548" s="276">
        <v>262710365</v>
      </c>
      <c r="C548" s="363" t="s">
        <v>2826</v>
      </c>
      <c r="D548" s="355" t="s">
        <v>2827</v>
      </c>
      <c r="E548" s="364" t="s">
        <v>23</v>
      </c>
      <c r="F548" s="317"/>
      <c r="G548" s="318"/>
      <c r="H548" s="318"/>
      <c r="I548" s="318"/>
    </row>
    <row r="549" s="291" customFormat="1" ht="12.75" customHeight="1" spans="1:9">
      <c r="A549" s="314">
        <v>2</v>
      </c>
      <c r="B549" s="286">
        <f t="shared" ref="B549:B593" si="8">B548+1</f>
        <v>262710366</v>
      </c>
      <c r="C549" s="365" t="s">
        <v>2828</v>
      </c>
      <c r="D549" s="355" t="s">
        <v>2829</v>
      </c>
      <c r="E549" s="366" t="s">
        <v>23</v>
      </c>
      <c r="F549" s="317"/>
      <c r="G549" s="318"/>
      <c r="H549" s="318"/>
      <c r="I549" s="318"/>
    </row>
    <row r="550" ht="12.75" customHeight="1" spans="1:9">
      <c r="A550" s="314">
        <v>3</v>
      </c>
      <c r="B550" s="286">
        <f t="shared" si="8"/>
        <v>262710367</v>
      </c>
      <c r="C550" s="363" t="s">
        <v>2830</v>
      </c>
      <c r="D550" s="355" t="s">
        <v>2831</v>
      </c>
      <c r="E550" s="364" t="s">
        <v>23</v>
      </c>
      <c r="F550" s="317"/>
      <c r="G550" s="318"/>
      <c r="H550" s="318"/>
      <c r="I550" s="318"/>
    </row>
    <row r="551" ht="12.75" customHeight="1" spans="1:9">
      <c r="A551" s="314">
        <v>4</v>
      </c>
      <c r="B551" s="286">
        <f t="shared" si="8"/>
        <v>262710368</v>
      </c>
      <c r="C551" s="365" t="s">
        <v>2832</v>
      </c>
      <c r="D551" s="355" t="s">
        <v>2833</v>
      </c>
      <c r="E551" s="366" t="s">
        <v>18</v>
      </c>
      <c r="F551" s="317"/>
      <c r="G551" s="318"/>
      <c r="H551" s="318"/>
      <c r="I551" s="318"/>
    </row>
    <row r="552" ht="12.75" customHeight="1" spans="1:9">
      <c r="A552" s="314">
        <v>5</v>
      </c>
      <c r="B552" s="286">
        <f t="shared" si="8"/>
        <v>262710369</v>
      </c>
      <c r="C552" s="363" t="s">
        <v>2834</v>
      </c>
      <c r="D552" s="355" t="s">
        <v>2835</v>
      </c>
      <c r="E552" s="364" t="s">
        <v>18</v>
      </c>
      <c r="F552" s="317"/>
      <c r="G552" s="318"/>
      <c r="H552" s="318"/>
      <c r="I552" s="318"/>
    </row>
    <row r="553" ht="12.75" customHeight="1" spans="1:9">
      <c r="A553" s="314">
        <v>6</v>
      </c>
      <c r="B553" s="286">
        <f t="shared" si="8"/>
        <v>262710370</v>
      </c>
      <c r="C553" s="367" t="s">
        <v>2836</v>
      </c>
      <c r="D553" s="355" t="s">
        <v>2837</v>
      </c>
      <c r="E553" s="364" t="s">
        <v>23</v>
      </c>
      <c r="F553" s="317"/>
      <c r="G553" s="318"/>
      <c r="H553" s="318"/>
      <c r="I553" s="318"/>
    </row>
    <row r="554" ht="12.75" customHeight="1" spans="1:9">
      <c r="A554" s="314">
        <v>7</v>
      </c>
      <c r="B554" s="286">
        <f t="shared" si="8"/>
        <v>262710371</v>
      </c>
      <c r="C554" s="365" t="s">
        <v>2838</v>
      </c>
      <c r="D554" s="355" t="s">
        <v>2839</v>
      </c>
      <c r="E554" s="366" t="s">
        <v>18</v>
      </c>
      <c r="F554" s="317"/>
      <c r="G554" s="318"/>
      <c r="H554" s="318"/>
      <c r="I554" s="318"/>
    </row>
    <row r="555" ht="12.75" customHeight="1" spans="1:9">
      <c r="A555" s="314">
        <v>8</v>
      </c>
      <c r="B555" s="286">
        <f t="shared" si="8"/>
        <v>262710372</v>
      </c>
      <c r="C555" s="367" t="s">
        <v>2840</v>
      </c>
      <c r="D555" s="355" t="s">
        <v>2841</v>
      </c>
      <c r="E555" s="364" t="s">
        <v>18</v>
      </c>
      <c r="F555" s="317"/>
      <c r="G555" s="318"/>
      <c r="H555" s="318"/>
      <c r="I555" s="318"/>
    </row>
    <row r="556" ht="12.75" customHeight="1" spans="1:9">
      <c r="A556" s="314">
        <v>9</v>
      </c>
      <c r="B556" s="286">
        <f t="shared" si="8"/>
        <v>262710373</v>
      </c>
      <c r="C556" s="367" t="s">
        <v>2842</v>
      </c>
      <c r="D556" s="355" t="s">
        <v>2843</v>
      </c>
      <c r="E556" s="364" t="s">
        <v>18</v>
      </c>
      <c r="F556" s="317"/>
      <c r="G556" s="318"/>
      <c r="H556" s="318"/>
      <c r="I556" s="318"/>
    </row>
    <row r="557" ht="12.75" customHeight="1" spans="1:9">
      <c r="A557" s="314">
        <v>10</v>
      </c>
      <c r="B557" s="286">
        <f t="shared" si="8"/>
        <v>262710374</v>
      </c>
      <c r="C557" s="367" t="s">
        <v>2844</v>
      </c>
      <c r="D557" s="355" t="s">
        <v>2845</v>
      </c>
      <c r="E557" s="364" t="s">
        <v>23</v>
      </c>
      <c r="F557" s="317"/>
      <c r="G557" s="318"/>
      <c r="H557" s="318"/>
      <c r="I557" s="318"/>
    </row>
    <row r="558" ht="12.75" customHeight="1" spans="1:9">
      <c r="A558" s="314">
        <v>11</v>
      </c>
      <c r="B558" s="286">
        <f t="shared" si="8"/>
        <v>262710375</v>
      </c>
      <c r="C558" s="363" t="s">
        <v>2846</v>
      </c>
      <c r="D558" s="355" t="s">
        <v>2847</v>
      </c>
      <c r="E558" s="364" t="s">
        <v>18</v>
      </c>
      <c r="F558" s="317"/>
      <c r="G558" s="318"/>
      <c r="H558" s="318"/>
      <c r="I558" s="318"/>
    </row>
    <row r="559" ht="12.75" customHeight="1" spans="1:9">
      <c r="A559" s="314">
        <v>12</v>
      </c>
      <c r="B559" s="286">
        <f t="shared" si="8"/>
        <v>262710376</v>
      </c>
      <c r="C559" s="363" t="s">
        <v>2848</v>
      </c>
      <c r="D559" s="355" t="s">
        <v>2849</v>
      </c>
      <c r="E559" s="364" t="s">
        <v>18</v>
      </c>
      <c r="F559" s="317"/>
      <c r="G559" s="318"/>
      <c r="H559" s="318"/>
      <c r="I559" s="318"/>
    </row>
    <row r="560" ht="12.75" customHeight="1" spans="1:9">
      <c r="A560" s="314">
        <v>13</v>
      </c>
      <c r="B560" s="286">
        <f t="shared" si="8"/>
        <v>262710377</v>
      </c>
      <c r="C560" s="367" t="s">
        <v>2850</v>
      </c>
      <c r="D560" s="355" t="s">
        <v>2851</v>
      </c>
      <c r="E560" s="364" t="s">
        <v>23</v>
      </c>
      <c r="F560" s="317"/>
      <c r="G560" s="318"/>
      <c r="H560" s="318"/>
      <c r="I560" s="318"/>
    </row>
    <row r="561" ht="12.75" customHeight="1" spans="1:9">
      <c r="A561" s="314">
        <v>14</v>
      </c>
      <c r="B561" s="286">
        <f t="shared" si="8"/>
        <v>262710378</v>
      </c>
      <c r="C561" s="367" t="s">
        <v>2852</v>
      </c>
      <c r="D561" s="355" t="s">
        <v>2853</v>
      </c>
      <c r="E561" s="364" t="s">
        <v>18</v>
      </c>
      <c r="F561" s="317"/>
      <c r="G561" s="318"/>
      <c r="H561" s="318"/>
      <c r="I561" s="318"/>
    </row>
    <row r="562" ht="12.75" customHeight="1" spans="1:9">
      <c r="A562" s="314">
        <v>15</v>
      </c>
      <c r="B562" s="286">
        <f t="shared" si="8"/>
        <v>262710379</v>
      </c>
      <c r="C562" s="367" t="s">
        <v>2854</v>
      </c>
      <c r="D562" s="355" t="s">
        <v>2855</v>
      </c>
      <c r="E562" s="364" t="s">
        <v>23</v>
      </c>
      <c r="F562" s="317"/>
      <c r="G562" s="318"/>
      <c r="H562" s="318"/>
      <c r="I562" s="318"/>
    </row>
    <row r="563" ht="12.75" customHeight="1" spans="1:9">
      <c r="A563" s="314">
        <v>16</v>
      </c>
      <c r="B563" s="286">
        <f t="shared" si="8"/>
        <v>262710380</v>
      </c>
      <c r="C563" s="363" t="s">
        <v>2856</v>
      </c>
      <c r="D563" s="355" t="s">
        <v>2857</v>
      </c>
      <c r="E563" s="364" t="s">
        <v>23</v>
      </c>
      <c r="F563" s="317"/>
      <c r="G563" s="318"/>
      <c r="H563" s="318"/>
      <c r="I563" s="318"/>
    </row>
    <row r="564" ht="12.75" customHeight="1" spans="1:9">
      <c r="A564" s="314">
        <v>17</v>
      </c>
      <c r="B564" s="286">
        <f t="shared" si="8"/>
        <v>262710381</v>
      </c>
      <c r="C564" s="363" t="s">
        <v>2858</v>
      </c>
      <c r="D564" s="355" t="s">
        <v>2859</v>
      </c>
      <c r="E564" s="364" t="s">
        <v>18</v>
      </c>
      <c r="F564" s="317"/>
      <c r="G564" s="318"/>
      <c r="H564" s="318"/>
      <c r="I564" s="318"/>
    </row>
    <row r="565" ht="12.75" customHeight="1" spans="1:9">
      <c r="A565" s="314">
        <v>18</v>
      </c>
      <c r="B565" s="286">
        <f t="shared" si="8"/>
        <v>262710382</v>
      </c>
      <c r="C565" s="363" t="s">
        <v>2860</v>
      </c>
      <c r="D565" s="355" t="s">
        <v>2861</v>
      </c>
      <c r="E565" s="364" t="s">
        <v>18</v>
      </c>
      <c r="F565" s="317"/>
      <c r="G565" s="318"/>
      <c r="H565" s="318"/>
      <c r="I565" s="318"/>
    </row>
    <row r="566" ht="12.75" customHeight="1" spans="1:9">
      <c r="A566" s="314">
        <v>19</v>
      </c>
      <c r="B566" s="286">
        <f t="shared" si="8"/>
        <v>262710383</v>
      </c>
      <c r="C566" s="367" t="s">
        <v>2862</v>
      </c>
      <c r="D566" s="355" t="s">
        <v>2863</v>
      </c>
      <c r="E566" s="364" t="s">
        <v>18</v>
      </c>
      <c r="F566" s="317"/>
      <c r="G566" s="318"/>
      <c r="H566" s="318"/>
      <c r="I566" s="318"/>
    </row>
    <row r="567" ht="12.75" customHeight="1" spans="1:9">
      <c r="A567" s="314">
        <v>20</v>
      </c>
      <c r="B567" s="286">
        <f t="shared" si="8"/>
        <v>262710384</v>
      </c>
      <c r="C567" s="363" t="s">
        <v>2864</v>
      </c>
      <c r="D567" s="355" t="s">
        <v>2865</v>
      </c>
      <c r="E567" s="364" t="s">
        <v>18</v>
      </c>
      <c r="F567" s="317"/>
      <c r="G567" s="318"/>
      <c r="H567" s="318"/>
      <c r="I567" s="318"/>
    </row>
    <row r="568" ht="12.75" customHeight="1" spans="1:9">
      <c r="A568" s="314">
        <v>21</v>
      </c>
      <c r="B568" s="286">
        <f t="shared" si="8"/>
        <v>262710385</v>
      </c>
      <c r="C568" s="363" t="s">
        <v>2866</v>
      </c>
      <c r="D568" s="355" t="s">
        <v>2867</v>
      </c>
      <c r="E568" s="364" t="s">
        <v>18</v>
      </c>
      <c r="F568" s="317"/>
      <c r="G568" s="318"/>
      <c r="H568" s="318"/>
      <c r="I568" s="318"/>
    </row>
    <row r="569" ht="12.75" customHeight="1" spans="1:9">
      <c r="A569" s="314">
        <v>22</v>
      </c>
      <c r="B569" s="286">
        <f t="shared" si="8"/>
        <v>262710386</v>
      </c>
      <c r="C569" s="363" t="s">
        <v>2868</v>
      </c>
      <c r="D569" s="355" t="s">
        <v>2869</v>
      </c>
      <c r="E569" s="364" t="s">
        <v>23</v>
      </c>
      <c r="F569" s="317"/>
      <c r="G569" s="318"/>
      <c r="H569" s="318"/>
      <c r="I569" s="318"/>
    </row>
    <row r="570" ht="12.75" customHeight="1" spans="1:9">
      <c r="A570" s="314">
        <v>23</v>
      </c>
      <c r="B570" s="286">
        <f t="shared" si="8"/>
        <v>262710387</v>
      </c>
      <c r="C570" s="363" t="s">
        <v>2870</v>
      </c>
      <c r="D570" s="355" t="s">
        <v>2871</v>
      </c>
      <c r="E570" s="364" t="s">
        <v>23</v>
      </c>
      <c r="F570" s="317"/>
      <c r="G570" s="318"/>
      <c r="H570" s="318"/>
      <c r="I570" s="318"/>
    </row>
    <row r="571" ht="12.75" customHeight="1" spans="1:9">
      <c r="A571" s="314">
        <v>24</v>
      </c>
      <c r="B571" s="286">
        <f t="shared" si="8"/>
        <v>262710388</v>
      </c>
      <c r="C571" s="363" t="s">
        <v>2872</v>
      </c>
      <c r="D571" s="355" t="s">
        <v>2873</v>
      </c>
      <c r="E571" s="364" t="s">
        <v>23</v>
      </c>
      <c r="F571" s="317"/>
      <c r="G571" s="318"/>
      <c r="H571" s="318"/>
      <c r="I571" s="318"/>
    </row>
    <row r="572" ht="12.75" customHeight="1" spans="1:9">
      <c r="A572" s="314">
        <v>25</v>
      </c>
      <c r="B572" s="286">
        <f t="shared" si="8"/>
        <v>262710389</v>
      </c>
      <c r="C572" s="365" t="s">
        <v>2874</v>
      </c>
      <c r="D572" s="355" t="s">
        <v>2875</v>
      </c>
      <c r="E572" s="366" t="s">
        <v>23</v>
      </c>
      <c r="F572" s="317"/>
      <c r="G572" s="318"/>
      <c r="H572" s="318"/>
      <c r="I572" s="318"/>
    </row>
    <row r="573" ht="12.75" customHeight="1" spans="1:9">
      <c r="A573" s="314">
        <v>26</v>
      </c>
      <c r="B573" s="286">
        <f t="shared" si="8"/>
        <v>262710390</v>
      </c>
      <c r="C573" s="363" t="s">
        <v>2876</v>
      </c>
      <c r="D573" s="355" t="s">
        <v>2877</v>
      </c>
      <c r="E573" s="369" t="s">
        <v>23</v>
      </c>
      <c r="F573" s="317"/>
      <c r="G573" s="318"/>
      <c r="H573" s="318"/>
      <c r="I573" s="318"/>
    </row>
    <row r="574" ht="12.75" customHeight="1" spans="1:9">
      <c r="A574" s="314">
        <v>27</v>
      </c>
      <c r="B574" s="286">
        <f t="shared" si="8"/>
        <v>262710391</v>
      </c>
      <c r="C574" s="363" t="s">
        <v>2878</v>
      </c>
      <c r="D574" s="355" t="s">
        <v>2879</v>
      </c>
      <c r="E574" s="364" t="s">
        <v>23</v>
      </c>
      <c r="F574" s="317"/>
      <c r="G574" s="318"/>
      <c r="H574" s="318"/>
      <c r="I574" s="318"/>
    </row>
    <row r="575" ht="12.75" customHeight="1" spans="1:9">
      <c r="A575" s="314">
        <v>28</v>
      </c>
      <c r="B575" s="286">
        <f t="shared" si="8"/>
        <v>262710392</v>
      </c>
      <c r="C575" s="363" t="s">
        <v>2880</v>
      </c>
      <c r="D575" s="355" t="s">
        <v>2881</v>
      </c>
      <c r="E575" s="364" t="s">
        <v>18</v>
      </c>
      <c r="F575" s="317"/>
      <c r="G575" s="318"/>
      <c r="H575" s="318"/>
      <c r="I575" s="318"/>
    </row>
    <row r="576" ht="12.75" customHeight="1" spans="1:9">
      <c r="A576" s="314">
        <v>29</v>
      </c>
      <c r="B576" s="286">
        <f t="shared" si="8"/>
        <v>262710393</v>
      </c>
      <c r="C576" s="363" t="s">
        <v>2882</v>
      </c>
      <c r="D576" s="355" t="s">
        <v>2883</v>
      </c>
      <c r="E576" s="364" t="s">
        <v>18</v>
      </c>
      <c r="F576" s="317"/>
      <c r="G576" s="318"/>
      <c r="H576" s="318"/>
      <c r="I576" s="318"/>
    </row>
    <row r="577" ht="12.75" customHeight="1" spans="1:9">
      <c r="A577" s="314">
        <v>30</v>
      </c>
      <c r="B577" s="286">
        <f t="shared" si="8"/>
        <v>262710394</v>
      </c>
      <c r="C577" s="363" t="s">
        <v>2884</v>
      </c>
      <c r="D577" s="355" t="s">
        <v>2885</v>
      </c>
      <c r="E577" s="364" t="s">
        <v>23</v>
      </c>
      <c r="F577" s="317"/>
      <c r="G577" s="318"/>
      <c r="H577" s="318"/>
      <c r="I577" s="318"/>
    </row>
    <row r="578" ht="12.75" customHeight="1" spans="1:9">
      <c r="A578" s="314">
        <v>31</v>
      </c>
      <c r="B578" s="286">
        <f t="shared" si="8"/>
        <v>262710395</v>
      </c>
      <c r="C578" s="363" t="s">
        <v>2886</v>
      </c>
      <c r="D578" s="355" t="s">
        <v>2887</v>
      </c>
      <c r="E578" s="364" t="s">
        <v>18</v>
      </c>
      <c r="F578" s="317"/>
      <c r="G578" s="318"/>
      <c r="H578" s="318"/>
      <c r="I578" s="318"/>
    </row>
    <row r="579" ht="12.75" customHeight="1" spans="1:9">
      <c r="A579" s="314">
        <v>32</v>
      </c>
      <c r="B579" s="286">
        <f t="shared" si="8"/>
        <v>262710396</v>
      </c>
      <c r="C579" s="363" t="s">
        <v>2888</v>
      </c>
      <c r="D579" s="355" t="s">
        <v>2889</v>
      </c>
      <c r="E579" s="364" t="s">
        <v>18</v>
      </c>
      <c r="F579" s="317"/>
      <c r="G579" s="318"/>
      <c r="H579" s="318"/>
      <c r="I579" s="318"/>
    </row>
    <row r="580" ht="12.75" customHeight="1" spans="1:9">
      <c r="A580" s="314">
        <v>33</v>
      </c>
      <c r="B580" s="286">
        <f t="shared" si="8"/>
        <v>262710397</v>
      </c>
      <c r="C580" s="363" t="s">
        <v>2890</v>
      </c>
      <c r="D580" s="355" t="s">
        <v>2891</v>
      </c>
      <c r="E580" s="364" t="s">
        <v>18</v>
      </c>
      <c r="F580" s="317"/>
      <c r="G580" s="318"/>
      <c r="H580" s="318"/>
      <c r="I580" s="318"/>
    </row>
    <row r="581" ht="12.75" customHeight="1" spans="1:9">
      <c r="A581" s="314">
        <v>34</v>
      </c>
      <c r="B581" s="286">
        <f t="shared" si="8"/>
        <v>262710398</v>
      </c>
      <c r="C581" s="363" t="s">
        <v>2892</v>
      </c>
      <c r="D581" s="355" t="s">
        <v>2893</v>
      </c>
      <c r="E581" s="364" t="s">
        <v>18</v>
      </c>
      <c r="F581" s="317"/>
      <c r="G581" s="318"/>
      <c r="H581" s="318"/>
      <c r="I581" s="318"/>
    </row>
    <row r="582" ht="12.75" customHeight="1" spans="1:9">
      <c r="A582" s="314">
        <v>35</v>
      </c>
      <c r="B582" s="286">
        <f t="shared" si="8"/>
        <v>262710399</v>
      </c>
      <c r="C582" s="363" t="s">
        <v>2894</v>
      </c>
      <c r="D582" s="355" t="s">
        <v>2895</v>
      </c>
      <c r="E582" s="364" t="s">
        <v>23</v>
      </c>
      <c r="F582" s="326"/>
      <c r="G582" s="327"/>
      <c r="H582" s="327"/>
      <c r="I582" s="327"/>
    </row>
    <row r="583" ht="12.75" customHeight="1" spans="1:9">
      <c r="A583" s="314">
        <v>36</v>
      </c>
      <c r="B583" s="286">
        <f t="shared" si="8"/>
        <v>262710400</v>
      </c>
      <c r="C583" s="363" t="s">
        <v>2896</v>
      </c>
      <c r="D583" s="355" t="s">
        <v>2897</v>
      </c>
      <c r="E583" s="364" t="s">
        <v>18</v>
      </c>
      <c r="F583" s="318"/>
      <c r="G583" s="318"/>
      <c r="H583" s="318"/>
      <c r="I583" s="318"/>
    </row>
    <row r="584" ht="12.75" customHeight="1" spans="1:9">
      <c r="A584" s="314">
        <v>37</v>
      </c>
      <c r="B584" s="286">
        <f t="shared" si="8"/>
        <v>262710401</v>
      </c>
      <c r="C584" s="363" t="s">
        <v>2898</v>
      </c>
      <c r="D584" s="355" t="s">
        <v>2899</v>
      </c>
      <c r="E584" s="364" t="s">
        <v>18</v>
      </c>
      <c r="F584" s="318"/>
      <c r="G584" s="318"/>
      <c r="H584" s="318"/>
      <c r="I584" s="318"/>
    </row>
    <row r="585" ht="12.75" customHeight="1" spans="1:9">
      <c r="A585" s="314">
        <v>38</v>
      </c>
      <c r="B585" s="286">
        <f t="shared" si="8"/>
        <v>262710402</v>
      </c>
      <c r="C585" s="363" t="s">
        <v>2900</v>
      </c>
      <c r="D585" s="355" t="s">
        <v>2901</v>
      </c>
      <c r="E585" s="364" t="s">
        <v>23</v>
      </c>
      <c r="F585" s="318"/>
      <c r="G585" s="318"/>
      <c r="H585" s="318"/>
      <c r="I585" s="318"/>
    </row>
    <row r="586" ht="12.75" customHeight="1" spans="1:9">
      <c r="A586" s="314">
        <v>39</v>
      </c>
      <c r="B586" s="286">
        <f t="shared" si="8"/>
        <v>262710403</v>
      </c>
      <c r="C586" s="363" t="s">
        <v>2902</v>
      </c>
      <c r="D586" s="355" t="s">
        <v>2903</v>
      </c>
      <c r="E586" s="364" t="s">
        <v>23</v>
      </c>
      <c r="F586" s="318"/>
      <c r="G586" s="318"/>
      <c r="H586" s="318"/>
      <c r="I586" s="318"/>
    </row>
    <row r="587" ht="12.75" customHeight="1" spans="1:9">
      <c r="A587" s="314">
        <v>40</v>
      </c>
      <c r="B587" s="286">
        <f t="shared" si="8"/>
        <v>262710404</v>
      </c>
      <c r="C587" s="363" t="s">
        <v>2904</v>
      </c>
      <c r="D587" s="355" t="s">
        <v>2905</v>
      </c>
      <c r="E587" s="364" t="s">
        <v>18</v>
      </c>
      <c r="F587" s="318"/>
      <c r="G587" s="318"/>
      <c r="H587" s="318"/>
      <c r="I587" s="318"/>
    </row>
    <row r="588" ht="12.75" customHeight="1" spans="1:9">
      <c r="A588" s="314">
        <v>41</v>
      </c>
      <c r="B588" s="286">
        <f t="shared" si="8"/>
        <v>262710405</v>
      </c>
      <c r="C588" s="363" t="s">
        <v>2906</v>
      </c>
      <c r="D588" s="355" t="s">
        <v>2907</v>
      </c>
      <c r="E588" s="364" t="s">
        <v>18</v>
      </c>
      <c r="F588" s="318"/>
      <c r="G588" s="318"/>
      <c r="H588" s="318"/>
      <c r="I588" s="318"/>
    </row>
    <row r="589" ht="12.75" customHeight="1" spans="1:9">
      <c r="A589" s="314">
        <v>42</v>
      </c>
      <c r="B589" s="286">
        <f t="shared" si="8"/>
        <v>262710406</v>
      </c>
      <c r="C589" s="363" t="s">
        <v>2908</v>
      </c>
      <c r="D589" s="355" t="s">
        <v>2909</v>
      </c>
      <c r="E589" s="364" t="s">
        <v>18</v>
      </c>
      <c r="F589" s="318"/>
      <c r="G589" s="318"/>
      <c r="H589" s="318"/>
      <c r="I589" s="318"/>
    </row>
    <row r="590" ht="12.75" customHeight="1" spans="1:9">
      <c r="A590" s="314">
        <v>43</v>
      </c>
      <c r="B590" s="286">
        <f t="shared" si="8"/>
        <v>262710407</v>
      </c>
      <c r="C590" s="363" t="s">
        <v>2910</v>
      </c>
      <c r="D590" s="355" t="s">
        <v>2911</v>
      </c>
      <c r="E590" s="364" t="s">
        <v>18</v>
      </c>
      <c r="F590" s="318"/>
      <c r="G590" s="318"/>
      <c r="H590" s="318"/>
      <c r="I590" s="318"/>
    </row>
    <row r="591" ht="12.75" customHeight="1" spans="1:9">
      <c r="A591" s="314">
        <v>44</v>
      </c>
      <c r="B591" s="286">
        <f t="shared" si="8"/>
        <v>262710408</v>
      </c>
      <c r="C591" s="363" t="s">
        <v>2912</v>
      </c>
      <c r="D591" s="355" t="s">
        <v>2913</v>
      </c>
      <c r="E591" s="364" t="s">
        <v>18</v>
      </c>
      <c r="F591" s="318"/>
      <c r="G591" s="318"/>
      <c r="H591" s="318"/>
      <c r="I591" s="318"/>
    </row>
    <row r="592" s="289" customFormat="1" ht="12.75" customHeight="1" spans="1:9">
      <c r="A592" s="314">
        <v>45</v>
      </c>
      <c r="B592" s="286">
        <f t="shared" si="8"/>
        <v>262710409</v>
      </c>
      <c r="C592" s="356" t="s">
        <v>2914</v>
      </c>
      <c r="D592" s="355" t="s">
        <v>2915</v>
      </c>
      <c r="E592" s="341" t="s">
        <v>23</v>
      </c>
      <c r="F592" s="331"/>
      <c r="G592" s="331"/>
      <c r="H592" s="331"/>
      <c r="I592" s="331"/>
    </row>
    <row r="593" s="289" customFormat="1" ht="12.75" customHeight="1" spans="1:9">
      <c r="A593" s="314">
        <v>46</v>
      </c>
      <c r="B593" s="286">
        <f t="shared" si="8"/>
        <v>262710410</v>
      </c>
      <c r="C593" s="356" t="s">
        <v>2916</v>
      </c>
      <c r="D593" s="355" t="s">
        <v>2917</v>
      </c>
      <c r="E593" s="341" t="s">
        <v>23</v>
      </c>
      <c r="F593" s="331"/>
      <c r="G593" s="331"/>
      <c r="H593" s="331"/>
      <c r="I593" s="331"/>
    </row>
    <row r="594" s="289" customFormat="1" ht="12.75" customHeight="1" spans="1:9">
      <c r="A594" s="293"/>
      <c r="B594" s="334"/>
      <c r="C594" s="334"/>
      <c r="D594" s="381" t="s">
        <v>89</v>
      </c>
      <c r="E594" s="382">
        <f>COUNTIF(E548:E593,"L")</f>
        <v>20</v>
      </c>
    </row>
    <row r="595" s="289" customFormat="1" ht="12.75" customHeight="1" spans="1:9">
      <c r="A595" s="293"/>
      <c r="B595" s="334"/>
      <c r="C595" s="334"/>
      <c r="D595" s="381" t="s">
        <v>90</v>
      </c>
      <c r="E595" s="382">
        <f>COUNTIF(E549:E593,"P")</f>
        <v>26</v>
      </c>
    </row>
    <row r="596" s="289" customFormat="1" ht="12.75" customHeight="1" spans="1:9">
      <c r="A596" s="293"/>
      <c r="B596" s="334"/>
      <c r="C596" s="334"/>
      <c r="D596" s="304"/>
      <c r="E596" s="336"/>
    </row>
    <row r="597" s="289" customFormat="1" ht="12.75" customHeight="1" spans="1:9">
      <c r="A597" s="293"/>
      <c r="B597" s="334" t="s">
        <v>91</v>
      </c>
      <c r="C597" s="334"/>
      <c r="D597" s="304"/>
      <c r="E597" s="336"/>
      <c r="F597" s="289" t="s">
        <v>92</v>
      </c>
    </row>
    <row r="598" s="289" customFormat="1" ht="12.75" customHeight="1" spans="1:9">
      <c r="A598" s="293"/>
      <c r="B598" s="334"/>
      <c r="C598" s="334"/>
      <c r="D598" s="304"/>
      <c r="E598" s="336"/>
    </row>
    <row r="599" s="289" customFormat="1" ht="12.75" customHeight="1" spans="1:9">
      <c r="A599" s="293"/>
      <c r="B599" s="334"/>
      <c r="C599" s="334"/>
      <c r="D599" s="304"/>
      <c r="E599" s="336"/>
    </row>
    <row r="600" s="289" customFormat="1" ht="12.75" customHeight="1" spans="1:9">
      <c r="A600" s="293"/>
      <c r="B600" s="334"/>
      <c r="C600" s="334"/>
      <c r="D600" s="304"/>
      <c r="E600" s="336"/>
    </row>
    <row r="601" s="289" customFormat="1" ht="12.75" customHeight="1" spans="1:9">
      <c r="A601" s="293"/>
      <c r="B601" s="338" t="s">
        <v>93</v>
      </c>
      <c r="C601" s="334"/>
      <c r="D601" s="304"/>
      <c r="E601" s="336"/>
      <c r="F601" s="289" t="s">
        <v>94</v>
      </c>
    </row>
    <row r="602" s="289" customFormat="1" ht="12.75" customHeight="1" spans="1:9">
      <c r="A602" s="293"/>
      <c r="B602" s="400" t="s">
        <v>95</v>
      </c>
      <c r="C602" s="334"/>
      <c r="D602" s="304"/>
      <c r="E602" s="336"/>
    </row>
    <row r="603" ht="12.75" customHeight="1" spans="1:9">
      <c r="A603" s="357"/>
      <c r="B603" s="358"/>
      <c r="C603" s="358"/>
      <c r="D603" s="358"/>
      <c r="E603" s="359"/>
      <c r="F603" s="360"/>
      <c r="G603" s="360"/>
      <c r="H603" s="360"/>
      <c r="I603" s="360"/>
    </row>
    <row r="604" ht="12.75" customHeight="1" spans="1:9">
      <c r="A604" s="297" t="s">
        <v>1</v>
      </c>
      <c r="B604" s="297"/>
      <c r="C604" s="297"/>
      <c r="D604" s="297"/>
      <c r="E604" s="297"/>
      <c r="F604" s="297"/>
      <c r="G604" s="297"/>
      <c r="H604" s="297"/>
      <c r="I604" s="297"/>
    </row>
    <row r="605" ht="12.75" customHeight="1" spans="1:9">
      <c r="A605" s="297" t="s">
        <v>2</v>
      </c>
      <c r="B605" s="297"/>
      <c r="C605" s="297"/>
      <c r="D605" s="297"/>
      <c r="E605" s="297"/>
      <c r="F605" s="297"/>
      <c r="G605" s="297"/>
      <c r="H605" s="297"/>
      <c r="I605" s="297"/>
    </row>
    <row r="606" ht="12.75" customHeight="1" spans="1:9">
      <c r="A606" s="297" t="s">
        <v>3</v>
      </c>
      <c r="B606" s="297"/>
      <c r="C606" s="297"/>
      <c r="D606" s="297"/>
      <c r="E606" s="297"/>
      <c r="F606" s="297"/>
      <c r="G606" s="297"/>
      <c r="H606" s="297"/>
      <c r="I606" s="297"/>
    </row>
    <row r="607" s="291" customFormat="1" ht="16.5" customHeight="1" spans="1:9">
      <c r="A607" s="298" t="s">
        <v>4</v>
      </c>
      <c r="B607" s="298"/>
      <c r="C607" s="298"/>
      <c r="D607" s="298"/>
      <c r="E607" s="298"/>
      <c r="F607" s="298"/>
      <c r="G607" s="298"/>
      <c r="H607" s="298"/>
      <c r="I607" s="298"/>
    </row>
    <row r="608" ht="12.75" customHeight="1" spans="1:9">
      <c r="A608" s="299" t="s">
        <v>5</v>
      </c>
      <c r="B608" s="299"/>
      <c r="C608" s="299"/>
      <c r="D608" s="299"/>
      <c r="E608" s="299"/>
      <c r="F608" s="299"/>
      <c r="G608" s="299"/>
      <c r="H608" s="299"/>
      <c r="I608" s="299"/>
    </row>
    <row r="609" customHeight="1" spans="1:9">
      <c r="A609" s="299"/>
      <c r="B609" s="299"/>
      <c r="C609" s="299"/>
      <c r="D609" s="299"/>
      <c r="E609" s="299"/>
      <c r="F609" s="299"/>
      <c r="G609" s="299"/>
      <c r="H609" s="299"/>
      <c r="I609" s="299"/>
    </row>
    <row r="610" ht="12.75" customHeight="1" spans="1:9">
      <c r="A610" s="299"/>
      <c r="B610" s="299"/>
      <c r="C610" s="299"/>
      <c r="D610" s="299"/>
      <c r="E610" s="299"/>
      <c r="F610" s="299"/>
      <c r="G610" s="299"/>
      <c r="H610" s="299"/>
      <c r="I610" s="299"/>
    </row>
    <row r="611" s="289" customFormat="1" ht="12.75" customHeight="1" spans="1:9">
      <c r="A611" s="300" t="s">
        <v>6</v>
      </c>
      <c r="B611" s="300"/>
      <c r="C611" s="300"/>
      <c r="D611" s="300"/>
      <c r="E611" s="300"/>
      <c r="F611" s="300"/>
      <c r="G611" s="300"/>
      <c r="H611" s="300"/>
      <c r="I611" s="300"/>
    </row>
    <row r="612" s="289" customFormat="1" ht="12.75" customHeight="1" spans="1:9">
      <c r="A612" s="300"/>
      <c r="B612" s="300"/>
      <c r="C612" s="300"/>
      <c r="D612" s="300"/>
      <c r="E612" s="300"/>
      <c r="F612" s="300"/>
      <c r="G612" s="300"/>
      <c r="H612" s="300"/>
      <c r="I612" s="300"/>
    </row>
    <row r="613" s="289" customFormat="1" ht="12.75" customHeight="1" spans="1:9">
      <c r="A613" s="301"/>
      <c r="B613" s="302" t="s">
        <v>2918</v>
      </c>
      <c r="C613" s="303"/>
      <c r="D613" s="383" t="s">
        <v>8</v>
      </c>
      <c r="E613" s="370" t="s">
        <v>2919</v>
      </c>
      <c r="F613" s="401"/>
      <c r="G613" s="401"/>
      <c r="H613" s="401"/>
      <c r="I613" s="401"/>
    </row>
    <row r="614" s="289" customFormat="1" ht="19.5" customHeight="1" spans="1:9">
      <c r="A614" s="307" t="s">
        <v>10</v>
      </c>
      <c r="B614" s="308" t="s">
        <v>11</v>
      </c>
      <c r="C614" s="308" t="s">
        <v>12</v>
      </c>
      <c r="D614" s="308" t="s">
        <v>13</v>
      </c>
      <c r="E614" s="309" t="s">
        <v>14</v>
      </c>
      <c r="F614" s="310"/>
      <c r="G614" s="310"/>
      <c r="H614" s="310"/>
      <c r="I614" s="310"/>
    </row>
    <row r="615" ht="12.75" customHeight="1" spans="1:9">
      <c r="A615" s="314">
        <v>1</v>
      </c>
      <c r="B615" s="276">
        <v>262710411</v>
      </c>
      <c r="C615" s="371" t="s">
        <v>2920</v>
      </c>
      <c r="D615" s="355" t="s">
        <v>2921</v>
      </c>
      <c r="E615" s="341" t="s">
        <v>18</v>
      </c>
      <c r="F615" s="317"/>
      <c r="G615" s="318"/>
      <c r="H615" s="318"/>
      <c r="I615" s="318"/>
    </row>
    <row r="616" s="291" customFormat="1" ht="12.75" customHeight="1" spans="1:9">
      <c r="A616" s="314">
        <v>2</v>
      </c>
      <c r="B616" s="278">
        <f t="shared" ref="B616:B660" si="9">B615+1</f>
        <v>262710412</v>
      </c>
      <c r="C616" s="371" t="s">
        <v>2922</v>
      </c>
      <c r="D616" s="355" t="s">
        <v>2923</v>
      </c>
      <c r="E616" s="341" t="s">
        <v>23</v>
      </c>
      <c r="F616" s="317"/>
      <c r="G616" s="318"/>
      <c r="H616" s="318"/>
      <c r="I616" s="318"/>
    </row>
    <row r="617" ht="12.75" customHeight="1" spans="1:9">
      <c r="A617" s="314">
        <v>3</v>
      </c>
      <c r="B617" s="278">
        <f t="shared" si="9"/>
        <v>262710413</v>
      </c>
      <c r="C617" s="329" t="s">
        <v>2924</v>
      </c>
      <c r="D617" s="355" t="s">
        <v>2925</v>
      </c>
      <c r="E617" s="314" t="s">
        <v>18</v>
      </c>
      <c r="F617" s="317"/>
      <c r="G617" s="318"/>
      <c r="H617" s="318"/>
      <c r="I617" s="318"/>
    </row>
    <row r="618" ht="12.75" customHeight="1" spans="1:9">
      <c r="A618" s="314">
        <v>4</v>
      </c>
      <c r="B618" s="278">
        <f t="shared" si="9"/>
        <v>262710414</v>
      </c>
      <c r="C618" s="371" t="s">
        <v>2926</v>
      </c>
      <c r="D618" s="355" t="s">
        <v>2927</v>
      </c>
      <c r="E618" s="341" t="s">
        <v>23</v>
      </c>
      <c r="F618" s="317"/>
      <c r="G618" s="318"/>
      <c r="H618" s="318"/>
      <c r="I618" s="318"/>
    </row>
    <row r="619" ht="12.75" customHeight="1" spans="1:9">
      <c r="A619" s="314">
        <v>5</v>
      </c>
      <c r="B619" s="278">
        <f t="shared" si="9"/>
        <v>262710415</v>
      </c>
      <c r="C619" s="371" t="s">
        <v>2928</v>
      </c>
      <c r="D619" s="355" t="s">
        <v>2929</v>
      </c>
      <c r="E619" s="341" t="s">
        <v>18</v>
      </c>
      <c r="F619" s="317"/>
      <c r="G619" s="318"/>
      <c r="H619" s="318"/>
      <c r="I619" s="318"/>
    </row>
    <row r="620" ht="12.75" customHeight="1" spans="1:9">
      <c r="A620" s="314">
        <v>6</v>
      </c>
      <c r="B620" s="278">
        <f t="shared" si="9"/>
        <v>262710416</v>
      </c>
      <c r="C620" s="371" t="s">
        <v>2930</v>
      </c>
      <c r="D620" s="355" t="s">
        <v>2931</v>
      </c>
      <c r="E620" s="341" t="s">
        <v>23</v>
      </c>
      <c r="F620" s="317"/>
      <c r="G620" s="318"/>
      <c r="H620" s="318"/>
      <c r="I620" s="318"/>
    </row>
    <row r="621" ht="12.75" customHeight="1" spans="1:9">
      <c r="A621" s="314">
        <v>7</v>
      </c>
      <c r="B621" s="278">
        <f t="shared" si="9"/>
        <v>262710417</v>
      </c>
      <c r="C621" s="371" t="s">
        <v>2932</v>
      </c>
      <c r="D621" s="355" t="s">
        <v>2933</v>
      </c>
      <c r="E621" s="341" t="s">
        <v>18</v>
      </c>
      <c r="F621" s="317"/>
      <c r="G621" s="318"/>
      <c r="H621" s="318"/>
      <c r="I621" s="318"/>
    </row>
    <row r="622" ht="12.75" customHeight="1" spans="1:9">
      <c r="A622" s="314">
        <v>8</v>
      </c>
      <c r="B622" s="278">
        <f t="shared" si="9"/>
        <v>262710418</v>
      </c>
      <c r="C622" s="371" t="s">
        <v>2934</v>
      </c>
      <c r="D622" s="355" t="s">
        <v>2935</v>
      </c>
      <c r="E622" s="341" t="s">
        <v>18</v>
      </c>
      <c r="F622" s="317"/>
      <c r="G622" s="318"/>
      <c r="H622" s="318"/>
      <c r="I622" s="318"/>
    </row>
    <row r="623" ht="12.75" customHeight="1" spans="1:9">
      <c r="A623" s="314">
        <v>9</v>
      </c>
      <c r="B623" s="278">
        <f t="shared" si="9"/>
        <v>262710419</v>
      </c>
      <c r="C623" s="371" t="s">
        <v>2936</v>
      </c>
      <c r="D623" s="355" t="s">
        <v>2937</v>
      </c>
      <c r="E623" s="341" t="s">
        <v>23</v>
      </c>
      <c r="F623" s="317"/>
      <c r="G623" s="318"/>
      <c r="H623" s="318"/>
      <c r="I623" s="318"/>
    </row>
    <row r="624" ht="12.75" customHeight="1" spans="1:9">
      <c r="A624" s="314">
        <v>10</v>
      </c>
      <c r="B624" s="278">
        <f t="shared" si="9"/>
        <v>262710420</v>
      </c>
      <c r="C624" s="371" t="s">
        <v>2938</v>
      </c>
      <c r="D624" s="355" t="s">
        <v>2939</v>
      </c>
      <c r="E624" s="341" t="s">
        <v>18</v>
      </c>
      <c r="F624" s="317"/>
      <c r="G624" s="318"/>
      <c r="H624" s="318"/>
      <c r="I624" s="318"/>
    </row>
    <row r="625" ht="12.75" customHeight="1" spans="1:9">
      <c r="A625" s="314">
        <v>11</v>
      </c>
      <c r="B625" s="278">
        <f t="shared" si="9"/>
        <v>262710421</v>
      </c>
      <c r="C625" s="371" t="s">
        <v>2940</v>
      </c>
      <c r="D625" s="355" t="s">
        <v>2941</v>
      </c>
      <c r="E625" s="341" t="s">
        <v>18</v>
      </c>
      <c r="F625" s="317"/>
      <c r="G625" s="318"/>
      <c r="H625" s="318"/>
      <c r="I625" s="318"/>
    </row>
    <row r="626" ht="12.75" customHeight="1" spans="1:9">
      <c r="A626" s="314">
        <v>12</v>
      </c>
      <c r="B626" s="278">
        <f t="shared" si="9"/>
        <v>262710422</v>
      </c>
      <c r="C626" s="371" t="s">
        <v>2942</v>
      </c>
      <c r="D626" s="355" t="s">
        <v>2943</v>
      </c>
      <c r="E626" s="341" t="s">
        <v>23</v>
      </c>
      <c r="F626" s="317"/>
      <c r="G626" s="318"/>
      <c r="H626" s="318"/>
      <c r="I626" s="318"/>
    </row>
    <row r="627" ht="12.75" customHeight="1" spans="1:9">
      <c r="A627" s="314">
        <v>13</v>
      </c>
      <c r="B627" s="278">
        <f t="shared" si="9"/>
        <v>262710423</v>
      </c>
      <c r="C627" s="371" t="s">
        <v>2944</v>
      </c>
      <c r="D627" s="355" t="s">
        <v>2945</v>
      </c>
      <c r="E627" s="341" t="s">
        <v>23</v>
      </c>
      <c r="F627" s="317"/>
      <c r="G627" s="318"/>
      <c r="H627" s="318"/>
      <c r="I627" s="318"/>
    </row>
    <row r="628" ht="12.75" customHeight="1" spans="1:9">
      <c r="A628" s="314">
        <v>14</v>
      </c>
      <c r="B628" s="278">
        <f t="shared" si="9"/>
        <v>262710424</v>
      </c>
      <c r="C628" s="371" t="s">
        <v>2946</v>
      </c>
      <c r="D628" s="355" t="s">
        <v>2947</v>
      </c>
      <c r="E628" s="341" t="s">
        <v>23</v>
      </c>
      <c r="F628" s="317"/>
      <c r="G628" s="318"/>
      <c r="H628" s="318"/>
      <c r="I628" s="318"/>
    </row>
    <row r="629" ht="12.75" customHeight="1" spans="1:9">
      <c r="A629" s="314">
        <v>15</v>
      </c>
      <c r="B629" s="278">
        <f t="shared" si="9"/>
        <v>262710425</v>
      </c>
      <c r="C629" s="371" t="s">
        <v>2948</v>
      </c>
      <c r="D629" s="355" t="s">
        <v>2949</v>
      </c>
      <c r="E629" s="341" t="s">
        <v>18</v>
      </c>
      <c r="F629" s="317"/>
      <c r="G629" s="318"/>
      <c r="H629" s="318"/>
      <c r="I629" s="318"/>
    </row>
    <row r="630" ht="12.75" customHeight="1" spans="1:9">
      <c r="A630" s="314">
        <v>16</v>
      </c>
      <c r="B630" s="278">
        <f t="shared" si="9"/>
        <v>262710426</v>
      </c>
      <c r="C630" s="371" t="s">
        <v>2950</v>
      </c>
      <c r="D630" s="355" t="s">
        <v>2951</v>
      </c>
      <c r="E630" s="341" t="s">
        <v>18</v>
      </c>
      <c r="F630" s="317"/>
      <c r="G630" s="318"/>
      <c r="H630" s="318"/>
      <c r="I630" s="318"/>
    </row>
    <row r="631" ht="12.75" customHeight="1" spans="1:9">
      <c r="A631" s="314">
        <v>17</v>
      </c>
      <c r="B631" s="278">
        <f t="shared" si="9"/>
        <v>262710427</v>
      </c>
      <c r="C631" s="371" t="s">
        <v>2952</v>
      </c>
      <c r="D631" s="355" t="s">
        <v>2953</v>
      </c>
      <c r="E631" s="341" t="s">
        <v>18</v>
      </c>
      <c r="F631" s="317"/>
      <c r="G631" s="318"/>
      <c r="H631" s="318"/>
      <c r="I631" s="318"/>
    </row>
    <row r="632" ht="12.75" customHeight="1" spans="1:9">
      <c r="A632" s="314">
        <v>18</v>
      </c>
      <c r="B632" s="278">
        <f t="shared" si="9"/>
        <v>262710428</v>
      </c>
      <c r="C632" s="371" t="s">
        <v>2954</v>
      </c>
      <c r="D632" s="355" t="s">
        <v>2955</v>
      </c>
      <c r="E632" s="341" t="s">
        <v>18</v>
      </c>
      <c r="F632" s="317"/>
      <c r="G632" s="318"/>
      <c r="H632" s="318"/>
      <c r="I632" s="318"/>
    </row>
    <row r="633" ht="12.75" customHeight="1" spans="1:9">
      <c r="A633" s="314">
        <v>19</v>
      </c>
      <c r="B633" s="278">
        <f t="shared" si="9"/>
        <v>262710429</v>
      </c>
      <c r="C633" s="371" t="s">
        <v>2956</v>
      </c>
      <c r="D633" s="355" t="s">
        <v>2957</v>
      </c>
      <c r="E633" s="341" t="s">
        <v>18</v>
      </c>
      <c r="F633" s="317"/>
      <c r="G633" s="318"/>
      <c r="H633" s="318"/>
      <c r="I633" s="318"/>
    </row>
    <row r="634" ht="12.75" customHeight="1" spans="1:9">
      <c r="A634" s="314">
        <v>20</v>
      </c>
      <c r="B634" s="278">
        <f t="shared" si="9"/>
        <v>262710430</v>
      </c>
      <c r="C634" s="329" t="s">
        <v>2958</v>
      </c>
      <c r="D634" s="355" t="s">
        <v>2959</v>
      </c>
      <c r="E634" s="314" t="s">
        <v>23</v>
      </c>
      <c r="F634" s="317"/>
      <c r="G634" s="318"/>
      <c r="H634" s="318"/>
      <c r="I634" s="318"/>
    </row>
    <row r="635" ht="12.75" customHeight="1" spans="1:9">
      <c r="A635" s="314">
        <v>21</v>
      </c>
      <c r="B635" s="278">
        <f t="shared" si="9"/>
        <v>262710431</v>
      </c>
      <c r="C635" s="371" t="s">
        <v>2960</v>
      </c>
      <c r="D635" s="355" t="s">
        <v>2961</v>
      </c>
      <c r="E635" s="341" t="s">
        <v>23</v>
      </c>
      <c r="F635" s="317"/>
      <c r="G635" s="318"/>
      <c r="H635" s="318"/>
      <c r="I635" s="318"/>
    </row>
    <row r="636" ht="12.75" customHeight="1" spans="1:9">
      <c r="A636" s="314">
        <v>22</v>
      </c>
      <c r="B636" s="278">
        <f t="shared" si="9"/>
        <v>262710432</v>
      </c>
      <c r="C636" s="356" t="s">
        <v>2962</v>
      </c>
      <c r="D636" s="355" t="s">
        <v>2963</v>
      </c>
      <c r="E636" s="341" t="s">
        <v>23</v>
      </c>
      <c r="F636" s="317"/>
      <c r="G636" s="318"/>
      <c r="H636" s="318"/>
      <c r="I636" s="318"/>
    </row>
    <row r="637" ht="12.75" customHeight="1" spans="1:9">
      <c r="A637" s="314">
        <v>23</v>
      </c>
      <c r="B637" s="278">
        <f t="shared" si="9"/>
        <v>262710433</v>
      </c>
      <c r="C637" s="371" t="s">
        <v>2964</v>
      </c>
      <c r="D637" s="355" t="s">
        <v>2965</v>
      </c>
      <c r="E637" s="341" t="s">
        <v>23</v>
      </c>
      <c r="F637" s="317"/>
      <c r="G637" s="318"/>
      <c r="H637" s="318"/>
      <c r="I637" s="318"/>
    </row>
    <row r="638" ht="12.75" customHeight="1" spans="1:9">
      <c r="A638" s="314">
        <v>24</v>
      </c>
      <c r="B638" s="278">
        <f t="shared" si="9"/>
        <v>262710434</v>
      </c>
      <c r="C638" s="371" t="s">
        <v>2966</v>
      </c>
      <c r="D638" s="355" t="s">
        <v>2967</v>
      </c>
      <c r="E638" s="341" t="s">
        <v>23</v>
      </c>
      <c r="F638" s="317"/>
      <c r="G638" s="318"/>
      <c r="H638" s="318"/>
      <c r="I638" s="318"/>
    </row>
    <row r="639" ht="12.75" customHeight="1" spans="1:9">
      <c r="A639" s="314">
        <v>25</v>
      </c>
      <c r="B639" s="278">
        <f t="shared" si="9"/>
        <v>262710435</v>
      </c>
      <c r="C639" s="329" t="s">
        <v>2968</v>
      </c>
      <c r="D639" s="355" t="s">
        <v>2969</v>
      </c>
      <c r="E639" s="314" t="s">
        <v>23</v>
      </c>
      <c r="F639" s="317"/>
      <c r="G639" s="318"/>
      <c r="H639" s="318"/>
      <c r="I639" s="318"/>
    </row>
    <row r="640" ht="12.75" customHeight="1" spans="1:9">
      <c r="A640" s="314">
        <v>26</v>
      </c>
      <c r="B640" s="278">
        <f t="shared" si="9"/>
        <v>262710436</v>
      </c>
      <c r="C640" s="371" t="s">
        <v>2970</v>
      </c>
      <c r="D640" s="355" t="s">
        <v>2971</v>
      </c>
      <c r="E640" s="341" t="s">
        <v>18</v>
      </c>
      <c r="F640" s="317"/>
      <c r="G640" s="318"/>
      <c r="H640" s="318"/>
      <c r="I640" s="318"/>
    </row>
    <row r="641" ht="12.75" customHeight="1" spans="1:9">
      <c r="A641" s="314">
        <v>27</v>
      </c>
      <c r="B641" s="278">
        <f t="shared" si="9"/>
        <v>262710437</v>
      </c>
      <c r="C641" s="329" t="s">
        <v>2972</v>
      </c>
      <c r="D641" s="355" t="s">
        <v>2973</v>
      </c>
      <c r="E641" s="314" t="s">
        <v>18</v>
      </c>
      <c r="F641" s="317"/>
      <c r="G641" s="318"/>
      <c r="H641" s="318"/>
      <c r="I641" s="318"/>
    </row>
    <row r="642" ht="12.75" customHeight="1" spans="1:9">
      <c r="A642" s="314">
        <v>28</v>
      </c>
      <c r="B642" s="278">
        <f t="shared" si="9"/>
        <v>262710438</v>
      </c>
      <c r="C642" s="356" t="s">
        <v>2974</v>
      </c>
      <c r="D642" s="355" t="s">
        <v>2975</v>
      </c>
      <c r="E642" s="341" t="s">
        <v>18</v>
      </c>
      <c r="F642" s="317"/>
      <c r="G642" s="318"/>
      <c r="H642" s="318"/>
      <c r="I642" s="318"/>
    </row>
    <row r="643" ht="12.75" customHeight="1" spans="1:9">
      <c r="A643" s="314">
        <v>29</v>
      </c>
      <c r="B643" s="278">
        <f t="shared" si="9"/>
        <v>262710439</v>
      </c>
      <c r="C643" s="371" t="s">
        <v>2976</v>
      </c>
      <c r="D643" s="355" t="s">
        <v>2977</v>
      </c>
      <c r="E643" s="341" t="s">
        <v>23</v>
      </c>
      <c r="F643" s="317"/>
      <c r="G643" s="318"/>
      <c r="H643" s="318"/>
      <c r="I643" s="318"/>
    </row>
    <row r="644" ht="12.75" customHeight="1" spans="1:9">
      <c r="A644" s="314">
        <v>30</v>
      </c>
      <c r="B644" s="278">
        <f t="shared" si="9"/>
        <v>262710440</v>
      </c>
      <c r="C644" s="371" t="s">
        <v>2978</v>
      </c>
      <c r="D644" s="355" t="s">
        <v>2979</v>
      </c>
      <c r="E644" s="341" t="s">
        <v>18</v>
      </c>
      <c r="F644" s="317"/>
      <c r="G644" s="318"/>
      <c r="H644" s="318"/>
      <c r="I644" s="318"/>
    </row>
    <row r="645" ht="12.75" customHeight="1" spans="1:9">
      <c r="A645" s="314">
        <v>31</v>
      </c>
      <c r="B645" s="278">
        <f t="shared" si="9"/>
        <v>262710441</v>
      </c>
      <c r="C645" s="371" t="s">
        <v>2980</v>
      </c>
      <c r="D645" s="355" t="s">
        <v>2981</v>
      </c>
      <c r="E645" s="341" t="s">
        <v>18</v>
      </c>
      <c r="F645" s="317"/>
      <c r="G645" s="318"/>
      <c r="H645" s="318"/>
      <c r="I645" s="318"/>
    </row>
    <row r="646" ht="12.75" customHeight="1" spans="1:9">
      <c r="A646" s="314">
        <v>32</v>
      </c>
      <c r="B646" s="278">
        <f t="shared" si="9"/>
        <v>262710442</v>
      </c>
      <c r="C646" s="371" t="s">
        <v>2982</v>
      </c>
      <c r="D646" s="355" t="s">
        <v>2983</v>
      </c>
      <c r="E646" s="341" t="s">
        <v>18</v>
      </c>
      <c r="F646" s="317"/>
      <c r="G646" s="318"/>
      <c r="H646" s="318"/>
      <c r="I646" s="318"/>
    </row>
    <row r="647" ht="12.75" customHeight="1" spans="1:9">
      <c r="A647" s="314">
        <v>33</v>
      </c>
      <c r="B647" s="278">
        <f t="shared" si="9"/>
        <v>262710443</v>
      </c>
      <c r="C647" s="371" t="s">
        <v>2984</v>
      </c>
      <c r="D647" s="355" t="s">
        <v>2985</v>
      </c>
      <c r="E647" s="341" t="s">
        <v>23</v>
      </c>
      <c r="F647" s="317"/>
      <c r="G647" s="318"/>
      <c r="H647" s="318"/>
      <c r="I647" s="318"/>
    </row>
    <row r="648" ht="12.75" customHeight="1" spans="1:9">
      <c r="A648" s="314">
        <v>34</v>
      </c>
      <c r="B648" s="278">
        <f t="shared" si="9"/>
        <v>262710444</v>
      </c>
      <c r="C648" s="371" t="s">
        <v>2986</v>
      </c>
      <c r="D648" s="355" t="s">
        <v>2987</v>
      </c>
      <c r="E648" s="341" t="s">
        <v>18</v>
      </c>
      <c r="F648" s="326"/>
      <c r="G648" s="327"/>
      <c r="H648" s="327"/>
      <c r="I648" s="327"/>
    </row>
    <row r="649" ht="12.75" customHeight="1" spans="1:9">
      <c r="A649" s="314">
        <v>35</v>
      </c>
      <c r="B649" s="278">
        <f t="shared" si="9"/>
        <v>262710445</v>
      </c>
      <c r="C649" s="371" t="s">
        <v>2988</v>
      </c>
      <c r="D649" s="355" t="s">
        <v>2989</v>
      </c>
      <c r="E649" s="341" t="s">
        <v>23</v>
      </c>
      <c r="F649" s="318"/>
      <c r="G649" s="318"/>
      <c r="H649" s="318"/>
      <c r="I649" s="318"/>
    </row>
    <row r="650" ht="12.75" customHeight="1" spans="1:9">
      <c r="A650" s="314">
        <v>36</v>
      </c>
      <c r="B650" s="278">
        <f t="shared" si="9"/>
        <v>262710446</v>
      </c>
      <c r="C650" s="371" t="s">
        <v>2990</v>
      </c>
      <c r="D650" s="355" t="s">
        <v>2991</v>
      </c>
      <c r="E650" s="341" t="s">
        <v>18</v>
      </c>
      <c r="F650" s="318"/>
      <c r="G650" s="318"/>
      <c r="H650" s="318"/>
      <c r="I650" s="318"/>
    </row>
    <row r="651" ht="12.75" customHeight="1" spans="1:9">
      <c r="A651" s="314">
        <v>37</v>
      </c>
      <c r="B651" s="278">
        <f t="shared" si="9"/>
        <v>262710447</v>
      </c>
      <c r="C651" s="371" t="s">
        <v>2992</v>
      </c>
      <c r="D651" s="355" t="s">
        <v>2993</v>
      </c>
      <c r="E651" s="341" t="s">
        <v>23</v>
      </c>
      <c r="F651" s="318"/>
      <c r="G651" s="318"/>
      <c r="H651" s="318"/>
      <c r="I651" s="318"/>
    </row>
    <row r="652" ht="12.75" customHeight="1" spans="1:9">
      <c r="A652" s="314">
        <v>38</v>
      </c>
      <c r="B652" s="278">
        <f t="shared" si="9"/>
        <v>262710448</v>
      </c>
      <c r="C652" s="371" t="s">
        <v>2994</v>
      </c>
      <c r="D652" s="355" t="s">
        <v>2995</v>
      </c>
      <c r="E652" s="341" t="s">
        <v>18</v>
      </c>
      <c r="F652" s="318"/>
      <c r="G652" s="318"/>
      <c r="H652" s="318"/>
      <c r="I652" s="318"/>
    </row>
    <row r="653" ht="12.75" customHeight="1" spans="1:9">
      <c r="A653" s="314">
        <v>39</v>
      </c>
      <c r="B653" s="278">
        <f t="shared" si="9"/>
        <v>262710449</v>
      </c>
      <c r="C653" s="371" t="s">
        <v>2996</v>
      </c>
      <c r="D653" s="355" t="s">
        <v>2997</v>
      </c>
      <c r="E653" s="341" t="s">
        <v>18</v>
      </c>
      <c r="F653" s="318"/>
      <c r="G653" s="318"/>
      <c r="H653" s="318"/>
      <c r="I653" s="318"/>
    </row>
    <row r="654" ht="12.75" customHeight="1" spans="1:9">
      <c r="A654" s="314">
        <v>40</v>
      </c>
      <c r="B654" s="278">
        <f t="shared" si="9"/>
        <v>262710450</v>
      </c>
      <c r="C654" s="371" t="s">
        <v>2998</v>
      </c>
      <c r="D654" s="355" t="s">
        <v>2999</v>
      </c>
      <c r="E654" s="341" t="s">
        <v>18</v>
      </c>
      <c r="F654" s="318"/>
      <c r="G654" s="318"/>
      <c r="H654" s="318"/>
      <c r="I654" s="318"/>
    </row>
    <row r="655" ht="12.75" customHeight="1" spans="1:9">
      <c r="A655" s="314">
        <v>41</v>
      </c>
      <c r="B655" s="278">
        <f t="shared" si="9"/>
        <v>262710451</v>
      </c>
      <c r="C655" s="371" t="s">
        <v>3000</v>
      </c>
      <c r="D655" s="355" t="s">
        <v>3001</v>
      </c>
      <c r="E655" s="341" t="s">
        <v>23</v>
      </c>
      <c r="F655" s="318"/>
      <c r="G655" s="318"/>
      <c r="H655" s="318"/>
      <c r="I655" s="318"/>
    </row>
    <row r="656" ht="12.75" customHeight="1" spans="1:9">
      <c r="A656" s="314">
        <v>42</v>
      </c>
      <c r="B656" s="278">
        <f t="shared" si="9"/>
        <v>262710452</v>
      </c>
      <c r="C656" s="371" t="s">
        <v>3002</v>
      </c>
      <c r="D656" s="355" t="s">
        <v>3003</v>
      </c>
      <c r="E656" s="341" t="s">
        <v>18</v>
      </c>
      <c r="F656" s="318"/>
      <c r="G656" s="318"/>
      <c r="H656" s="318"/>
      <c r="I656" s="318"/>
    </row>
    <row r="657" ht="12.75" customHeight="1" spans="1:9">
      <c r="A657" s="314">
        <v>43</v>
      </c>
      <c r="B657" s="278">
        <f t="shared" si="9"/>
        <v>262710453</v>
      </c>
      <c r="C657" s="356" t="s">
        <v>3004</v>
      </c>
      <c r="D657" s="355" t="s">
        <v>3005</v>
      </c>
      <c r="E657" s="341" t="s">
        <v>18</v>
      </c>
      <c r="F657" s="318"/>
      <c r="G657" s="318"/>
      <c r="H657" s="318"/>
      <c r="I657" s="318"/>
    </row>
    <row r="658" ht="12.75" customHeight="1" spans="1:9">
      <c r="A658" s="314">
        <v>44</v>
      </c>
      <c r="B658" s="278">
        <f t="shared" si="9"/>
        <v>262710454</v>
      </c>
      <c r="C658" s="371" t="s">
        <v>3006</v>
      </c>
      <c r="D658" s="355" t="s">
        <v>3007</v>
      </c>
      <c r="E658" s="341" t="s">
        <v>18</v>
      </c>
      <c r="F658" s="318"/>
      <c r="G658" s="318"/>
      <c r="H658" s="318"/>
      <c r="I658" s="318"/>
    </row>
    <row r="659" ht="12.75" customHeight="1" spans="1:9">
      <c r="A659" s="314">
        <v>45</v>
      </c>
      <c r="B659" s="278">
        <f t="shared" si="9"/>
        <v>262710455</v>
      </c>
      <c r="C659" s="356" t="s">
        <v>3008</v>
      </c>
      <c r="D659" s="355" t="s">
        <v>3009</v>
      </c>
      <c r="E659" s="341" t="s">
        <v>23</v>
      </c>
      <c r="F659" s="318"/>
      <c r="G659" s="318"/>
      <c r="H659" s="318"/>
      <c r="I659" s="318"/>
    </row>
    <row r="660" ht="12.75" customHeight="1" spans="1:9">
      <c r="A660" s="314">
        <v>46</v>
      </c>
      <c r="B660" s="278">
        <f t="shared" si="9"/>
        <v>262710456</v>
      </c>
      <c r="C660" s="371" t="s">
        <v>3010</v>
      </c>
      <c r="D660" s="355" t="s">
        <v>3011</v>
      </c>
      <c r="E660" s="341" t="s">
        <v>23</v>
      </c>
      <c r="F660" s="318"/>
      <c r="G660" s="318"/>
      <c r="H660" s="318"/>
      <c r="I660" s="318"/>
    </row>
    <row r="661" s="289" customFormat="1" ht="12.75" customHeight="1" spans="1:9">
      <c r="A661" s="293"/>
      <c r="B661" s="333"/>
      <c r="C661" s="345"/>
      <c r="D661" s="346" t="s">
        <v>89</v>
      </c>
      <c r="E661" s="347">
        <f>COUNTIF(E615:E660,"L")</f>
        <v>20</v>
      </c>
    </row>
    <row r="662" s="289" customFormat="1" ht="12.75" customHeight="1" spans="1:9">
      <c r="A662" s="293"/>
      <c r="B662" s="333"/>
      <c r="C662" s="345"/>
      <c r="D662" s="346" t="s">
        <v>90</v>
      </c>
      <c r="E662" s="347">
        <f>COUNTIF(E615:E660,"P")</f>
        <v>26</v>
      </c>
    </row>
    <row r="663" s="289" customFormat="1" ht="12.75" customHeight="1" spans="1:9">
      <c r="A663" s="293"/>
      <c r="B663" s="337"/>
      <c r="C663" s="345"/>
      <c r="D663" s="346"/>
      <c r="E663" s="347"/>
    </row>
    <row r="664" s="289" customFormat="1" ht="12.75" customHeight="1" spans="1:9">
      <c r="A664" s="293"/>
      <c r="B664" s="334" t="s">
        <v>91</v>
      </c>
      <c r="C664" s="334"/>
      <c r="D664" s="304"/>
      <c r="E664" s="336"/>
      <c r="F664" s="289" t="s">
        <v>92</v>
      </c>
    </row>
    <row r="665" s="289" customFormat="1" ht="12.75" customHeight="1" spans="1:9">
      <c r="A665" s="293"/>
      <c r="B665" s="334"/>
      <c r="C665" s="334"/>
      <c r="D665" s="304"/>
      <c r="E665" s="336"/>
    </row>
    <row r="666" s="289" customFormat="1" ht="12.75" customHeight="1" spans="1:9">
      <c r="A666" s="293"/>
      <c r="B666" s="334"/>
      <c r="C666" s="334"/>
      <c r="D666" s="304"/>
      <c r="E666" s="336"/>
    </row>
    <row r="667" s="289" customFormat="1" ht="12.75" customHeight="1" spans="1:9">
      <c r="A667" s="293"/>
      <c r="B667" s="334"/>
      <c r="C667" s="334"/>
      <c r="D667" s="304"/>
      <c r="E667" s="336"/>
    </row>
    <row r="668" s="289" customFormat="1" ht="12.75" customHeight="1" spans="1:9">
      <c r="A668" s="293"/>
      <c r="B668" s="338" t="s">
        <v>93</v>
      </c>
      <c r="C668" s="334"/>
      <c r="D668" s="304"/>
      <c r="E668" s="336"/>
      <c r="F668" s="289" t="s">
        <v>94</v>
      </c>
    </row>
    <row r="669" s="289" customFormat="1" ht="12.75" customHeight="1" spans="1:9">
      <c r="A669" s="293"/>
      <c r="B669" s="339" t="s">
        <v>95</v>
      </c>
      <c r="C669" s="334"/>
      <c r="D669" s="304"/>
      <c r="E669" s="336"/>
    </row>
    <row r="670" ht="12.75" customHeight="1" spans="1:9">
      <c r="A670" s="357"/>
      <c r="B670" s="358"/>
      <c r="C670" s="358"/>
      <c r="D670" s="358"/>
      <c r="E670" s="359"/>
      <c r="F670" s="360"/>
      <c r="G670" s="360"/>
      <c r="H670" s="360"/>
      <c r="I670" s="360"/>
    </row>
    <row r="671" ht="12.75" customHeight="1" spans="1:9">
      <c r="A671" s="357"/>
      <c r="B671" s="358"/>
      <c r="C671" s="358"/>
      <c r="D671" s="358"/>
      <c r="E671" s="359"/>
      <c r="F671" s="360"/>
      <c r="G671" s="360"/>
      <c r="H671" s="360"/>
      <c r="I671" s="360"/>
    </row>
    <row r="672" ht="12.75" customHeight="1" spans="1:9">
      <c r="A672" s="297" t="s">
        <v>1</v>
      </c>
      <c r="B672" s="297"/>
      <c r="C672" s="297"/>
      <c r="D672" s="297"/>
      <c r="E672" s="297"/>
      <c r="F672" s="297"/>
      <c r="G672" s="297"/>
      <c r="H672" s="297"/>
      <c r="I672" s="297"/>
    </row>
    <row r="673" ht="12.75" customHeight="1" spans="1:9">
      <c r="A673" s="297" t="s">
        <v>2</v>
      </c>
      <c r="B673" s="297"/>
      <c r="C673" s="297"/>
      <c r="D673" s="297"/>
      <c r="E673" s="297"/>
      <c r="F673" s="297"/>
      <c r="G673" s="297"/>
      <c r="H673" s="297"/>
      <c r="I673" s="297"/>
    </row>
    <row r="674" ht="12.75" customHeight="1" spans="1:9">
      <c r="A674" s="297" t="s">
        <v>3</v>
      </c>
      <c r="B674" s="297"/>
      <c r="C674" s="297"/>
      <c r="D674" s="297"/>
      <c r="E674" s="297"/>
      <c r="F674" s="297"/>
      <c r="G674" s="297"/>
      <c r="H674" s="297"/>
      <c r="I674" s="297"/>
    </row>
    <row r="675" s="291" customFormat="1" ht="16.5" customHeight="1" spans="1:9">
      <c r="A675" s="298" t="s">
        <v>4</v>
      </c>
      <c r="B675" s="298"/>
      <c r="C675" s="298"/>
      <c r="D675" s="298"/>
      <c r="E675" s="298"/>
      <c r="F675" s="298"/>
      <c r="G675" s="298"/>
      <c r="H675" s="298"/>
      <c r="I675" s="298"/>
    </row>
    <row r="676" ht="12.75" customHeight="1" spans="1:9">
      <c r="A676" s="299" t="s">
        <v>5</v>
      </c>
      <c r="B676" s="299"/>
      <c r="C676" s="299"/>
      <c r="D676" s="299"/>
      <c r="E676" s="299"/>
      <c r="F676" s="299"/>
      <c r="G676" s="299"/>
      <c r="H676" s="299"/>
      <c r="I676" s="299"/>
    </row>
    <row r="677" customHeight="1" spans="1:9">
      <c r="A677" s="299"/>
      <c r="B677" s="299"/>
      <c r="C677" s="299"/>
      <c r="D677" s="299"/>
      <c r="E677" s="299"/>
      <c r="F677" s="299"/>
      <c r="G677" s="299"/>
      <c r="H677" s="299"/>
      <c r="I677" s="299"/>
    </row>
    <row r="678" ht="12.75" customHeight="1" spans="1:9">
      <c r="A678" s="299"/>
      <c r="B678" s="299"/>
      <c r="C678" s="299"/>
      <c r="D678" s="299"/>
      <c r="E678" s="299"/>
      <c r="F678" s="299"/>
      <c r="G678" s="299"/>
      <c r="H678" s="299"/>
      <c r="I678" s="299"/>
    </row>
    <row r="679" s="289" customFormat="1" ht="12.75" customHeight="1" spans="1:9">
      <c r="A679" s="300" t="s">
        <v>6</v>
      </c>
      <c r="B679" s="300"/>
      <c r="C679" s="300"/>
      <c r="D679" s="300"/>
      <c r="E679" s="300"/>
      <c r="F679" s="300"/>
      <c r="G679" s="300"/>
      <c r="H679" s="300"/>
      <c r="I679" s="300"/>
    </row>
    <row r="680" s="289" customFormat="1" ht="12.75" customHeight="1" spans="1:9">
      <c r="A680" s="300"/>
      <c r="B680" s="300"/>
      <c r="C680" s="300"/>
      <c r="D680" s="300"/>
      <c r="E680" s="300"/>
      <c r="F680" s="300"/>
      <c r="G680" s="300"/>
      <c r="H680" s="300"/>
      <c r="I680" s="300"/>
    </row>
    <row r="681" s="289" customFormat="1" ht="12.75" customHeight="1" spans="1:9">
      <c r="A681" s="301"/>
      <c r="B681" s="302" t="s">
        <v>3012</v>
      </c>
      <c r="C681" s="303"/>
      <c r="D681" s="383"/>
      <c r="E681" s="402" t="s">
        <v>8</v>
      </c>
      <c r="F681" s="361" t="s">
        <v>3013</v>
      </c>
      <c r="G681" s="401"/>
      <c r="H681" s="401"/>
      <c r="I681" s="401"/>
    </row>
    <row r="682" s="289" customFormat="1" ht="19.5" customHeight="1" spans="1:9">
      <c r="A682" s="307" t="s">
        <v>10</v>
      </c>
      <c r="B682" s="308" t="s">
        <v>11</v>
      </c>
      <c r="C682" s="308" t="s">
        <v>12</v>
      </c>
      <c r="D682" s="308" t="s">
        <v>13</v>
      </c>
      <c r="E682" s="309" t="s">
        <v>14</v>
      </c>
      <c r="F682" s="310"/>
      <c r="G682" s="310"/>
      <c r="H682" s="310"/>
      <c r="I682" s="310"/>
    </row>
    <row r="683" ht="12.75" customHeight="1" spans="1:9">
      <c r="A683" s="314">
        <v>1</v>
      </c>
      <c r="B683" s="276">
        <v>262710457</v>
      </c>
      <c r="C683" s="315" t="s">
        <v>3014</v>
      </c>
      <c r="D683" s="355" t="s">
        <v>3015</v>
      </c>
      <c r="E683" s="385" t="s">
        <v>23</v>
      </c>
      <c r="F683" s="317"/>
      <c r="G683" s="318"/>
      <c r="H683" s="318"/>
      <c r="I683" s="318"/>
    </row>
    <row r="684" s="291" customFormat="1" ht="12.75" customHeight="1" spans="1:9">
      <c r="A684" s="314">
        <v>2</v>
      </c>
      <c r="B684" s="286">
        <f t="shared" ref="B684:B726" si="10">B683+1</f>
        <v>262710458</v>
      </c>
      <c r="C684" s="320" t="s">
        <v>3016</v>
      </c>
      <c r="D684" s="355" t="s">
        <v>3017</v>
      </c>
      <c r="E684" s="386" t="s">
        <v>23</v>
      </c>
      <c r="F684" s="317"/>
      <c r="G684" s="318"/>
      <c r="H684" s="318"/>
      <c r="I684" s="318"/>
    </row>
    <row r="685" ht="12.75" customHeight="1" spans="1:9">
      <c r="A685" s="314">
        <v>3</v>
      </c>
      <c r="B685" s="286">
        <f t="shared" si="10"/>
        <v>262710459</v>
      </c>
      <c r="C685" s="315" t="s">
        <v>3018</v>
      </c>
      <c r="D685" s="355" t="s">
        <v>3019</v>
      </c>
      <c r="E685" s="385" t="s">
        <v>18</v>
      </c>
      <c r="F685" s="317"/>
      <c r="G685" s="318"/>
      <c r="H685" s="318"/>
      <c r="I685" s="318"/>
    </row>
    <row r="686" ht="12.75" customHeight="1" spans="1:9">
      <c r="A686" s="314">
        <v>4</v>
      </c>
      <c r="B686" s="286">
        <f t="shared" si="10"/>
        <v>262710460</v>
      </c>
      <c r="C686" s="315" t="s">
        <v>3020</v>
      </c>
      <c r="D686" s="355" t="s">
        <v>3021</v>
      </c>
      <c r="E686" s="385" t="s">
        <v>23</v>
      </c>
      <c r="F686" s="317"/>
      <c r="G686" s="318"/>
      <c r="H686" s="318"/>
      <c r="I686" s="318"/>
    </row>
    <row r="687" ht="12.75" customHeight="1" spans="1:9">
      <c r="A687" s="314">
        <v>5</v>
      </c>
      <c r="B687" s="286">
        <f t="shared" si="10"/>
        <v>262710461</v>
      </c>
      <c r="C687" s="315" t="s">
        <v>3022</v>
      </c>
      <c r="D687" s="355" t="s">
        <v>3023</v>
      </c>
      <c r="E687" s="385" t="s">
        <v>18</v>
      </c>
      <c r="F687" s="317"/>
      <c r="G687" s="318"/>
      <c r="H687" s="318"/>
      <c r="I687" s="318"/>
    </row>
    <row r="688" ht="12.75" customHeight="1" spans="1:9">
      <c r="A688" s="314">
        <v>6</v>
      </c>
      <c r="B688" s="286">
        <f t="shared" si="10"/>
        <v>262710462</v>
      </c>
      <c r="C688" s="315" t="s">
        <v>3024</v>
      </c>
      <c r="D688" s="355" t="s">
        <v>3025</v>
      </c>
      <c r="E688" s="385" t="s">
        <v>23</v>
      </c>
      <c r="F688" s="317"/>
      <c r="G688" s="318"/>
      <c r="H688" s="318"/>
      <c r="I688" s="318"/>
    </row>
    <row r="689" ht="12.75" customHeight="1" spans="1:9">
      <c r="A689" s="314">
        <v>7</v>
      </c>
      <c r="B689" s="286">
        <f t="shared" si="10"/>
        <v>262710463</v>
      </c>
      <c r="C689" s="321" t="s">
        <v>3026</v>
      </c>
      <c r="D689" s="355" t="s">
        <v>3027</v>
      </c>
      <c r="E689" s="385" t="s">
        <v>18</v>
      </c>
      <c r="F689" s="317"/>
      <c r="G689" s="318"/>
      <c r="H689" s="318"/>
      <c r="I689" s="318"/>
    </row>
    <row r="690" ht="12.75" customHeight="1" spans="1:9">
      <c r="A690" s="314">
        <v>8</v>
      </c>
      <c r="B690" s="286">
        <f t="shared" si="10"/>
        <v>262710464</v>
      </c>
      <c r="C690" s="321" t="s">
        <v>3028</v>
      </c>
      <c r="D690" s="355" t="s">
        <v>3029</v>
      </c>
      <c r="E690" s="385" t="s">
        <v>18</v>
      </c>
      <c r="F690" s="317"/>
      <c r="G690" s="318"/>
      <c r="H690" s="318"/>
      <c r="I690" s="318"/>
    </row>
    <row r="691" ht="12.75" customHeight="1" spans="1:9">
      <c r="A691" s="314">
        <v>9</v>
      </c>
      <c r="B691" s="286">
        <f t="shared" si="10"/>
        <v>262710465</v>
      </c>
      <c r="C691" s="315" t="s">
        <v>3030</v>
      </c>
      <c r="D691" s="355" t="s">
        <v>3031</v>
      </c>
      <c r="E691" s="385" t="s">
        <v>23</v>
      </c>
      <c r="F691" s="317"/>
      <c r="G691" s="318"/>
      <c r="H691" s="318"/>
      <c r="I691" s="318"/>
    </row>
    <row r="692" ht="12.75" customHeight="1" spans="1:9">
      <c r="A692" s="314">
        <v>10</v>
      </c>
      <c r="B692" s="286">
        <f t="shared" si="10"/>
        <v>262710466</v>
      </c>
      <c r="C692" s="315" t="s">
        <v>3032</v>
      </c>
      <c r="D692" s="355" t="s">
        <v>3033</v>
      </c>
      <c r="E692" s="385" t="s">
        <v>23</v>
      </c>
      <c r="F692" s="317"/>
      <c r="G692" s="318"/>
      <c r="H692" s="318"/>
      <c r="I692" s="318"/>
    </row>
    <row r="693" ht="12.75" customHeight="1" spans="1:9">
      <c r="A693" s="314">
        <v>11</v>
      </c>
      <c r="B693" s="286">
        <f t="shared" si="10"/>
        <v>262710467</v>
      </c>
      <c r="C693" s="315" t="s">
        <v>3034</v>
      </c>
      <c r="D693" s="355" t="s">
        <v>3035</v>
      </c>
      <c r="E693" s="385" t="s">
        <v>18</v>
      </c>
      <c r="F693" s="317"/>
      <c r="G693" s="318"/>
      <c r="H693" s="318"/>
      <c r="I693" s="318"/>
    </row>
    <row r="694" ht="12.75" customHeight="1" spans="1:9">
      <c r="A694" s="314">
        <v>12</v>
      </c>
      <c r="B694" s="286">
        <f t="shared" si="10"/>
        <v>262710468</v>
      </c>
      <c r="C694" s="315" t="s">
        <v>3036</v>
      </c>
      <c r="D694" s="355" t="s">
        <v>3037</v>
      </c>
      <c r="E694" s="385" t="s">
        <v>23</v>
      </c>
      <c r="F694" s="317"/>
      <c r="G694" s="318"/>
      <c r="H694" s="318"/>
      <c r="I694" s="318"/>
    </row>
    <row r="695" ht="12.75" customHeight="1" spans="1:9">
      <c r="A695" s="314">
        <v>13</v>
      </c>
      <c r="B695" s="286">
        <f t="shared" si="10"/>
        <v>262710469</v>
      </c>
      <c r="C695" s="315" t="s">
        <v>3038</v>
      </c>
      <c r="D695" s="355" t="s">
        <v>3039</v>
      </c>
      <c r="E695" s="385" t="s">
        <v>18</v>
      </c>
      <c r="F695" s="317"/>
      <c r="G695" s="318"/>
      <c r="H695" s="318"/>
      <c r="I695" s="318"/>
    </row>
    <row r="696" ht="12.75" customHeight="1" spans="1:9">
      <c r="A696" s="314">
        <v>14</v>
      </c>
      <c r="B696" s="286">
        <f t="shared" si="10"/>
        <v>262710470</v>
      </c>
      <c r="C696" s="321" t="s">
        <v>3040</v>
      </c>
      <c r="D696" s="355" t="s">
        <v>3041</v>
      </c>
      <c r="E696" s="385" t="s">
        <v>18</v>
      </c>
      <c r="F696" s="317"/>
      <c r="G696" s="318"/>
      <c r="H696" s="318"/>
      <c r="I696" s="318"/>
    </row>
    <row r="697" ht="12.75" customHeight="1" spans="1:9">
      <c r="A697" s="314">
        <v>15</v>
      </c>
      <c r="B697" s="286">
        <f t="shared" si="10"/>
        <v>262710471</v>
      </c>
      <c r="C697" s="315" t="s">
        <v>3042</v>
      </c>
      <c r="D697" s="355" t="s">
        <v>3043</v>
      </c>
      <c r="E697" s="385" t="s">
        <v>23</v>
      </c>
      <c r="F697" s="317"/>
      <c r="G697" s="318"/>
      <c r="H697" s="318"/>
      <c r="I697" s="318"/>
    </row>
    <row r="698" ht="12.75" customHeight="1" spans="1:9">
      <c r="A698" s="314">
        <v>16</v>
      </c>
      <c r="B698" s="286">
        <f t="shared" si="10"/>
        <v>262710472</v>
      </c>
      <c r="C698" s="320" t="s">
        <v>3044</v>
      </c>
      <c r="D698" s="355" t="s">
        <v>3045</v>
      </c>
      <c r="E698" s="403" t="s">
        <v>18</v>
      </c>
      <c r="F698" s="317"/>
      <c r="G698" s="318"/>
      <c r="H698" s="318"/>
      <c r="I698" s="318"/>
    </row>
    <row r="699" ht="12.75" customHeight="1" spans="1:9">
      <c r="A699" s="314">
        <v>17</v>
      </c>
      <c r="B699" s="286">
        <f t="shared" si="10"/>
        <v>262710473</v>
      </c>
      <c r="C699" s="315" t="s">
        <v>3046</v>
      </c>
      <c r="D699" s="355" t="s">
        <v>3047</v>
      </c>
      <c r="E699" s="385" t="s">
        <v>23</v>
      </c>
      <c r="F699" s="317"/>
      <c r="G699" s="318"/>
      <c r="H699" s="318"/>
      <c r="I699" s="318"/>
    </row>
    <row r="700" ht="12.75" customHeight="1" spans="1:9">
      <c r="A700" s="314">
        <v>18</v>
      </c>
      <c r="B700" s="286">
        <f t="shared" si="10"/>
        <v>262710474</v>
      </c>
      <c r="C700" s="315" t="s">
        <v>3048</v>
      </c>
      <c r="D700" s="355" t="s">
        <v>3049</v>
      </c>
      <c r="E700" s="385" t="s">
        <v>18</v>
      </c>
      <c r="F700" s="317"/>
      <c r="G700" s="318"/>
      <c r="H700" s="318"/>
      <c r="I700" s="318"/>
    </row>
    <row r="701" ht="12.75" customHeight="1" spans="1:9">
      <c r="A701" s="314">
        <v>19</v>
      </c>
      <c r="B701" s="286">
        <f t="shared" si="10"/>
        <v>262710475</v>
      </c>
      <c r="C701" s="315" t="s">
        <v>3050</v>
      </c>
      <c r="D701" s="355" t="s">
        <v>3051</v>
      </c>
      <c r="E701" s="385" t="s">
        <v>18</v>
      </c>
      <c r="F701" s="317"/>
      <c r="G701" s="318"/>
      <c r="H701" s="318"/>
      <c r="I701" s="318"/>
    </row>
    <row r="702" ht="12.75" customHeight="1" spans="1:9">
      <c r="A702" s="314">
        <v>20</v>
      </c>
      <c r="B702" s="286">
        <f t="shared" si="10"/>
        <v>262710476</v>
      </c>
      <c r="C702" s="321" t="s">
        <v>3052</v>
      </c>
      <c r="D702" s="355" t="s">
        <v>3053</v>
      </c>
      <c r="E702" s="385" t="s">
        <v>23</v>
      </c>
      <c r="F702" s="317"/>
      <c r="G702" s="318"/>
      <c r="H702" s="318"/>
      <c r="I702" s="318"/>
    </row>
    <row r="703" ht="12.75" customHeight="1" spans="1:9">
      <c r="A703" s="314">
        <v>21</v>
      </c>
      <c r="B703" s="286">
        <f t="shared" si="10"/>
        <v>262710477</v>
      </c>
      <c r="C703" s="315" t="s">
        <v>3054</v>
      </c>
      <c r="D703" s="355" t="s">
        <v>3055</v>
      </c>
      <c r="E703" s="385" t="s">
        <v>23</v>
      </c>
      <c r="F703" s="317"/>
      <c r="G703" s="318"/>
      <c r="H703" s="318"/>
      <c r="I703" s="318"/>
    </row>
    <row r="704" ht="12.75" customHeight="1" spans="1:9">
      <c r="A704" s="314">
        <v>22</v>
      </c>
      <c r="B704" s="286">
        <f t="shared" si="10"/>
        <v>262710478</v>
      </c>
      <c r="C704" s="315" t="s">
        <v>3056</v>
      </c>
      <c r="D704" s="355" t="s">
        <v>3057</v>
      </c>
      <c r="E704" s="385" t="s">
        <v>23</v>
      </c>
      <c r="F704" s="317"/>
      <c r="G704" s="318"/>
      <c r="H704" s="318"/>
      <c r="I704" s="318"/>
    </row>
    <row r="705" ht="12.75" customHeight="1" spans="1:9">
      <c r="A705" s="314">
        <v>23</v>
      </c>
      <c r="B705" s="286">
        <f t="shared" si="10"/>
        <v>262710479</v>
      </c>
      <c r="C705" s="315" t="s">
        <v>3058</v>
      </c>
      <c r="D705" s="355" t="s">
        <v>3059</v>
      </c>
      <c r="E705" s="385" t="s">
        <v>23</v>
      </c>
      <c r="F705" s="317"/>
      <c r="G705" s="318"/>
      <c r="H705" s="318"/>
      <c r="I705" s="318"/>
    </row>
    <row r="706" ht="12.75" customHeight="1" spans="1:9">
      <c r="A706" s="314">
        <v>24</v>
      </c>
      <c r="B706" s="286">
        <f t="shared" si="10"/>
        <v>262710480</v>
      </c>
      <c r="C706" s="315" t="s">
        <v>3060</v>
      </c>
      <c r="D706" s="355" t="s">
        <v>3061</v>
      </c>
      <c r="E706" s="385" t="s">
        <v>23</v>
      </c>
      <c r="F706" s="317"/>
      <c r="G706" s="318"/>
      <c r="H706" s="318"/>
      <c r="I706" s="318"/>
    </row>
    <row r="707" ht="12.75" customHeight="1" spans="1:9">
      <c r="A707" s="314">
        <v>25</v>
      </c>
      <c r="B707" s="286">
        <f t="shared" si="10"/>
        <v>262710481</v>
      </c>
      <c r="C707" s="315" t="s">
        <v>3062</v>
      </c>
      <c r="D707" s="355" t="s">
        <v>3063</v>
      </c>
      <c r="E707" s="385" t="s">
        <v>23</v>
      </c>
      <c r="F707" s="317"/>
      <c r="G707" s="318"/>
      <c r="H707" s="318"/>
      <c r="I707" s="318"/>
    </row>
    <row r="708" ht="12.75" customHeight="1" spans="1:9">
      <c r="A708" s="314">
        <v>26</v>
      </c>
      <c r="B708" s="286">
        <f t="shared" si="10"/>
        <v>262710482</v>
      </c>
      <c r="C708" s="320" t="s">
        <v>3064</v>
      </c>
      <c r="D708" s="355" t="s">
        <v>3065</v>
      </c>
      <c r="E708" s="386" t="s">
        <v>18</v>
      </c>
      <c r="F708" s="317"/>
      <c r="G708" s="318"/>
      <c r="H708" s="318"/>
      <c r="I708" s="318"/>
    </row>
    <row r="709" ht="12.75" customHeight="1" spans="1:9">
      <c r="A709" s="314">
        <v>27</v>
      </c>
      <c r="B709" s="286">
        <f t="shared" si="10"/>
        <v>262710483</v>
      </c>
      <c r="C709" s="315" t="s">
        <v>3066</v>
      </c>
      <c r="D709" s="355" t="s">
        <v>3067</v>
      </c>
      <c r="E709" s="385" t="s">
        <v>18</v>
      </c>
      <c r="F709" s="317"/>
      <c r="G709" s="318"/>
      <c r="H709" s="318"/>
      <c r="I709" s="318"/>
    </row>
    <row r="710" ht="12.75" customHeight="1" spans="1:9">
      <c r="A710" s="314">
        <v>28</v>
      </c>
      <c r="B710" s="286">
        <f t="shared" si="10"/>
        <v>262710484</v>
      </c>
      <c r="C710" s="315" t="s">
        <v>3068</v>
      </c>
      <c r="D710" s="355" t="s">
        <v>3069</v>
      </c>
      <c r="E710" s="385" t="s">
        <v>18</v>
      </c>
      <c r="F710" s="317"/>
      <c r="G710" s="318"/>
      <c r="H710" s="318"/>
      <c r="I710" s="318"/>
    </row>
    <row r="711" ht="12.75" customHeight="1" spans="1:9">
      <c r="A711" s="314">
        <v>29</v>
      </c>
      <c r="B711" s="286">
        <f t="shared" si="10"/>
        <v>262710485</v>
      </c>
      <c r="C711" s="315" t="s">
        <v>3070</v>
      </c>
      <c r="D711" s="355" t="s">
        <v>3071</v>
      </c>
      <c r="E711" s="385" t="s">
        <v>18</v>
      </c>
      <c r="F711" s="317"/>
      <c r="G711" s="318"/>
      <c r="H711" s="318"/>
      <c r="I711" s="318"/>
    </row>
    <row r="712" ht="12.75" customHeight="1" spans="1:9">
      <c r="A712" s="314">
        <v>30</v>
      </c>
      <c r="B712" s="286">
        <f t="shared" si="10"/>
        <v>262710486</v>
      </c>
      <c r="C712" s="315" t="s">
        <v>3072</v>
      </c>
      <c r="D712" s="355" t="s">
        <v>3073</v>
      </c>
      <c r="E712" s="385" t="s">
        <v>23</v>
      </c>
      <c r="F712" s="317"/>
      <c r="G712" s="318"/>
      <c r="H712" s="318"/>
      <c r="I712" s="318"/>
    </row>
    <row r="713" ht="12.75" customHeight="1" spans="1:9">
      <c r="A713" s="314">
        <v>31</v>
      </c>
      <c r="B713" s="286">
        <f t="shared" si="10"/>
        <v>262710487</v>
      </c>
      <c r="C713" s="315" t="s">
        <v>3074</v>
      </c>
      <c r="D713" s="355" t="s">
        <v>3075</v>
      </c>
      <c r="E713" s="385" t="s">
        <v>23</v>
      </c>
      <c r="F713" s="317"/>
      <c r="G713" s="318"/>
      <c r="H713" s="318"/>
      <c r="I713" s="318"/>
    </row>
    <row r="714" ht="12.75" customHeight="1" spans="1:9">
      <c r="A714" s="314">
        <v>32</v>
      </c>
      <c r="B714" s="286">
        <f t="shared" si="10"/>
        <v>262710488</v>
      </c>
      <c r="C714" s="315" t="s">
        <v>3076</v>
      </c>
      <c r="D714" s="355" t="s">
        <v>3077</v>
      </c>
      <c r="E714" s="385" t="s">
        <v>23</v>
      </c>
      <c r="F714" s="317"/>
      <c r="G714" s="318"/>
      <c r="H714" s="318"/>
      <c r="I714" s="318"/>
    </row>
    <row r="715" ht="12.75" customHeight="1" spans="1:9">
      <c r="A715" s="314">
        <v>33</v>
      </c>
      <c r="B715" s="286">
        <f t="shared" si="10"/>
        <v>262710489</v>
      </c>
      <c r="C715" s="315" t="s">
        <v>3078</v>
      </c>
      <c r="D715" s="355" t="s">
        <v>3079</v>
      </c>
      <c r="E715" s="385" t="s">
        <v>18</v>
      </c>
      <c r="F715" s="317"/>
      <c r="G715" s="318"/>
      <c r="H715" s="318"/>
      <c r="I715" s="318"/>
    </row>
    <row r="716" ht="12.75" customHeight="1" spans="1:9">
      <c r="A716" s="314">
        <v>34</v>
      </c>
      <c r="B716" s="286">
        <f t="shared" si="10"/>
        <v>262710490</v>
      </c>
      <c r="C716" s="315" t="s">
        <v>3080</v>
      </c>
      <c r="D716" s="355" t="s">
        <v>3081</v>
      </c>
      <c r="E716" s="385" t="s">
        <v>18</v>
      </c>
      <c r="F716" s="317"/>
      <c r="G716" s="318"/>
      <c r="H716" s="318"/>
      <c r="I716" s="318"/>
    </row>
    <row r="717" ht="12.75" customHeight="1" spans="1:9">
      <c r="A717" s="314">
        <v>35</v>
      </c>
      <c r="B717" s="286">
        <f t="shared" si="10"/>
        <v>262710491</v>
      </c>
      <c r="C717" s="315" t="s">
        <v>3082</v>
      </c>
      <c r="D717" s="355" t="s">
        <v>3083</v>
      </c>
      <c r="E717" s="385" t="s">
        <v>23</v>
      </c>
      <c r="F717" s="326"/>
      <c r="G717" s="327"/>
      <c r="H717" s="327"/>
      <c r="I717" s="327"/>
    </row>
    <row r="718" ht="12.75" customHeight="1" spans="1:9">
      <c r="A718" s="314">
        <v>36</v>
      </c>
      <c r="B718" s="286">
        <f t="shared" si="10"/>
        <v>262710492</v>
      </c>
      <c r="C718" s="315" t="s">
        <v>3084</v>
      </c>
      <c r="D718" s="355" t="s">
        <v>3085</v>
      </c>
      <c r="E718" s="385" t="s">
        <v>18</v>
      </c>
      <c r="F718" s="318"/>
      <c r="G718" s="318"/>
      <c r="H718" s="318"/>
      <c r="I718" s="318"/>
    </row>
    <row r="719" ht="12.75" customHeight="1" spans="1:9">
      <c r="A719" s="314">
        <v>37</v>
      </c>
      <c r="B719" s="286">
        <f t="shared" si="10"/>
        <v>262710493</v>
      </c>
      <c r="C719" s="315" t="s">
        <v>3086</v>
      </c>
      <c r="D719" s="355" t="s">
        <v>3087</v>
      </c>
      <c r="E719" s="385" t="s">
        <v>18</v>
      </c>
      <c r="F719" s="318"/>
      <c r="G719" s="318"/>
      <c r="H719" s="318"/>
      <c r="I719" s="318"/>
    </row>
    <row r="720" ht="12.75" customHeight="1" spans="1:9">
      <c r="A720" s="314">
        <v>38</v>
      </c>
      <c r="B720" s="286">
        <f t="shared" si="10"/>
        <v>262710494</v>
      </c>
      <c r="C720" s="320" t="s">
        <v>3088</v>
      </c>
      <c r="D720" s="355" t="s">
        <v>3089</v>
      </c>
      <c r="E720" s="386" t="s">
        <v>18</v>
      </c>
      <c r="F720" s="318"/>
      <c r="G720" s="318"/>
      <c r="H720" s="318"/>
      <c r="I720" s="318"/>
    </row>
    <row r="721" ht="12.75" customHeight="1" spans="1:9">
      <c r="A721" s="314">
        <v>39</v>
      </c>
      <c r="B721" s="286">
        <f t="shared" si="10"/>
        <v>262710495</v>
      </c>
      <c r="C721" s="315" t="s">
        <v>3090</v>
      </c>
      <c r="D721" s="355" t="s">
        <v>3091</v>
      </c>
      <c r="E721" s="385" t="s">
        <v>18</v>
      </c>
      <c r="F721" s="318"/>
      <c r="G721" s="318"/>
      <c r="H721" s="318"/>
      <c r="I721" s="318"/>
    </row>
    <row r="722" ht="12.75" customHeight="1" spans="1:9">
      <c r="A722" s="314">
        <v>40</v>
      </c>
      <c r="B722" s="286">
        <f t="shared" si="10"/>
        <v>262710496</v>
      </c>
      <c r="C722" s="315" t="s">
        <v>3092</v>
      </c>
      <c r="D722" s="355" t="s">
        <v>3093</v>
      </c>
      <c r="E722" s="385" t="s">
        <v>18</v>
      </c>
      <c r="F722" s="318"/>
      <c r="G722" s="318"/>
      <c r="H722" s="318"/>
      <c r="I722" s="318"/>
    </row>
    <row r="723" ht="12.75" customHeight="1" spans="1:9">
      <c r="A723" s="314">
        <v>41</v>
      </c>
      <c r="B723" s="286">
        <f t="shared" si="10"/>
        <v>262710497</v>
      </c>
      <c r="C723" s="315" t="s">
        <v>3094</v>
      </c>
      <c r="D723" s="355" t="s">
        <v>3095</v>
      </c>
      <c r="E723" s="385" t="s">
        <v>18</v>
      </c>
      <c r="F723" s="318"/>
      <c r="G723" s="318"/>
      <c r="H723" s="318"/>
      <c r="I723" s="318"/>
    </row>
    <row r="724" ht="12.75" customHeight="1" spans="1:9">
      <c r="A724" s="314">
        <v>42</v>
      </c>
      <c r="B724" s="286">
        <f t="shared" si="10"/>
        <v>262710498</v>
      </c>
      <c r="C724" s="315" t="s">
        <v>3096</v>
      </c>
      <c r="D724" s="355" t="s">
        <v>3097</v>
      </c>
      <c r="E724" s="385" t="s">
        <v>18</v>
      </c>
      <c r="F724" s="318"/>
      <c r="G724" s="318"/>
      <c r="H724" s="318"/>
      <c r="I724" s="318"/>
    </row>
    <row r="725" ht="12.75" customHeight="1" spans="1:9">
      <c r="A725" s="314">
        <v>43</v>
      </c>
      <c r="B725" s="286">
        <f t="shared" si="10"/>
        <v>262710499</v>
      </c>
      <c r="C725" s="315" t="s">
        <v>3098</v>
      </c>
      <c r="D725" s="355" t="s">
        <v>3099</v>
      </c>
      <c r="E725" s="385" t="s">
        <v>18</v>
      </c>
      <c r="F725" s="318"/>
      <c r="G725" s="318"/>
      <c r="H725" s="318"/>
      <c r="I725" s="318"/>
    </row>
    <row r="726" ht="12.75" customHeight="1" spans="1:9">
      <c r="A726" s="314">
        <v>44</v>
      </c>
      <c r="B726" s="286">
        <f t="shared" si="10"/>
        <v>262710500</v>
      </c>
      <c r="C726" s="315" t="s">
        <v>3100</v>
      </c>
      <c r="D726" s="355" t="s">
        <v>3101</v>
      </c>
      <c r="E726" s="385" t="s">
        <v>23</v>
      </c>
      <c r="F726" s="318"/>
      <c r="G726" s="318"/>
      <c r="H726" s="318"/>
      <c r="I726" s="318"/>
    </row>
    <row r="727" s="289" customFormat="1" ht="12.75" customHeight="1" spans="1:9">
      <c r="A727" s="293"/>
      <c r="B727" s="344"/>
      <c r="C727" s="345"/>
      <c r="D727" s="346" t="s">
        <v>89</v>
      </c>
      <c r="E727" s="336">
        <f>COUNTIF(E683:E726,"L")</f>
        <v>20</v>
      </c>
    </row>
    <row r="728" s="289" customFormat="1" ht="12.75" customHeight="1" spans="1:9">
      <c r="A728" s="293"/>
      <c r="B728" s="333"/>
      <c r="C728" s="345"/>
      <c r="D728" s="346" t="s">
        <v>90</v>
      </c>
      <c r="E728" s="336">
        <f>COUNTIF(E683:E726,"P")</f>
        <v>24</v>
      </c>
    </row>
    <row r="729" s="289" customFormat="1" ht="12.75" customHeight="1" spans="1:9">
      <c r="A729" s="293"/>
      <c r="B729" s="334"/>
      <c r="C729" s="334"/>
      <c r="D729" s="304"/>
      <c r="E729" s="336"/>
    </row>
    <row r="730" s="289" customFormat="1" ht="12.75" customHeight="1" spans="1:9">
      <c r="A730" s="293"/>
      <c r="B730" s="334" t="s">
        <v>91</v>
      </c>
      <c r="C730" s="334"/>
      <c r="D730" s="304"/>
      <c r="E730" s="336"/>
      <c r="F730" s="289" t="s">
        <v>92</v>
      </c>
    </row>
    <row r="731" s="289" customFormat="1" ht="12.75" customHeight="1" spans="1:9">
      <c r="A731" s="293"/>
      <c r="B731" s="334"/>
      <c r="C731" s="334"/>
      <c r="D731" s="304"/>
      <c r="E731" s="336"/>
    </row>
    <row r="732" s="289" customFormat="1" ht="12.75" customHeight="1" spans="1:9">
      <c r="A732" s="293"/>
      <c r="B732" s="334"/>
      <c r="C732" s="334"/>
      <c r="D732" s="304"/>
      <c r="E732" s="336"/>
    </row>
    <row r="733" s="289" customFormat="1" ht="12.75" customHeight="1" spans="1:9">
      <c r="A733" s="293"/>
      <c r="B733" s="334"/>
      <c r="C733" s="334"/>
      <c r="D733" s="304"/>
      <c r="E733" s="336"/>
    </row>
    <row r="734" s="289" customFormat="1" ht="12.75" customHeight="1" spans="1:9">
      <c r="A734" s="293"/>
      <c r="B734" s="338" t="s">
        <v>93</v>
      </c>
      <c r="C734" s="334"/>
      <c r="D734" s="304"/>
      <c r="E734" s="336"/>
      <c r="F734" s="289" t="s">
        <v>94</v>
      </c>
    </row>
    <row r="735" s="289" customFormat="1" ht="12.75" customHeight="1" spans="1:9">
      <c r="A735" s="293"/>
      <c r="B735" s="339" t="s">
        <v>95</v>
      </c>
      <c r="C735" s="334"/>
      <c r="D735" s="304"/>
      <c r="E735" s="336"/>
    </row>
    <row r="736" ht="12.75" customHeight="1" spans="1:9">
      <c r="A736" s="357"/>
      <c r="B736" s="358"/>
      <c r="C736" s="358"/>
      <c r="D736" s="358"/>
      <c r="E736" s="359"/>
      <c r="F736" s="360"/>
      <c r="G736" s="360"/>
      <c r="H736" s="360"/>
      <c r="I736" s="360"/>
    </row>
    <row r="737" ht="12.75" customHeight="1" spans="1:9">
      <c r="A737" s="357"/>
      <c r="B737" s="358"/>
      <c r="C737" s="358"/>
      <c r="D737" s="358"/>
      <c r="E737" s="359"/>
      <c r="F737" s="360"/>
      <c r="G737" s="360"/>
      <c r="H737" s="360"/>
      <c r="I737" s="360"/>
    </row>
  </sheetData>
  <autoFilter xmlns:etc="http://www.wps.cn/officeDocument/2017/etCustomData" ref="A12:E329" etc:filterBottomFollowUsedRange="0">
    <extLst/>
  </autoFilter>
  <mergeCells count="66">
    <mergeCell ref="A2:I2"/>
    <mergeCell ref="A3:I3"/>
    <mergeCell ref="A4:I4"/>
    <mergeCell ref="A5:I5"/>
    <mergeCell ref="A68:I68"/>
    <mergeCell ref="A69:I69"/>
    <mergeCell ref="A70:I70"/>
    <mergeCell ref="A71:I71"/>
    <mergeCell ref="A136:I136"/>
    <mergeCell ref="A137:I137"/>
    <mergeCell ref="A138:I138"/>
    <mergeCell ref="A139:I139"/>
    <mergeCell ref="A203:I203"/>
    <mergeCell ref="A204:I204"/>
    <mergeCell ref="A205:I205"/>
    <mergeCell ref="A206:I206"/>
    <mergeCell ref="A270:I270"/>
    <mergeCell ref="A271:I271"/>
    <mergeCell ref="A272:I272"/>
    <mergeCell ref="A273:I273"/>
    <mergeCell ref="A336:I336"/>
    <mergeCell ref="A337:I337"/>
    <mergeCell ref="A338:I338"/>
    <mergeCell ref="A339:I339"/>
    <mergeCell ref="A404:I404"/>
    <mergeCell ref="A405:I405"/>
    <mergeCell ref="A406:I406"/>
    <mergeCell ref="A407:I407"/>
    <mergeCell ref="A471:I471"/>
    <mergeCell ref="A472:I472"/>
    <mergeCell ref="A473:I473"/>
    <mergeCell ref="A474:I474"/>
    <mergeCell ref="A537:I537"/>
    <mergeCell ref="A538:I538"/>
    <mergeCell ref="A539:I539"/>
    <mergeCell ref="A540:I540"/>
    <mergeCell ref="A604:I604"/>
    <mergeCell ref="A605:I605"/>
    <mergeCell ref="A606:I606"/>
    <mergeCell ref="A607:I607"/>
    <mergeCell ref="A672:I672"/>
    <mergeCell ref="A673:I673"/>
    <mergeCell ref="A674:I674"/>
    <mergeCell ref="A675:I675"/>
    <mergeCell ref="A6:I8"/>
    <mergeCell ref="A9:I10"/>
    <mergeCell ref="A72:I74"/>
    <mergeCell ref="A75:I76"/>
    <mergeCell ref="A140:I142"/>
    <mergeCell ref="A143:I144"/>
    <mergeCell ref="A207:I209"/>
    <mergeCell ref="A210:I211"/>
    <mergeCell ref="A274:I276"/>
    <mergeCell ref="A277:I278"/>
    <mergeCell ref="A340:I342"/>
    <mergeCell ref="A343:I344"/>
    <mergeCell ref="A408:I410"/>
    <mergeCell ref="A411:I412"/>
    <mergeCell ref="A475:I477"/>
    <mergeCell ref="A478:I479"/>
    <mergeCell ref="A541:I543"/>
    <mergeCell ref="A544:I545"/>
    <mergeCell ref="A608:I610"/>
    <mergeCell ref="A611:I612"/>
    <mergeCell ref="A676:I678"/>
    <mergeCell ref="A679:I680"/>
  </mergeCells>
  <conditionalFormatting sqref="B61">
    <cfRule type="expression" dxfId="0" priority="26">
      <formula>COUNTIF(B:B,B61)&gt;1</formula>
    </cfRule>
  </conditionalFormatting>
  <conditionalFormatting sqref="K511">
    <cfRule type="expression" dxfId="0" priority="27">
      <formula>COUNTIF(C:C,K511)&gt;1</formula>
    </cfRule>
  </conditionalFormatting>
  <conditionalFormatting sqref="K513">
    <cfRule type="expression" dxfId="0" priority="28">
      <formula>COUNTIF(C:C,K513)&gt;1</formula>
    </cfRule>
  </conditionalFormatting>
  <conditionalFormatting sqref="B13:B58">
    <cfRule type="expression" dxfId="0" priority="14">
      <formula>COUNTIF(C:C,B13)&gt;1</formula>
    </cfRule>
  </conditionalFormatting>
  <conditionalFormatting sqref="B59:B60">
    <cfRule type="expression" dxfId="0" priority="15">
      <formula>COUNTIF(C:C,B59)&gt;1</formula>
    </cfRule>
  </conditionalFormatting>
  <conditionalFormatting sqref="B79:B124">
    <cfRule type="expression" dxfId="0" priority="13">
      <formula>COUNTIF(C:C,B79)&gt;1</formula>
    </cfRule>
  </conditionalFormatting>
  <conditionalFormatting sqref="B125:B126">
    <cfRule type="expression" dxfId="0" priority="25">
      <formula>COUNTIF(B:B,B125)&gt;1</formula>
    </cfRule>
  </conditionalFormatting>
  <conditionalFormatting sqref="B147:B192">
    <cfRule type="expression" dxfId="0" priority="12">
      <formula>COUNTIF(C:C,B147)&gt;1</formula>
    </cfRule>
  </conditionalFormatting>
  <conditionalFormatting sqref="B193:B195">
    <cfRule type="expression" dxfId="0" priority="24">
      <formula>COUNTIF(B:B,B193)&gt;1</formula>
    </cfRule>
  </conditionalFormatting>
  <conditionalFormatting sqref="B214:B257">
    <cfRule type="expression" dxfId="0" priority="11">
      <formula>COUNTIF(C:C,B214)&gt;1</formula>
    </cfRule>
  </conditionalFormatting>
  <conditionalFormatting sqref="B258:B260">
    <cfRule type="expression" dxfId="0" priority="23">
      <formula>COUNTIF(B:B,B258)&gt;1</formula>
    </cfRule>
  </conditionalFormatting>
  <conditionalFormatting sqref="B281:B325">
    <cfRule type="expression" dxfId="0" priority="10">
      <formula>COUNTIF(C:C,B281)&gt;1</formula>
    </cfRule>
  </conditionalFormatting>
  <conditionalFormatting sqref="B326:B328">
    <cfRule type="expression" dxfId="0" priority="22">
      <formula>COUNTIF(B:B,B326)&gt;1</formula>
    </cfRule>
  </conditionalFormatting>
  <conditionalFormatting sqref="B347:B392">
    <cfRule type="expression" dxfId="0" priority="9">
      <formula>COUNTIF(C:C,B347)&gt;1</formula>
    </cfRule>
  </conditionalFormatting>
  <conditionalFormatting sqref="B393:B395">
    <cfRule type="expression" dxfId="0" priority="21">
      <formula>COUNTIF(B:B,B393)&gt;1</formula>
    </cfRule>
  </conditionalFormatting>
  <conditionalFormatting sqref="B415:B459">
    <cfRule type="expression" dxfId="0" priority="8">
      <formula>COUNTIF(C:C,B415)&gt;1</formula>
    </cfRule>
  </conditionalFormatting>
  <conditionalFormatting sqref="B460:B462">
    <cfRule type="expression" dxfId="0" priority="20">
      <formula>COUNTIF(B:B,B460)&gt;1</formula>
    </cfRule>
  </conditionalFormatting>
  <conditionalFormatting sqref="B482:B526">
    <cfRule type="expression" dxfId="0" priority="7">
      <formula>COUNTIF(C:C,B482)&gt;1</formula>
    </cfRule>
  </conditionalFormatting>
  <conditionalFormatting sqref="B527:B529">
    <cfRule type="expression" dxfId="0" priority="19">
      <formula>COUNTIF(B:B,B527)&gt;1</formula>
    </cfRule>
  </conditionalFormatting>
  <conditionalFormatting sqref="B548:B593">
    <cfRule type="expression" dxfId="0" priority="6">
      <formula>COUNTIF(C:C,B548)&gt;1</formula>
    </cfRule>
  </conditionalFormatting>
  <conditionalFormatting sqref="B594:B596">
    <cfRule type="expression" dxfId="0" priority="18">
      <formula>COUNTIF(B:B,B594)&gt;1</formula>
    </cfRule>
  </conditionalFormatting>
  <conditionalFormatting sqref="B615:B660">
    <cfRule type="expression" dxfId="0" priority="5">
      <formula>COUNTIF(C:C,B615)&gt;1</formula>
    </cfRule>
  </conditionalFormatting>
  <conditionalFormatting sqref="B661:B663">
    <cfRule type="expression" dxfId="0" priority="17">
      <formula>COUNTIF(B:B,B661)&gt;1</formula>
    </cfRule>
  </conditionalFormatting>
  <conditionalFormatting sqref="B683:B726">
    <cfRule type="expression" dxfId="0" priority="4">
      <formula>COUNTIF(C:C,B683)&gt;1</formula>
    </cfRule>
  </conditionalFormatting>
  <conditionalFormatting sqref="B727:B729">
    <cfRule type="expression" dxfId="0" priority="16">
      <formula>COUNTIF(B:B,B727)&gt;1</formula>
    </cfRule>
  </conditionalFormatting>
  <conditionalFormatting sqref="J13:L58">
    <cfRule type="cellIs" dxfId="1" priority="2" operator="equal">
      <formula>1</formula>
    </cfRule>
  </conditionalFormatting>
  <conditionalFormatting sqref="L79:N124">
    <cfRule type="cellIs" dxfId="1" priority="1" operator="equal">
      <formula>1</formula>
    </cfRule>
  </conditionalFormatting>
  <pageMargins left="0.66875" right="0.156944444444444" top="0.275" bottom="0.786805555555556" header="0.511811023622047" footer="0.511811023622047"/>
  <pageSetup paperSize="1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E506"/>
  <sheetViews>
    <sheetView topLeftCell="A349" workbookViewId="0">
      <selection activeCell="H354" sqref="H354"/>
    </sheetView>
  </sheetViews>
  <sheetFormatPr defaultColWidth="9.15" defaultRowHeight="14.4"/>
  <cols>
    <col min="1" max="2" width="9.14166666666667" style="259"/>
    <col min="3" max="3" width="38.5666666666667" style="259" customWidth="1"/>
    <col min="4" max="4" width="15.4333333333333" style="259" customWidth="1"/>
    <col min="5" max="5" width="37" style="259" customWidth="1"/>
    <col min="6" max="6" width="10.1416666666667" style="259" customWidth="1"/>
    <col min="7" max="16384" width="9.14166666666667" style="259"/>
  </cols>
  <sheetData>
    <row r="3" spans="3:31">
      <c r="C3" s="260"/>
      <c r="D3" s="260"/>
      <c r="E3" s="261"/>
      <c r="F3" s="260"/>
      <c r="G3" s="260"/>
      <c r="H3" s="260"/>
      <c r="I3" s="262"/>
      <c r="J3" s="263"/>
      <c r="K3" s="263"/>
      <c r="L3" s="263"/>
      <c r="M3" s="263"/>
      <c r="N3" s="263"/>
      <c r="O3" s="263"/>
      <c r="P3" s="263"/>
      <c r="Q3" s="260"/>
      <c r="R3" s="262"/>
      <c r="S3" s="262"/>
      <c r="T3" s="260"/>
      <c r="U3" s="260"/>
      <c r="V3" s="260"/>
      <c r="W3" s="260"/>
      <c r="X3" s="260"/>
      <c r="Y3" s="260"/>
      <c r="Z3" s="260"/>
      <c r="AA3" s="260"/>
      <c r="AB3" s="260"/>
      <c r="AC3" s="262"/>
      <c r="AD3" s="262"/>
      <c r="AE3" s="260"/>
    </row>
    <row r="5" ht="15.15" spans="3:31">
      <c r="C5" s="260"/>
      <c r="D5" s="264"/>
      <c r="E5" s="261"/>
      <c r="F5" s="260"/>
      <c r="G5" s="260"/>
      <c r="H5" s="260"/>
      <c r="I5" s="262"/>
      <c r="J5" s="263"/>
      <c r="K5" s="263"/>
      <c r="L5" s="263"/>
      <c r="M5" s="263"/>
      <c r="N5" s="263"/>
      <c r="O5" s="263"/>
      <c r="P5" s="263"/>
      <c r="Q5" s="260"/>
      <c r="R5" s="262"/>
      <c r="S5" s="262"/>
      <c r="T5" s="260"/>
      <c r="U5" s="260"/>
      <c r="V5" s="260"/>
      <c r="W5" s="260"/>
      <c r="X5" s="260"/>
      <c r="Y5" s="260"/>
      <c r="Z5" s="260"/>
      <c r="AA5" s="260"/>
      <c r="AB5" s="260"/>
      <c r="AC5" s="262"/>
      <c r="AD5" s="262"/>
      <c r="AE5" s="260"/>
    </row>
    <row r="6" ht="15" customHeight="1" spans="3:31">
      <c r="C6" s="265" t="s">
        <v>2074</v>
      </c>
      <c r="D6" s="266">
        <v>262710001</v>
      </c>
      <c r="E6" s="267" t="s">
        <v>2589</v>
      </c>
      <c r="F6" s="268">
        <v>114072464</v>
      </c>
    </row>
    <row r="7" ht="15" customHeight="1" spans="3:31">
      <c r="C7" s="265" t="s">
        <v>2076</v>
      </c>
      <c r="D7" s="269">
        <f t="shared" ref="D7:D51" si="0">D6+1</f>
        <v>262710002</v>
      </c>
      <c r="E7" s="270" t="s">
        <v>2116</v>
      </c>
      <c r="F7" s="271">
        <v>111748981</v>
      </c>
    </row>
    <row r="8" ht="15" customHeight="1" spans="3:31">
      <c r="C8" s="265" t="s">
        <v>2078</v>
      </c>
      <c r="D8" s="266">
        <f t="shared" si="0"/>
        <v>262710003</v>
      </c>
      <c r="E8" s="272" t="s">
        <v>2301</v>
      </c>
      <c r="F8" s="273">
        <v>116823556</v>
      </c>
    </row>
    <row r="9" ht="15" customHeight="1" spans="3:31">
      <c r="C9" s="265" t="s">
        <v>2080</v>
      </c>
      <c r="D9" s="269">
        <f t="shared" si="0"/>
        <v>262710004</v>
      </c>
      <c r="E9" s="270" t="s">
        <v>3051</v>
      </c>
      <c r="F9" s="271">
        <v>108564936</v>
      </c>
    </row>
    <row r="10" ht="15" customHeight="1" spans="3:31">
      <c r="C10" s="265" t="s">
        <v>2083</v>
      </c>
      <c r="D10" s="269">
        <f t="shared" si="0"/>
        <v>262710005</v>
      </c>
      <c r="E10" s="272" t="s">
        <v>2102</v>
      </c>
      <c r="F10" s="273">
        <v>114259965</v>
      </c>
    </row>
    <row r="11" ht="15" customHeight="1" spans="3:31">
      <c r="C11" s="265" t="s">
        <v>2086</v>
      </c>
      <c r="D11" s="266">
        <f t="shared" si="0"/>
        <v>262710006</v>
      </c>
      <c r="E11" s="270" t="s">
        <v>2729</v>
      </c>
      <c r="F11" s="271">
        <v>108173067</v>
      </c>
    </row>
    <row r="12" ht="15" customHeight="1" spans="3:31">
      <c r="C12" s="265" t="s">
        <v>2088</v>
      </c>
      <c r="D12" s="269">
        <f t="shared" si="0"/>
        <v>262710007</v>
      </c>
      <c r="E12" s="272" t="s">
        <v>2233</v>
      </c>
      <c r="F12" s="273">
        <v>109588669</v>
      </c>
    </row>
    <row r="13" ht="15" customHeight="1" spans="3:31">
      <c r="C13" s="265" t="s">
        <v>2090</v>
      </c>
      <c r="D13" s="269">
        <f t="shared" si="0"/>
        <v>262710008</v>
      </c>
      <c r="E13" s="270" t="s">
        <v>3033</v>
      </c>
      <c r="F13" s="271">
        <v>101497501</v>
      </c>
    </row>
    <row r="14" ht="15" customHeight="1" spans="3:31">
      <c r="C14" s="265" t="s">
        <v>2092</v>
      </c>
      <c r="D14" s="266">
        <f t="shared" si="0"/>
        <v>262710009</v>
      </c>
      <c r="E14" s="272" t="s">
        <v>2795</v>
      </c>
      <c r="F14" s="273">
        <v>119944828</v>
      </c>
    </row>
    <row r="15" ht="15" customHeight="1" spans="3:31">
      <c r="C15" s="265" t="s">
        <v>2094</v>
      </c>
      <c r="D15" s="269">
        <f t="shared" si="0"/>
        <v>262710010</v>
      </c>
      <c r="E15" s="270" t="s">
        <v>3005</v>
      </c>
      <c r="F15" s="271">
        <v>109702048</v>
      </c>
    </row>
    <row r="16" ht="15" customHeight="1" spans="3:31">
      <c r="C16" s="265" t="s">
        <v>2096</v>
      </c>
      <c r="D16" s="269">
        <f t="shared" si="0"/>
        <v>262710011</v>
      </c>
      <c r="E16" s="272" t="s">
        <v>2693</v>
      </c>
      <c r="F16" s="273">
        <v>101788242</v>
      </c>
    </row>
    <row r="17" ht="15" customHeight="1" spans="3:6">
      <c r="C17" s="265" t="s">
        <v>2098</v>
      </c>
      <c r="D17" s="266">
        <f t="shared" si="0"/>
        <v>262710012</v>
      </c>
      <c r="E17" s="270" t="s">
        <v>3059</v>
      </c>
      <c r="F17" s="271">
        <v>102432114</v>
      </c>
    </row>
    <row r="18" ht="15" customHeight="1" spans="3:6">
      <c r="C18" s="265" t="s">
        <v>2100</v>
      </c>
      <c r="D18" s="269">
        <f t="shared" si="0"/>
        <v>262710013</v>
      </c>
      <c r="E18" s="272" t="s">
        <v>2569</v>
      </c>
      <c r="F18" s="273">
        <v>105608170</v>
      </c>
    </row>
    <row r="19" ht="15" customHeight="1" spans="3:6">
      <c r="C19" s="265" t="s">
        <v>2102</v>
      </c>
      <c r="D19" s="269">
        <f t="shared" si="0"/>
        <v>262710014</v>
      </c>
      <c r="E19" s="270" t="s">
        <v>2487</v>
      </c>
      <c r="F19" s="271">
        <v>107540877</v>
      </c>
    </row>
    <row r="20" ht="15" customHeight="1" spans="3:6">
      <c r="C20" s="265" t="s">
        <v>2104</v>
      </c>
      <c r="D20" s="266">
        <f t="shared" si="0"/>
        <v>262710015</v>
      </c>
      <c r="E20" s="272" t="s">
        <v>2479</v>
      </c>
      <c r="F20" s="273">
        <v>101199779</v>
      </c>
    </row>
    <row r="21" ht="15" customHeight="1" spans="3:6">
      <c r="C21" s="265" t="s">
        <v>2106</v>
      </c>
      <c r="D21" s="269">
        <f t="shared" si="0"/>
        <v>262710016</v>
      </c>
      <c r="E21" s="270" t="s">
        <v>2785</v>
      </c>
      <c r="F21" s="271">
        <v>105920461</v>
      </c>
    </row>
    <row r="22" ht="15" customHeight="1" spans="3:6">
      <c r="C22" s="265" t="s">
        <v>2108</v>
      </c>
      <c r="D22" s="269">
        <f t="shared" si="0"/>
        <v>262710017</v>
      </c>
      <c r="E22" s="272" t="s">
        <v>2533</v>
      </c>
      <c r="F22" s="273">
        <v>109087525</v>
      </c>
    </row>
    <row r="23" ht="15" customHeight="1" spans="3:6">
      <c r="C23" s="265" t="s">
        <v>2110</v>
      </c>
      <c r="D23" s="266">
        <f t="shared" si="0"/>
        <v>262710018</v>
      </c>
      <c r="E23" s="270" t="s">
        <v>2603</v>
      </c>
      <c r="F23" s="271">
        <v>102702906</v>
      </c>
    </row>
    <row r="24" ht="15" customHeight="1" spans="3:6">
      <c r="C24" s="265" t="s">
        <v>2112</v>
      </c>
      <c r="D24" s="269">
        <f t="shared" si="0"/>
        <v>262710019</v>
      </c>
      <c r="E24" s="272" t="s">
        <v>3083</v>
      </c>
      <c r="F24" s="273">
        <v>108868825</v>
      </c>
    </row>
    <row r="25" ht="15" customHeight="1" spans="3:6">
      <c r="C25" s="265" t="s">
        <v>2114</v>
      </c>
      <c r="D25" s="269">
        <f t="shared" si="0"/>
        <v>262710020</v>
      </c>
      <c r="E25" s="270" t="s">
        <v>2421</v>
      </c>
      <c r="F25" s="271">
        <v>119491307</v>
      </c>
    </row>
    <row r="26" ht="15" customHeight="1" spans="3:6">
      <c r="C26" s="265" t="s">
        <v>2116</v>
      </c>
      <c r="D26" s="266">
        <f t="shared" si="0"/>
        <v>262710021</v>
      </c>
      <c r="E26" s="272" t="s">
        <v>2126</v>
      </c>
      <c r="F26" s="273">
        <v>108306673</v>
      </c>
    </row>
    <row r="27" ht="15" customHeight="1" spans="3:6">
      <c r="C27" s="265" t="s">
        <v>2118</v>
      </c>
      <c r="D27" s="269">
        <f t="shared" si="0"/>
        <v>262710022</v>
      </c>
      <c r="E27" s="270" t="s">
        <v>2929</v>
      </c>
      <c r="F27" s="271">
        <v>103923766</v>
      </c>
    </row>
    <row r="28" ht="15" customHeight="1" spans="3:6">
      <c r="C28" s="265" t="s">
        <v>2120</v>
      </c>
      <c r="D28" s="269">
        <f t="shared" si="0"/>
        <v>262710023</v>
      </c>
      <c r="E28" s="272" t="s">
        <v>2951</v>
      </c>
      <c r="F28" s="273">
        <v>102946250</v>
      </c>
    </row>
    <row r="29" ht="15" customHeight="1" spans="3:6">
      <c r="C29" s="265" t="s">
        <v>2122</v>
      </c>
      <c r="D29" s="266">
        <f t="shared" si="0"/>
        <v>262710024</v>
      </c>
      <c r="E29" s="270" t="s">
        <v>3099</v>
      </c>
      <c r="F29" s="271">
        <v>101690086</v>
      </c>
    </row>
    <row r="30" ht="15" customHeight="1" spans="3:6">
      <c r="C30" s="265" t="s">
        <v>2124</v>
      </c>
      <c r="D30" s="269">
        <f t="shared" si="0"/>
        <v>262710025</v>
      </c>
      <c r="E30" s="272" t="s">
        <v>2345</v>
      </c>
      <c r="F30" s="273">
        <v>111499778</v>
      </c>
    </row>
    <row r="31" ht="15" customHeight="1" spans="3:6">
      <c r="C31" s="265" t="s">
        <v>2126</v>
      </c>
      <c r="D31" s="269">
        <f t="shared" si="0"/>
        <v>262710026</v>
      </c>
      <c r="E31" s="270" t="s">
        <v>2853</v>
      </c>
      <c r="F31" s="274">
        <v>3118777736</v>
      </c>
    </row>
    <row r="32" ht="15" customHeight="1" spans="3:6">
      <c r="C32" s="265" t="s">
        <v>2128</v>
      </c>
      <c r="D32" s="266">
        <f t="shared" si="0"/>
        <v>262710027</v>
      </c>
      <c r="E32" s="272" t="s">
        <v>3102</v>
      </c>
      <c r="F32" s="273">
        <v>107371422</v>
      </c>
    </row>
    <row r="33" ht="15" customHeight="1" spans="3:6">
      <c r="C33" s="265" t="s">
        <v>2130</v>
      </c>
      <c r="D33" s="269">
        <f t="shared" si="0"/>
        <v>262710028</v>
      </c>
      <c r="E33" s="270" t="s">
        <v>2465</v>
      </c>
      <c r="F33" s="271">
        <v>119845285</v>
      </c>
    </row>
    <row r="34" ht="15" customHeight="1" spans="3:6">
      <c r="C34" s="265" t="s">
        <v>2132</v>
      </c>
      <c r="D34" s="269">
        <f t="shared" si="0"/>
        <v>262710029</v>
      </c>
      <c r="E34" s="272" t="s">
        <v>2615</v>
      </c>
      <c r="F34" s="273">
        <v>117509926</v>
      </c>
    </row>
    <row r="35" ht="15" customHeight="1" spans="3:6">
      <c r="C35" s="265" t="s">
        <v>2134</v>
      </c>
      <c r="D35" s="266">
        <f t="shared" si="0"/>
        <v>262710030</v>
      </c>
      <c r="E35" s="270" t="s">
        <v>2897</v>
      </c>
      <c r="F35" s="271">
        <v>111159159</v>
      </c>
    </row>
    <row r="36" ht="15" customHeight="1" spans="3:6">
      <c r="C36" s="265" t="s">
        <v>2136</v>
      </c>
      <c r="D36" s="269">
        <f t="shared" si="0"/>
        <v>262710031</v>
      </c>
      <c r="E36" s="272" t="s">
        <v>2973</v>
      </c>
      <c r="F36" s="273">
        <v>105648708</v>
      </c>
    </row>
    <row r="37" ht="15" customHeight="1" spans="3:6">
      <c r="C37" s="265" t="s">
        <v>2138</v>
      </c>
      <c r="D37" s="269">
        <f t="shared" si="0"/>
        <v>262710032</v>
      </c>
      <c r="E37" s="270" t="s">
        <v>2371</v>
      </c>
      <c r="F37" s="271">
        <v>109549959</v>
      </c>
    </row>
    <row r="38" ht="15" customHeight="1" spans="3:6">
      <c r="C38" s="265" t="s">
        <v>2140</v>
      </c>
      <c r="D38" s="266">
        <f t="shared" si="0"/>
        <v>262710033</v>
      </c>
      <c r="E38" s="272" t="s">
        <v>2179</v>
      </c>
      <c r="F38" s="273">
        <v>111114422</v>
      </c>
    </row>
    <row r="39" ht="15" customHeight="1" spans="3:6">
      <c r="C39" s="265" t="s">
        <v>2142</v>
      </c>
      <c r="D39" s="269">
        <f t="shared" si="0"/>
        <v>262710034</v>
      </c>
      <c r="E39" s="270" t="s">
        <v>2629</v>
      </c>
      <c r="F39" s="271">
        <v>113922718</v>
      </c>
    </row>
    <row r="40" ht="15" customHeight="1" spans="3:6">
      <c r="C40" s="265" t="s">
        <v>2144</v>
      </c>
      <c r="D40" s="269">
        <f t="shared" si="0"/>
        <v>262710035</v>
      </c>
      <c r="E40" s="272" t="s">
        <v>2104</v>
      </c>
      <c r="F40" s="273">
        <v>109335313</v>
      </c>
    </row>
    <row r="41" ht="15" customHeight="1" spans="3:6">
      <c r="C41" s="265" t="s">
        <v>2146</v>
      </c>
      <c r="D41" s="266">
        <f t="shared" si="0"/>
        <v>262710036</v>
      </c>
      <c r="E41" s="270" t="s">
        <v>2405</v>
      </c>
      <c r="F41" s="271">
        <v>103586068</v>
      </c>
    </row>
    <row r="42" ht="15" customHeight="1" spans="3:6">
      <c r="C42" s="265" t="s">
        <v>2148</v>
      </c>
      <c r="D42" s="269">
        <f t="shared" si="0"/>
        <v>262710037</v>
      </c>
      <c r="E42" s="272" t="s">
        <v>2939</v>
      </c>
      <c r="F42" s="273">
        <v>113368694</v>
      </c>
    </row>
    <row r="43" ht="15" customHeight="1" spans="3:6">
      <c r="C43" s="265" t="s">
        <v>2150</v>
      </c>
      <c r="D43" s="269">
        <f t="shared" si="0"/>
        <v>262710038</v>
      </c>
      <c r="E43" s="270" t="s">
        <v>3001</v>
      </c>
      <c r="F43" s="271">
        <v>117899701</v>
      </c>
    </row>
    <row r="44" ht="15" customHeight="1" spans="3:6">
      <c r="C44" s="265" t="s">
        <v>2152</v>
      </c>
      <c r="D44" s="266">
        <f t="shared" si="0"/>
        <v>262710039</v>
      </c>
      <c r="E44" s="272" t="s">
        <v>2317</v>
      </c>
      <c r="F44" s="273">
        <v>102385829</v>
      </c>
    </row>
    <row r="45" ht="15" customHeight="1" spans="3:6">
      <c r="C45" s="265" t="s">
        <v>2154</v>
      </c>
      <c r="D45" s="269">
        <f t="shared" si="0"/>
        <v>262710040</v>
      </c>
      <c r="E45" s="270" t="s">
        <v>2663</v>
      </c>
      <c r="F45" s="271">
        <v>101949278</v>
      </c>
    </row>
    <row r="46" ht="15" customHeight="1" spans="3:6">
      <c r="C46" s="265" t="s">
        <v>2156</v>
      </c>
      <c r="D46" s="269">
        <f t="shared" si="0"/>
        <v>262710041</v>
      </c>
      <c r="E46" s="272" t="s">
        <v>3017</v>
      </c>
      <c r="F46" s="273">
        <v>118289401</v>
      </c>
    </row>
    <row r="47" ht="15" customHeight="1" spans="3:6">
      <c r="C47" s="265" t="s">
        <v>2158</v>
      </c>
      <c r="D47" s="266">
        <f t="shared" si="0"/>
        <v>262710042</v>
      </c>
      <c r="E47" s="270" t="s">
        <v>2961</v>
      </c>
      <c r="F47" s="271">
        <v>112459227</v>
      </c>
    </row>
    <row r="48" ht="15" customHeight="1" spans="3:6">
      <c r="C48" s="265" t="s">
        <v>2160</v>
      </c>
      <c r="D48" s="269">
        <f t="shared" si="0"/>
        <v>262710043</v>
      </c>
      <c r="E48" s="272" t="s">
        <v>2799</v>
      </c>
      <c r="F48" s="273">
        <v>115571797</v>
      </c>
    </row>
    <row r="49" ht="15" customHeight="1" spans="3:6">
      <c r="C49" s="265" t="s">
        <v>2162</v>
      </c>
      <c r="D49" s="269">
        <f t="shared" si="0"/>
        <v>262710044</v>
      </c>
      <c r="E49" s="270" t="s">
        <v>3103</v>
      </c>
      <c r="F49" s="271">
        <v>105016548</v>
      </c>
    </row>
    <row r="50" ht="15" customHeight="1" spans="3:6">
      <c r="C50" s="265" t="s">
        <v>2164</v>
      </c>
      <c r="D50" s="266">
        <f t="shared" si="0"/>
        <v>262710045</v>
      </c>
      <c r="E50" s="272" t="s">
        <v>2983</v>
      </c>
      <c r="F50" s="273">
        <v>113563267</v>
      </c>
    </row>
    <row r="51" ht="15" customHeight="1" spans="3:6">
      <c r="C51" s="265" t="s">
        <v>2166</v>
      </c>
      <c r="D51" s="269">
        <f t="shared" si="0"/>
        <v>262710046</v>
      </c>
      <c r="E51" s="270" t="s">
        <v>2219</v>
      </c>
      <c r="F51" s="271">
        <v>107728181</v>
      </c>
    </row>
    <row r="52" ht="15" customHeight="1" spans="3:6">
      <c r="C52" s="275" t="s">
        <v>1005</v>
      </c>
      <c r="D52" s="276">
        <v>262710047</v>
      </c>
      <c r="E52" s="272" t="s">
        <v>2909</v>
      </c>
      <c r="F52" s="273">
        <v>114441839</v>
      </c>
    </row>
    <row r="53" ht="15" customHeight="1" spans="3:6">
      <c r="C53" s="277" t="s">
        <v>1007</v>
      </c>
      <c r="D53" s="278">
        <f t="shared" ref="D53:D99" si="1">D52+1</f>
        <v>262710048</v>
      </c>
      <c r="E53" s="270" t="s">
        <v>2213</v>
      </c>
      <c r="F53" s="271">
        <v>102081524</v>
      </c>
    </row>
    <row r="54" ht="15" customHeight="1" spans="3:6">
      <c r="C54" s="275" t="s">
        <v>1010</v>
      </c>
      <c r="D54" s="276">
        <f t="shared" si="1"/>
        <v>262710049</v>
      </c>
      <c r="E54" s="272" t="s">
        <v>2815</v>
      </c>
      <c r="F54" s="273">
        <v>116326508</v>
      </c>
    </row>
    <row r="55" ht="15" customHeight="1" spans="3:6">
      <c r="C55" s="277" t="s">
        <v>1012</v>
      </c>
      <c r="D55" s="278">
        <f t="shared" si="1"/>
        <v>262710050</v>
      </c>
      <c r="E55" s="270" t="s">
        <v>2277</v>
      </c>
      <c r="F55" s="271">
        <v>104336150</v>
      </c>
    </row>
    <row r="56" ht="15" customHeight="1" spans="3:6">
      <c r="C56" s="279" t="s">
        <v>1014</v>
      </c>
      <c r="D56" s="278">
        <f t="shared" si="1"/>
        <v>262710051</v>
      </c>
      <c r="E56" s="272" t="s">
        <v>2947</v>
      </c>
      <c r="F56" s="273">
        <v>102423596</v>
      </c>
    </row>
    <row r="57" ht="15" customHeight="1" spans="3:6">
      <c r="C57" s="277" t="s">
        <v>1016</v>
      </c>
      <c r="D57" s="276">
        <f t="shared" si="1"/>
        <v>262710052</v>
      </c>
      <c r="E57" s="270" t="s">
        <v>2541</v>
      </c>
      <c r="F57" s="271">
        <v>118237171</v>
      </c>
    </row>
    <row r="58" ht="15" customHeight="1" spans="3:6">
      <c r="C58" s="275" t="s">
        <v>1018</v>
      </c>
      <c r="D58" s="278">
        <f t="shared" si="1"/>
        <v>262710053</v>
      </c>
      <c r="E58" s="272" t="s">
        <v>3065</v>
      </c>
      <c r="F58" s="273">
        <v>102856381</v>
      </c>
    </row>
    <row r="59" ht="15" customHeight="1" spans="3:6">
      <c r="C59" s="277" t="s">
        <v>1020</v>
      </c>
      <c r="D59" s="278">
        <f t="shared" si="1"/>
        <v>262710054</v>
      </c>
      <c r="E59" s="270" t="s">
        <v>3104</v>
      </c>
      <c r="F59" s="271">
        <v>119129988</v>
      </c>
    </row>
    <row r="60" ht="15" customHeight="1" spans="3:6">
      <c r="C60" s="275" t="s">
        <v>1022</v>
      </c>
      <c r="D60" s="276">
        <f t="shared" si="1"/>
        <v>262710055</v>
      </c>
      <c r="E60" s="272" t="s">
        <v>2617</v>
      </c>
      <c r="F60" s="273">
        <v>101965993</v>
      </c>
    </row>
    <row r="61" ht="15" customHeight="1" spans="3:6">
      <c r="C61" s="277" t="s">
        <v>1024</v>
      </c>
      <c r="D61" s="278">
        <f t="shared" si="1"/>
        <v>262710056</v>
      </c>
      <c r="E61" s="270" t="s">
        <v>2709</v>
      </c>
      <c r="F61" s="271">
        <v>109147321</v>
      </c>
    </row>
    <row r="62" ht="15" customHeight="1" spans="3:6">
      <c r="C62" s="275" t="s">
        <v>1026</v>
      </c>
      <c r="D62" s="278">
        <f t="shared" si="1"/>
        <v>262710057</v>
      </c>
      <c r="E62" s="272" t="s">
        <v>2745</v>
      </c>
      <c r="F62" s="273">
        <v>116316975</v>
      </c>
    </row>
    <row r="63" ht="15" customHeight="1" spans="3:6">
      <c r="C63" s="277" t="s">
        <v>1028</v>
      </c>
      <c r="D63" s="276">
        <f t="shared" si="1"/>
        <v>262710058</v>
      </c>
      <c r="E63" s="270" t="s">
        <v>3105</v>
      </c>
      <c r="F63" s="271">
        <v>106466974</v>
      </c>
    </row>
    <row r="64" ht="15" customHeight="1" spans="3:6">
      <c r="C64" s="275" t="s">
        <v>1030</v>
      </c>
      <c r="D64" s="278">
        <f t="shared" si="1"/>
        <v>262710059</v>
      </c>
      <c r="E64" s="272" t="s">
        <v>2707</v>
      </c>
      <c r="F64" s="273">
        <v>107215204</v>
      </c>
    </row>
    <row r="65" ht="15" customHeight="1" spans="3:6">
      <c r="C65" s="277" t="s">
        <v>1032</v>
      </c>
      <c r="D65" s="278">
        <f t="shared" si="1"/>
        <v>262710060</v>
      </c>
      <c r="E65" s="270" t="s">
        <v>2735</v>
      </c>
      <c r="F65" s="271">
        <v>104092690</v>
      </c>
    </row>
    <row r="66" ht="15" customHeight="1" spans="3:6">
      <c r="C66" s="275" t="s">
        <v>1035</v>
      </c>
      <c r="D66" s="276">
        <f t="shared" si="1"/>
        <v>262710061</v>
      </c>
      <c r="E66" s="272" t="s">
        <v>2311</v>
      </c>
      <c r="F66" s="273">
        <v>104566548</v>
      </c>
    </row>
    <row r="67" ht="15" customHeight="1" spans="3:6">
      <c r="C67" s="277" t="s">
        <v>1037</v>
      </c>
      <c r="D67" s="278">
        <f t="shared" si="1"/>
        <v>262710062</v>
      </c>
      <c r="E67" s="270" t="s">
        <v>2359</v>
      </c>
      <c r="F67" s="271">
        <v>104588822</v>
      </c>
    </row>
    <row r="68" ht="15" customHeight="1" spans="3:6">
      <c r="C68" s="275" t="s">
        <v>1039</v>
      </c>
      <c r="D68" s="278">
        <f t="shared" si="1"/>
        <v>262710063</v>
      </c>
      <c r="E68" s="272" t="s">
        <v>2393</v>
      </c>
      <c r="F68" s="273">
        <v>119823897</v>
      </c>
    </row>
    <row r="69" ht="15" customHeight="1" spans="3:6">
      <c r="C69" s="277" t="s">
        <v>1041</v>
      </c>
      <c r="D69" s="276">
        <f t="shared" si="1"/>
        <v>262710064</v>
      </c>
      <c r="E69" s="270" t="s">
        <v>2166</v>
      </c>
      <c r="F69" s="271">
        <v>117809849</v>
      </c>
    </row>
    <row r="70" ht="15" customHeight="1" spans="3:6">
      <c r="C70" s="275" t="s">
        <v>1043</v>
      </c>
      <c r="D70" s="278">
        <f t="shared" si="1"/>
        <v>262710065</v>
      </c>
      <c r="E70" s="272" t="s">
        <v>2783</v>
      </c>
      <c r="F70" s="280">
        <v>3112208524</v>
      </c>
    </row>
    <row r="71" ht="15" customHeight="1" spans="3:6">
      <c r="C71" s="277" t="s">
        <v>1046</v>
      </c>
      <c r="D71" s="278">
        <f t="shared" si="1"/>
        <v>262710066</v>
      </c>
      <c r="E71" s="270" t="s">
        <v>2893</v>
      </c>
      <c r="F71" s="271">
        <v>103441676</v>
      </c>
    </row>
    <row r="72" ht="15" customHeight="1" spans="3:6">
      <c r="C72" s="279" t="s">
        <v>1048</v>
      </c>
      <c r="D72" s="276">
        <f t="shared" si="1"/>
        <v>262710067</v>
      </c>
      <c r="E72" s="272" t="s">
        <v>2439</v>
      </c>
      <c r="F72" s="273">
        <v>105269814</v>
      </c>
    </row>
    <row r="73" ht="15" customHeight="1" spans="3:6">
      <c r="C73" s="277" t="s">
        <v>1050</v>
      </c>
      <c r="D73" s="278">
        <f t="shared" si="1"/>
        <v>262710068</v>
      </c>
      <c r="E73" s="270" t="s">
        <v>2577</v>
      </c>
      <c r="F73" s="271">
        <v>118953908</v>
      </c>
    </row>
    <row r="74" ht="15" customHeight="1" spans="3:6">
      <c r="C74" s="275" t="s">
        <v>1052</v>
      </c>
      <c r="D74" s="278">
        <f t="shared" si="1"/>
        <v>262710069</v>
      </c>
      <c r="E74" s="272" t="s">
        <v>3069</v>
      </c>
      <c r="F74" s="273">
        <v>111795196</v>
      </c>
    </row>
    <row r="75" ht="15" customHeight="1" spans="3:6">
      <c r="C75" s="277" t="s">
        <v>1054</v>
      </c>
      <c r="D75" s="276">
        <f t="shared" si="1"/>
        <v>262710070</v>
      </c>
      <c r="E75" s="270" t="s">
        <v>2327</v>
      </c>
      <c r="F75" s="271">
        <v>106960145</v>
      </c>
    </row>
    <row r="76" ht="15" customHeight="1" spans="3:6">
      <c r="C76" s="275" t="s">
        <v>1055</v>
      </c>
      <c r="D76" s="278">
        <f t="shared" si="1"/>
        <v>262710071</v>
      </c>
      <c r="E76" s="272" t="s">
        <v>2235</v>
      </c>
      <c r="F76" s="273">
        <v>114600912</v>
      </c>
    </row>
    <row r="77" ht="15" customHeight="1" spans="3:6">
      <c r="C77" s="277" t="s">
        <v>1057</v>
      </c>
      <c r="D77" s="278">
        <f t="shared" si="1"/>
        <v>262710072</v>
      </c>
      <c r="E77" s="270" t="s">
        <v>2501</v>
      </c>
      <c r="F77" s="271">
        <v>109127979</v>
      </c>
    </row>
    <row r="78" ht="15" customHeight="1" spans="3:6">
      <c r="C78" s="279" t="s">
        <v>1059</v>
      </c>
      <c r="D78" s="276">
        <f t="shared" si="1"/>
        <v>262710073</v>
      </c>
      <c r="E78" s="272" t="s">
        <v>2461</v>
      </c>
      <c r="F78" s="273">
        <v>117636129</v>
      </c>
    </row>
    <row r="79" ht="15" customHeight="1" spans="3:6">
      <c r="C79" s="277" t="s">
        <v>1061</v>
      </c>
      <c r="D79" s="278">
        <f t="shared" si="1"/>
        <v>262710074</v>
      </c>
      <c r="E79" s="270" t="s">
        <v>2391</v>
      </c>
      <c r="F79" s="271">
        <v>101907105</v>
      </c>
    </row>
    <row r="80" ht="15" customHeight="1" spans="3:6">
      <c r="C80" s="275" t="s">
        <v>1063</v>
      </c>
      <c r="D80" s="278">
        <f t="shared" si="1"/>
        <v>262710075</v>
      </c>
      <c r="E80" s="272" t="s">
        <v>2289</v>
      </c>
      <c r="F80" s="273">
        <v>101035940</v>
      </c>
    </row>
    <row r="81" ht="15" customHeight="1" spans="3:6">
      <c r="C81" s="277" t="s">
        <v>1065</v>
      </c>
      <c r="D81" s="276">
        <f t="shared" si="1"/>
        <v>262710076</v>
      </c>
      <c r="E81" s="270" t="s">
        <v>2805</v>
      </c>
      <c r="F81" s="271">
        <v>101810183</v>
      </c>
    </row>
    <row r="82" ht="15" customHeight="1" spans="3:6">
      <c r="C82" s="275" t="s">
        <v>1067</v>
      </c>
      <c r="D82" s="278">
        <f t="shared" si="1"/>
        <v>262710077</v>
      </c>
      <c r="E82" s="272" t="s">
        <v>2769</v>
      </c>
      <c r="F82" s="273">
        <v>109982974</v>
      </c>
    </row>
    <row r="83" ht="15" customHeight="1" spans="3:6">
      <c r="C83" s="281" t="s">
        <v>1069</v>
      </c>
      <c r="D83" s="278">
        <f t="shared" si="1"/>
        <v>262710078</v>
      </c>
      <c r="E83" s="270" t="s">
        <v>2583</v>
      </c>
      <c r="F83" s="271">
        <v>114337660</v>
      </c>
    </row>
    <row r="84" ht="15" customHeight="1" spans="3:6">
      <c r="C84" s="279" t="s">
        <v>1071</v>
      </c>
      <c r="D84" s="276">
        <f t="shared" si="1"/>
        <v>262710079</v>
      </c>
      <c r="E84" s="272" t="s">
        <v>2579</v>
      </c>
      <c r="F84" s="273">
        <v>98252146</v>
      </c>
    </row>
    <row r="85" ht="15" customHeight="1" spans="3:6">
      <c r="C85" s="277" t="s">
        <v>1073</v>
      </c>
      <c r="D85" s="278">
        <f t="shared" si="1"/>
        <v>262710080</v>
      </c>
      <c r="E85" s="270" t="s">
        <v>3106</v>
      </c>
      <c r="F85" s="271">
        <v>103269455</v>
      </c>
    </row>
    <row r="86" ht="15" customHeight="1" spans="3:6">
      <c r="C86" s="275" t="s">
        <v>1075</v>
      </c>
      <c r="D86" s="278">
        <f t="shared" si="1"/>
        <v>262710081</v>
      </c>
      <c r="E86" s="272" t="s">
        <v>2681</v>
      </c>
      <c r="F86" s="273">
        <v>113283048</v>
      </c>
    </row>
    <row r="87" ht="15" customHeight="1" spans="3:6">
      <c r="C87" s="277" t="s">
        <v>1077</v>
      </c>
      <c r="D87" s="276">
        <f t="shared" si="1"/>
        <v>262710082</v>
      </c>
      <c r="E87" s="270" t="s">
        <v>2697</v>
      </c>
      <c r="F87" s="271">
        <v>103320065</v>
      </c>
    </row>
    <row r="88" ht="15" customHeight="1" spans="3:6">
      <c r="C88" s="282" t="s">
        <v>1079</v>
      </c>
      <c r="D88" s="278">
        <f t="shared" si="1"/>
        <v>262710083</v>
      </c>
      <c r="E88" s="272" t="s">
        <v>2647</v>
      </c>
      <c r="F88" s="273">
        <v>109388119</v>
      </c>
    </row>
    <row r="89" ht="15" customHeight="1" spans="3:6">
      <c r="C89" s="277" t="s">
        <v>1081</v>
      </c>
      <c r="D89" s="278">
        <f t="shared" si="1"/>
        <v>262710084</v>
      </c>
      <c r="E89" s="270" t="s">
        <v>2078</v>
      </c>
      <c r="F89" s="271">
        <v>105913342</v>
      </c>
    </row>
    <row r="90" ht="15" customHeight="1" spans="3:6">
      <c r="C90" s="275" t="s">
        <v>1083</v>
      </c>
      <c r="D90" s="276">
        <f t="shared" si="1"/>
        <v>262710085</v>
      </c>
      <c r="E90" s="272" t="s">
        <v>2839</v>
      </c>
      <c r="F90" s="273">
        <v>108682220</v>
      </c>
    </row>
    <row r="91" ht="15" customHeight="1" spans="3:6">
      <c r="C91" s="277" t="s">
        <v>1085</v>
      </c>
      <c r="D91" s="278">
        <f t="shared" si="1"/>
        <v>262710086</v>
      </c>
      <c r="E91" s="270" t="s">
        <v>2719</v>
      </c>
      <c r="F91" s="271">
        <v>102066489</v>
      </c>
    </row>
    <row r="92" ht="15" customHeight="1" spans="3:6">
      <c r="C92" s="275" t="s">
        <v>1087</v>
      </c>
      <c r="D92" s="278">
        <f t="shared" si="1"/>
        <v>262710087</v>
      </c>
      <c r="E92" s="272" t="s">
        <v>2903</v>
      </c>
      <c r="F92" s="273">
        <v>103226197</v>
      </c>
    </row>
    <row r="93" ht="15" customHeight="1" spans="3:6">
      <c r="C93" s="277" t="s">
        <v>1089</v>
      </c>
      <c r="D93" s="276">
        <f t="shared" si="1"/>
        <v>262710088</v>
      </c>
      <c r="E93" s="270" t="s">
        <v>2517</v>
      </c>
      <c r="F93" s="271">
        <v>117501688</v>
      </c>
    </row>
    <row r="94" ht="15" customHeight="1" spans="3:6">
      <c r="C94" s="275" t="s">
        <v>1091</v>
      </c>
      <c r="D94" s="278">
        <f t="shared" si="1"/>
        <v>262710089</v>
      </c>
      <c r="E94" s="272" t="s">
        <v>2993</v>
      </c>
      <c r="F94" s="273">
        <v>105338138</v>
      </c>
    </row>
    <row r="95" ht="15" customHeight="1" spans="3:6">
      <c r="C95" s="277" t="s">
        <v>1093</v>
      </c>
      <c r="D95" s="278">
        <f t="shared" si="1"/>
        <v>262710090</v>
      </c>
      <c r="E95" s="270" t="s">
        <v>2088</v>
      </c>
      <c r="F95" s="271">
        <v>104849623</v>
      </c>
    </row>
    <row r="96" ht="15" customHeight="1" spans="3:6">
      <c r="C96" s="282" t="s">
        <v>1095</v>
      </c>
      <c r="D96" s="276">
        <f t="shared" si="1"/>
        <v>262710091</v>
      </c>
      <c r="E96" s="272" t="s">
        <v>2763</v>
      </c>
      <c r="F96" s="273">
        <v>102766141</v>
      </c>
    </row>
    <row r="97" ht="15" customHeight="1" spans="3:6">
      <c r="C97" s="277" t="s">
        <v>1097</v>
      </c>
      <c r="D97" s="278">
        <f t="shared" si="1"/>
        <v>262710092</v>
      </c>
      <c r="E97" s="270" t="s">
        <v>2673</v>
      </c>
      <c r="F97" s="271">
        <v>116919874</v>
      </c>
    </row>
    <row r="98" ht="15" customHeight="1" spans="3:6">
      <c r="C98" s="275" t="s">
        <v>1099</v>
      </c>
      <c r="D98" s="278">
        <f t="shared" si="1"/>
        <v>262710093</v>
      </c>
      <c r="E98" s="272" t="s">
        <v>2188</v>
      </c>
      <c r="F98" s="273">
        <v>101894874</v>
      </c>
    </row>
    <row r="99" ht="15" customHeight="1" spans="3:6">
      <c r="C99" s="281" t="s">
        <v>1101</v>
      </c>
      <c r="D99" s="276">
        <f t="shared" si="1"/>
        <v>262710094</v>
      </c>
      <c r="E99" s="270" t="s">
        <v>3027</v>
      </c>
      <c r="F99" s="271">
        <v>112171467</v>
      </c>
    </row>
    <row r="100" ht="15" customHeight="1" spans="3:6">
      <c r="C100" s="283" t="s">
        <v>2271</v>
      </c>
      <c r="D100" s="276">
        <v>262710095</v>
      </c>
      <c r="E100" s="272" t="s">
        <v>3081</v>
      </c>
      <c r="F100" s="273">
        <v>109081877</v>
      </c>
    </row>
    <row r="101" ht="15" customHeight="1" spans="3:6">
      <c r="C101" s="283" t="s">
        <v>2273</v>
      </c>
      <c r="D101" s="278">
        <f t="shared" ref="D101:D145" si="2">D100+1</f>
        <v>262710096</v>
      </c>
      <c r="E101" s="270" t="s">
        <v>2383</v>
      </c>
      <c r="F101" s="271">
        <v>119273312</v>
      </c>
    </row>
    <row r="102" ht="15" customHeight="1" spans="3:6">
      <c r="C102" s="283" t="s">
        <v>2275</v>
      </c>
      <c r="D102" s="276">
        <f t="shared" si="2"/>
        <v>262710097</v>
      </c>
      <c r="E102" s="272" t="s">
        <v>2152</v>
      </c>
      <c r="F102" s="273">
        <v>106399533</v>
      </c>
    </row>
    <row r="103" ht="15" customHeight="1" spans="3:6">
      <c r="C103" s="283" t="s">
        <v>2277</v>
      </c>
      <c r="D103" s="278">
        <f t="shared" si="2"/>
        <v>262710098</v>
      </c>
      <c r="E103" s="270" t="s">
        <v>2162</v>
      </c>
      <c r="F103" s="271">
        <v>116039105</v>
      </c>
    </row>
    <row r="104" ht="15" customHeight="1" spans="3:6">
      <c r="C104" s="283" t="s">
        <v>2279</v>
      </c>
      <c r="D104" s="278">
        <f t="shared" si="2"/>
        <v>262710099</v>
      </c>
      <c r="E104" s="272" t="s">
        <v>2997</v>
      </c>
      <c r="F104" s="273">
        <v>119350754</v>
      </c>
    </row>
    <row r="105" ht="15" customHeight="1" spans="3:6">
      <c r="C105" s="283" t="s">
        <v>2281</v>
      </c>
      <c r="D105" s="276">
        <f t="shared" si="2"/>
        <v>262710100</v>
      </c>
      <c r="E105" s="270" t="s">
        <v>2931</v>
      </c>
      <c r="F105" s="271">
        <v>107591683</v>
      </c>
    </row>
    <row r="106" ht="15" customHeight="1" spans="3:6">
      <c r="C106" s="283" t="s">
        <v>2283</v>
      </c>
      <c r="D106" s="278">
        <f t="shared" si="2"/>
        <v>262710101</v>
      </c>
      <c r="E106" s="272" t="s">
        <v>2755</v>
      </c>
      <c r="F106" s="273">
        <v>101275584</v>
      </c>
    </row>
    <row r="107" ht="15" customHeight="1" spans="3:6">
      <c r="C107" s="283" t="s">
        <v>2285</v>
      </c>
      <c r="D107" s="278">
        <f t="shared" si="2"/>
        <v>262710102</v>
      </c>
      <c r="E107" s="270" t="s">
        <v>2513</v>
      </c>
      <c r="F107" s="271">
        <v>124108185</v>
      </c>
    </row>
    <row r="108" ht="15" customHeight="1" spans="3:6">
      <c r="C108" s="283" t="s">
        <v>2287</v>
      </c>
      <c r="D108" s="276">
        <f t="shared" si="2"/>
        <v>262710103</v>
      </c>
      <c r="E108" s="272" t="s">
        <v>2267</v>
      </c>
      <c r="F108" s="273">
        <v>105953343</v>
      </c>
    </row>
    <row r="109" ht="15" customHeight="1" spans="3:6">
      <c r="C109" s="283" t="s">
        <v>2289</v>
      </c>
      <c r="D109" s="278">
        <f t="shared" si="2"/>
        <v>262710104</v>
      </c>
      <c r="E109" s="270" t="s">
        <v>2599</v>
      </c>
      <c r="F109" s="271">
        <v>102362349</v>
      </c>
    </row>
    <row r="110" ht="15" customHeight="1" spans="3:6">
      <c r="C110" s="283" t="s">
        <v>2291</v>
      </c>
      <c r="D110" s="278">
        <f t="shared" si="2"/>
        <v>262710105</v>
      </c>
      <c r="E110" s="272" t="s">
        <v>2207</v>
      </c>
      <c r="F110" s="273">
        <v>117412405</v>
      </c>
    </row>
    <row r="111" ht="15" customHeight="1" spans="3:6">
      <c r="C111" s="283" t="s">
        <v>2293</v>
      </c>
      <c r="D111" s="276">
        <f t="shared" si="2"/>
        <v>262710106</v>
      </c>
      <c r="E111" s="270" t="s">
        <v>2156</v>
      </c>
      <c r="F111" s="271">
        <v>117902155</v>
      </c>
    </row>
    <row r="112" ht="15" customHeight="1" spans="3:6">
      <c r="C112" s="283" t="s">
        <v>2295</v>
      </c>
      <c r="D112" s="278">
        <f t="shared" si="2"/>
        <v>262710107</v>
      </c>
      <c r="E112" s="272" t="s">
        <v>3039</v>
      </c>
      <c r="F112" s="273">
        <v>102769794</v>
      </c>
    </row>
    <row r="113" ht="15" customHeight="1" spans="3:6">
      <c r="C113" s="283" t="s">
        <v>2297</v>
      </c>
      <c r="D113" s="278">
        <f t="shared" si="2"/>
        <v>262710108</v>
      </c>
      <c r="E113" s="270" t="s">
        <v>2499</v>
      </c>
      <c r="F113" s="271">
        <v>105384949</v>
      </c>
    </row>
    <row r="114" ht="15" customHeight="1" spans="3:6">
      <c r="C114" s="283" t="s">
        <v>2299</v>
      </c>
      <c r="D114" s="276">
        <f t="shared" si="2"/>
        <v>262710109</v>
      </c>
      <c r="E114" s="272" t="s">
        <v>2257</v>
      </c>
      <c r="F114" s="273">
        <v>109211552</v>
      </c>
    </row>
    <row r="115" ht="15" customHeight="1" spans="3:6">
      <c r="C115" s="283" t="s">
        <v>2301</v>
      </c>
      <c r="D115" s="278">
        <f t="shared" si="2"/>
        <v>262710110</v>
      </c>
      <c r="E115" s="270" t="s">
        <v>3011</v>
      </c>
      <c r="F115" s="271">
        <v>104822433</v>
      </c>
    </row>
    <row r="116" ht="15" customHeight="1" spans="3:6">
      <c r="C116" s="283" t="s">
        <v>2303</v>
      </c>
      <c r="D116" s="278">
        <f t="shared" si="2"/>
        <v>262710111</v>
      </c>
      <c r="E116" s="272" t="s">
        <v>2136</v>
      </c>
      <c r="F116" s="273">
        <v>105364592</v>
      </c>
    </row>
    <row r="117" ht="15" customHeight="1" spans="3:6">
      <c r="C117" s="283" t="s">
        <v>2305</v>
      </c>
      <c r="D117" s="276">
        <f t="shared" si="2"/>
        <v>262710112</v>
      </c>
      <c r="E117" s="270" t="s">
        <v>2130</v>
      </c>
      <c r="F117" s="271">
        <v>101544599</v>
      </c>
    </row>
    <row r="118" ht="15" customHeight="1" spans="3:6">
      <c r="C118" s="283" t="s">
        <v>2307</v>
      </c>
      <c r="D118" s="278">
        <f t="shared" si="2"/>
        <v>262710113</v>
      </c>
      <c r="E118" s="272" t="s">
        <v>2293</v>
      </c>
      <c r="F118" s="273">
        <v>107105226</v>
      </c>
    </row>
    <row r="119" ht="15" customHeight="1" spans="3:6">
      <c r="C119" s="283" t="s">
        <v>2309</v>
      </c>
      <c r="D119" s="278">
        <f t="shared" si="2"/>
        <v>262710114</v>
      </c>
      <c r="E119" s="270" t="s">
        <v>2403</v>
      </c>
      <c r="F119" s="271">
        <v>97925702</v>
      </c>
    </row>
    <row r="120" ht="15" customHeight="1" spans="3:6">
      <c r="C120" s="283" t="s">
        <v>2311</v>
      </c>
      <c r="D120" s="276">
        <f t="shared" si="2"/>
        <v>262710115</v>
      </c>
      <c r="E120" s="272" t="s">
        <v>3089</v>
      </c>
      <c r="F120" s="273">
        <v>103404177</v>
      </c>
    </row>
    <row r="121" ht="15" customHeight="1" spans="3:6">
      <c r="C121" s="283" t="s">
        <v>2313</v>
      </c>
      <c r="D121" s="278">
        <f t="shared" si="2"/>
        <v>262710116</v>
      </c>
      <c r="E121" s="270" t="s">
        <v>2449</v>
      </c>
      <c r="F121" s="271">
        <v>117336626</v>
      </c>
    </row>
    <row r="122" ht="15" customHeight="1" spans="3:6">
      <c r="C122" s="283" t="s">
        <v>2315</v>
      </c>
      <c r="D122" s="278">
        <f t="shared" si="2"/>
        <v>262710117</v>
      </c>
      <c r="E122" s="272" t="s">
        <v>2891</v>
      </c>
      <c r="F122" s="273">
        <v>114903773</v>
      </c>
    </row>
    <row r="123" ht="15" customHeight="1" spans="3:6">
      <c r="C123" s="283" t="s">
        <v>2317</v>
      </c>
      <c r="D123" s="276">
        <f t="shared" si="2"/>
        <v>262710118</v>
      </c>
      <c r="E123" s="270" t="s">
        <v>3107</v>
      </c>
      <c r="F123" s="271">
        <v>119270786</v>
      </c>
    </row>
    <row r="124" ht="15" customHeight="1" spans="3:6">
      <c r="C124" s="283" t="s">
        <v>2319</v>
      </c>
      <c r="D124" s="278">
        <f t="shared" si="2"/>
        <v>262710119</v>
      </c>
      <c r="E124" s="272" t="s">
        <v>2485</v>
      </c>
      <c r="F124" s="273">
        <v>107941123</v>
      </c>
    </row>
    <row r="125" ht="15" customHeight="1" spans="3:6">
      <c r="C125" s="283" t="s">
        <v>2321</v>
      </c>
      <c r="D125" s="278">
        <f t="shared" si="2"/>
        <v>262710120</v>
      </c>
      <c r="E125" s="270" t="s">
        <v>2198</v>
      </c>
      <c r="F125" s="271">
        <v>106142699</v>
      </c>
    </row>
    <row r="126" ht="15" customHeight="1" spans="3:6">
      <c r="C126" s="283" t="s">
        <v>2323</v>
      </c>
      <c r="D126" s="276">
        <f t="shared" si="2"/>
        <v>262710121</v>
      </c>
      <c r="E126" s="272" t="s">
        <v>2092</v>
      </c>
      <c r="F126" s="273">
        <v>107800741</v>
      </c>
    </row>
    <row r="127" ht="15" customHeight="1" spans="3:6">
      <c r="C127" s="283" t="s">
        <v>3108</v>
      </c>
      <c r="D127" s="278">
        <f t="shared" si="2"/>
        <v>262710122</v>
      </c>
      <c r="E127" s="270" t="s">
        <v>2333</v>
      </c>
      <c r="F127" s="274">
        <v>3119101007</v>
      </c>
    </row>
    <row r="128" ht="15" customHeight="1" spans="3:6">
      <c r="C128" s="283" t="s">
        <v>2327</v>
      </c>
      <c r="D128" s="278">
        <f t="shared" si="2"/>
        <v>262710123</v>
      </c>
      <c r="E128" s="272" t="s">
        <v>2627</v>
      </c>
      <c r="F128" s="273">
        <v>102472272</v>
      </c>
    </row>
    <row r="129" ht="15" customHeight="1" spans="3:6">
      <c r="C129" s="283" t="s">
        <v>2329</v>
      </c>
      <c r="D129" s="276">
        <f t="shared" si="2"/>
        <v>262710124</v>
      </c>
      <c r="E129" s="270" t="s">
        <v>2555</v>
      </c>
      <c r="F129" s="271">
        <v>107662913</v>
      </c>
    </row>
    <row r="130" ht="15" customHeight="1" spans="3:6">
      <c r="C130" s="283" t="s">
        <v>2331</v>
      </c>
      <c r="D130" s="278">
        <f t="shared" si="2"/>
        <v>262710125</v>
      </c>
      <c r="E130" s="272" t="s">
        <v>2463</v>
      </c>
      <c r="F130" s="273">
        <v>118853558</v>
      </c>
    </row>
    <row r="131" ht="15" customHeight="1" spans="3:6">
      <c r="C131" s="283" t="s">
        <v>2333</v>
      </c>
      <c r="D131" s="278">
        <f t="shared" si="2"/>
        <v>262710126</v>
      </c>
      <c r="E131" s="270" t="s">
        <v>2389</v>
      </c>
      <c r="F131" s="271">
        <v>108000881</v>
      </c>
    </row>
    <row r="132" ht="15" customHeight="1" spans="3:6">
      <c r="C132" s="283" t="s">
        <v>2335</v>
      </c>
      <c r="D132" s="276">
        <f t="shared" si="2"/>
        <v>262710127</v>
      </c>
      <c r="E132" s="272" t="s">
        <v>2831</v>
      </c>
      <c r="F132" s="273">
        <v>107508465</v>
      </c>
    </row>
    <row r="133" ht="15" customHeight="1" spans="3:6">
      <c r="C133" s="283" t="s">
        <v>2337</v>
      </c>
      <c r="D133" s="278">
        <f t="shared" si="2"/>
        <v>262710128</v>
      </c>
      <c r="E133" s="270" t="s">
        <v>2347</v>
      </c>
      <c r="F133" s="271">
        <v>114627027</v>
      </c>
    </row>
    <row r="134" ht="15" customHeight="1" spans="3:6">
      <c r="C134" s="283" t="s">
        <v>2339</v>
      </c>
      <c r="D134" s="278">
        <f t="shared" si="2"/>
        <v>262710129</v>
      </c>
      <c r="E134" s="272" t="s">
        <v>2863</v>
      </c>
      <c r="F134" s="273">
        <v>104408133</v>
      </c>
    </row>
    <row r="135" ht="15" customHeight="1" spans="3:6">
      <c r="C135" s="283" t="s">
        <v>2341</v>
      </c>
      <c r="D135" s="276">
        <f t="shared" si="2"/>
        <v>262710130</v>
      </c>
      <c r="E135" s="270" t="s">
        <v>2765</v>
      </c>
      <c r="F135" s="271">
        <v>117449395</v>
      </c>
    </row>
    <row r="136" ht="15" customHeight="1" spans="3:6">
      <c r="C136" s="283" t="s">
        <v>2343</v>
      </c>
      <c r="D136" s="278">
        <f t="shared" si="2"/>
        <v>262710131</v>
      </c>
      <c r="E136" s="272" t="s">
        <v>2679</v>
      </c>
      <c r="F136" s="273">
        <v>104886108</v>
      </c>
    </row>
    <row r="137" ht="15" customHeight="1" spans="3:6">
      <c r="C137" s="283" t="s">
        <v>2345</v>
      </c>
      <c r="D137" s="278">
        <f t="shared" si="2"/>
        <v>262710132</v>
      </c>
      <c r="E137" s="270" t="s">
        <v>2885</v>
      </c>
      <c r="F137" s="271">
        <v>107411481</v>
      </c>
    </row>
    <row r="138" ht="15" customHeight="1" spans="3:6">
      <c r="C138" s="283" t="s">
        <v>2347</v>
      </c>
      <c r="D138" s="276">
        <f t="shared" si="2"/>
        <v>262710133</v>
      </c>
      <c r="E138" s="272" t="s">
        <v>2237</v>
      </c>
      <c r="F138" s="273">
        <v>103104658</v>
      </c>
    </row>
    <row r="139" ht="15" customHeight="1" spans="3:6">
      <c r="C139" s="283" t="s">
        <v>2349</v>
      </c>
      <c r="D139" s="278">
        <f t="shared" si="2"/>
        <v>262710134</v>
      </c>
      <c r="E139" s="270" t="s">
        <v>2987</v>
      </c>
      <c r="F139" s="271">
        <v>107407508</v>
      </c>
    </row>
    <row r="140" ht="15" customHeight="1" spans="3:6">
      <c r="C140" s="283" t="s">
        <v>2351</v>
      </c>
      <c r="D140" s="278">
        <f t="shared" si="2"/>
        <v>262710135</v>
      </c>
      <c r="E140" s="272" t="s">
        <v>2144</v>
      </c>
      <c r="F140" s="273">
        <v>102184187</v>
      </c>
    </row>
    <row r="141" ht="15" customHeight="1" spans="3:6">
      <c r="C141" s="283" t="s">
        <v>2353</v>
      </c>
      <c r="D141" s="276">
        <f t="shared" si="2"/>
        <v>262710136</v>
      </c>
      <c r="E141" s="270" t="s">
        <v>2557</v>
      </c>
      <c r="F141" s="271">
        <v>108930853</v>
      </c>
    </row>
    <row r="142" ht="15" customHeight="1" spans="3:6">
      <c r="C142" s="283" t="s">
        <v>2355</v>
      </c>
      <c r="D142" s="278">
        <f t="shared" si="2"/>
        <v>262710137</v>
      </c>
      <c r="E142" s="272" t="s">
        <v>2649</v>
      </c>
      <c r="F142" s="273">
        <v>105611499</v>
      </c>
    </row>
    <row r="143" ht="15" customHeight="1" spans="3:6">
      <c r="C143" s="283" t="s">
        <v>2357</v>
      </c>
      <c r="D143" s="278">
        <f t="shared" si="2"/>
        <v>262710138</v>
      </c>
      <c r="E143" s="270" t="s">
        <v>3049</v>
      </c>
      <c r="F143" s="271">
        <v>112263988</v>
      </c>
    </row>
    <row r="144" ht="15" customHeight="1" spans="3:6">
      <c r="C144" s="283" t="s">
        <v>2359</v>
      </c>
      <c r="D144" s="276">
        <f t="shared" si="2"/>
        <v>262710139</v>
      </c>
      <c r="E144" s="272" t="s">
        <v>3003</v>
      </c>
      <c r="F144" s="273">
        <v>118473705</v>
      </c>
    </row>
    <row r="145" ht="15" customHeight="1" spans="3:6">
      <c r="C145" s="283" t="s">
        <v>2361</v>
      </c>
      <c r="D145" s="278">
        <f t="shared" si="2"/>
        <v>262710140</v>
      </c>
      <c r="E145" s="270" t="s">
        <v>2239</v>
      </c>
      <c r="F145" s="271">
        <v>111028298</v>
      </c>
    </row>
    <row r="146" ht="15" customHeight="1" spans="3:6">
      <c r="C146" s="283" t="s">
        <v>2365</v>
      </c>
      <c r="D146" s="276">
        <v>262710141</v>
      </c>
      <c r="E146" s="272" t="s">
        <v>2635</v>
      </c>
      <c r="F146" s="273">
        <v>112148589</v>
      </c>
    </row>
    <row r="147" ht="15" customHeight="1" spans="3:6">
      <c r="C147" s="283" t="s">
        <v>2367</v>
      </c>
      <c r="D147" s="278">
        <f t="shared" ref="D147:D189" si="3">D146+1</f>
        <v>262710142</v>
      </c>
      <c r="E147" s="270" t="s">
        <v>3077</v>
      </c>
      <c r="F147" s="271">
        <v>106161734</v>
      </c>
    </row>
    <row r="148" ht="15" customHeight="1" spans="3:6">
      <c r="C148" s="283" t="s">
        <v>2369</v>
      </c>
      <c r="D148" s="284">
        <f t="shared" si="3"/>
        <v>262710143</v>
      </c>
      <c r="E148" s="272" t="s">
        <v>2503</v>
      </c>
      <c r="F148" s="273">
        <v>104090625</v>
      </c>
    </row>
    <row r="149" ht="15" customHeight="1" spans="3:6">
      <c r="C149" s="283" t="s">
        <v>2371</v>
      </c>
      <c r="D149" s="278">
        <f t="shared" si="3"/>
        <v>262710144</v>
      </c>
      <c r="E149" s="270" t="s">
        <v>2124</v>
      </c>
      <c r="F149" s="271">
        <v>105560036</v>
      </c>
    </row>
    <row r="150" ht="15" customHeight="1" spans="3:6">
      <c r="C150" s="283" t="s">
        <v>2373</v>
      </c>
      <c r="D150" s="278">
        <f t="shared" si="3"/>
        <v>262710145</v>
      </c>
      <c r="E150" s="272" t="s">
        <v>2283</v>
      </c>
      <c r="F150" s="273">
        <v>98239913</v>
      </c>
    </row>
    <row r="151" ht="15" customHeight="1" spans="3:6">
      <c r="C151" s="283" t="s">
        <v>2375</v>
      </c>
      <c r="D151" s="284">
        <f t="shared" si="3"/>
        <v>262710146</v>
      </c>
      <c r="E151" s="270" t="s">
        <v>2677</v>
      </c>
      <c r="F151" s="271">
        <v>103552993</v>
      </c>
    </row>
    <row r="152" ht="15" customHeight="1" spans="3:6">
      <c r="C152" s="283" t="s">
        <v>2377</v>
      </c>
      <c r="D152" s="278">
        <f t="shared" si="3"/>
        <v>262710147</v>
      </c>
      <c r="E152" s="272" t="s">
        <v>2557</v>
      </c>
      <c r="F152" s="273">
        <v>108930853</v>
      </c>
    </row>
    <row r="153" ht="15" customHeight="1" spans="3:6">
      <c r="C153" s="283" t="s">
        <v>2379</v>
      </c>
      <c r="D153" s="278">
        <f t="shared" si="3"/>
        <v>262710148</v>
      </c>
      <c r="E153" s="270" t="s">
        <v>3029</v>
      </c>
      <c r="F153" s="271">
        <v>101720600</v>
      </c>
    </row>
    <row r="154" ht="15" customHeight="1" spans="3:6">
      <c r="C154" s="283" t="s">
        <v>2381</v>
      </c>
      <c r="D154" s="284">
        <f t="shared" si="3"/>
        <v>262710149</v>
      </c>
      <c r="E154" s="272" t="s">
        <v>2249</v>
      </c>
      <c r="F154" s="273">
        <v>102838950</v>
      </c>
    </row>
    <row r="155" ht="15" customHeight="1" spans="3:6">
      <c r="C155" s="283" t="s">
        <v>2383</v>
      </c>
      <c r="D155" s="278">
        <f t="shared" si="3"/>
        <v>262710150</v>
      </c>
      <c r="E155" s="270" t="s">
        <v>2959</v>
      </c>
      <c r="F155" s="271">
        <v>102267550</v>
      </c>
    </row>
    <row r="156" ht="15" customHeight="1" spans="3:6">
      <c r="C156" s="283" t="s">
        <v>2385</v>
      </c>
      <c r="D156" s="278">
        <f t="shared" si="3"/>
        <v>262710151</v>
      </c>
      <c r="E156" s="272" t="s">
        <v>3015</v>
      </c>
      <c r="F156" s="273">
        <v>118104395</v>
      </c>
    </row>
    <row r="157" ht="15" customHeight="1" spans="3:6">
      <c r="C157" s="283" t="s">
        <v>2387</v>
      </c>
      <c r="D157" s="284">
        <f t="shared" si="3"/>
        <v>262710152</v>
      </c>
      <c r="E157" s="270" t="s">
        <v>2455</v>
      </c>
      <c r="F157" s="271">
        <v>95188526</v>
      </c>
    </row>
    <row r="158" ht="15" customHeight="1" spans="3:6">
      <c r="C158" s="283" t="s">
        <v>2389</v>
      </c>
      <c r="D158" s="278">
        <f t="shared" si="3"/>
        <v>262710153</v>
      </c>
      <c r="E158" s="272" t="s">
        <v>2523</v>
      </c>
      <c r="F158" s="273">
        <v>116576197</v>
      </c>
    </row>
    <row r="159" ht="15" customHeight="1" spans="3:6">
      <c r="C159" s="283" t="s">
        <v>2391</v>
      </c>
      <c r="D159" s="278">
        <f t="shared" si="3"/>
        <v>262710154</v>
      </c>
      <c r="E159" s="270" t="s">
        <v>2685</v>
      </c>
      <c r="F159" s="271">
        <v>118807977</v>
      </c>
    </row>
    <row r="160" ht="15" customHeight="1" spans="3:6">
      <c r="C160" s="283" t="s">
        <v>2393</v>
      </c>
      <c r="D160" s="284">
        <f t="shared" si="3"/>
        <v>262710155</v>
      </c>
      <c r="E160" s="272" t="s">
        <v>2319</v>
      </c>
      <c r="F160" s="273">
        <v>104542225</v>
      </c>
    </row>
    <row r="161" ht="15" customHeight="1" spans="3:6">
      <c r="C161" s="283" t="s">
        <v>2395</v>
      </c>
      <c r="D161" s="278">
        <f t="shared" si="3"/>
        <v>262710156</v>
      </c>
      <c r="E161" s="270" t="s">
        <v>2791</v>
      </c>
      <c r="F161" s="271">
        <v>103221419</v>
      </c>
    </row>
    <row r="162" ht="15" customHeight="1" spans="3:6">
      <c r="C162" s="283" t="s">
        <v>2397</v>
      </c>
      <c r="D162" s="278">
        <f t="shared" si="3"/>
        <v>262710157</v>
      </c>
      <c r="E162" s="272" t="s">
        <v>2581</v>
      </c>
      <c r="F162" s="273">
        <v>103710922</v>
      </c>
    </row>
    <row r="163" ht="15" customHeight="1" spans="3:6">
      <c r="C163" s="283" t="s">
        <v>2399</v>
      </c>
      <c r="D163" s="284">
        <f t="shared" si="3"/>
        <v>262710158</v>
      </c>
      <c r="E163" s="270" t="s">
        <v>2227</v>
      </c>
      <c r="F163" s="271">
        <v>105124433</v>
      </c>
    </row>
    <row r="164" ht="15" customHeight="1" spans="3:6">
      <c r="C164" s="283" t="s">
        <v>2401</v>
      </c>
      <c r="D164" s="278">
        <f t="shared" si="3"/>
        <v>262710159</v>
      </c>
      <c r="E164" s="272" t="s">
        <v>2711</v>
      </c>
      <c r="F164" s="273">
        <v>103266790</v>
      </c>
    </row>
    <row r="165" ht="15" customHeight="1" spans="3:6">
      <c r="C165" s="283" t="s">
        <v>2403</v>
      </c>
      <c r="D165" s="278">
        <f t="shared" si="3"/>
        <v>262710160</v>
      </c>
      <c r="E165" s="270" t="s">
        <v>2132</v>
      </c>
      <c r="F165" s="271">
        <v>115268415</v>
      </c>
    </row>
    <row r="166" ht="15" customHeight="1" spans="3:6">
      <c r="C166" s="283" t="s">
        <v>2405</v>
      </c>
      <c r="D166" s="284">
        <f t="shared" si="3"/>
        <v>262710161</v>
      </c>
      <c r="E166" s="272" t="s">
        <v>2353</v>
      </c>
      <c r="F166" s="273">
        <v>117398526</v>
      </c>
    </row>
    <row r="167" ht="15" customHeight="1" spans="3:6">
      <c r="C167" s="283" t="s">
        <v>2407</v>
      </c>
      <c r="D167" s="278">
        <f t="shared" si="3"/>
        <v>262710162</v>
      </c>
      <c r="E167" s="270" t="s">
        <v>2285</v>
      </c>
      <c r="F167" s="271">
        <v>105634511</v>
      </c>
    </row>
    <row r="168" ht="15" customHeight="1" spans="3:6">
      <c r="C168" s="283" t="s">
        <v>2409</v>
      </c>
      <c r="D168" s="278">
        <f t="shared" si="3"/>
        <v>262710163</v>
      </c>
      <c r="E168" s="272" t="s">
        <v>2883</v>
      </c>
      <c r="F168" s="273">
        <v>107157882</v>
      </c>
    </row>
    <row r="169" ht="15" customHeight="1" spans="3:6">
      <c r="C169" s="283" t="s">
        <v>2411</v>
      </c>
      <c r="D169" s="284">
        <f t="shared" si="3"/>
        <v>262710164</v>
      </c>
      <c r="E169" s="270" t="s">
        <v>2445</v>
      </c>
      <c r="F169" s="271">
        <v>101943861</v>
      </c>
    </row>
    <row r="170" ht="15" customHeight="1" spans="3:6">
      <c r="C170" s="283" t="s">
        <v>2413</v>
      </c>
      <c r="D170" s="278">
        <f t="shared" si="3"/>
        <v>262710165</v>
      </c>
      <c r="E170" s="272" t="s">
        <v>2725</v>
      </c>
      <c r="F170" s="273">
        <v>102291259</v>
      </c>
    </row>
    <row r="171" ht="15" customHeight="1" spans="3:6">
      <c r="C171" s="283" t="s">
        <v>2415</v>
      </c>
      <c r="D171" s="278">
        <f t="shared" si="3"/>
        <v>262710166</v>
      </c>
      <c r="E171" s="270" t="s">
        <v>2869</v>
      </c>
      <c r="F171" s="271">
        <v>108675924</v>
      </c>
    </row>
    <row r="172" ht="15" customHeight="1" spans="3:6">
      <c r="C172" s="283" t="s">
        <v>2417</v>
      </c>
      <c r="D172" s="284">
        <f t="shared" si="3"/>
        <v>262710167</v>
      </c>
      <c r="E172" s="272" t="s">
        <v>2243</v>
      </c>
      <c r="F172" s="273">
        <v>111373146</v>
      </c>
    </row>
    <row r="173" ht="15" customHeight="1" spans="3:6">
      <c r="C173" s="283" t="s">
        <v>2419</v>
      </c>
      <c r="D173" s="278">
        <f t="shared" si="3"/>
        <v>262710168</v>
      </c>
      <c r="E173" s="270" t="s">
        <v>3109</v>
      </c>
      <c r="F173" s="271">
        <v>107362305</v>
      </c>
    </row>
    <row r="174" ht="15" customHeight="1" spans="3:6">
      <c r="C174" s="283" t="s">
        <v>2421</v>
      </c>
      <c r="D174" s="278">
        <f t="shared" si="3"/>
        <v>262710169</v>
      </c>
      <c r="E174" s="272" t="s">
        <v>2633</v>
      </c>
      <c r="F174" s="273">
        <v>118737342</v>
      </c>
    </row>
    <row r="175" ht="15" customHeight="1" spans="3:6">
      <c r="C175" s="283" t="s">
        <v>2423</v>
      </c>
      <c r="D175" s="284">
        <f t="shared" si="3"/>
        <v>262710170</v>
      </c>
      <c r="E175" s="270" t="s">
        <v>2809</v>
      </c>
      <c r="F175" s="271">
        <v>103884688</v>
      </c>
    </row>
    <row r="176" ht="15" customHeight="1" spans="3:6">
      <c r="C176" s="283" t="s">
        <v>2425</v>
      </c>
      <c r="D176" s="278">
        <f t="shared" si="3"/>
        <v>262710171</v>
      </c>
      <c r="E176" s="272" t="s">
        <v>2547</v>
      </c>
      <c r="F176" s="273">
        <v>101649502</v>
      </c>
    </row>
    <row r="177" ht="15" customHeight="1" spans="3:6">
      <c r="C177" s="283" t="s">
        <v>2427</v>
      </c>
      <c r="D177" s="278">
        <f t="shared" si="3"/>
        <v>262710172</v>
      </c>
      <c r="E177" s="270" t="s">
        <v>3061</v>
      </c>
      <c r="F177" s="271">
        <v>117089577</v>
      </c>
    </row>
    <row r="178" ht="15" customHeight="1" spans="3:6">
      <c r="C178" s="283" t="s">
        <v>2429</v>
      </c>
      <c r="D178" s="284">
        <f t="shared" si="3"/>
        <v>262710173</v>
      </c>
      <c r="E178" s="272" t="s">
        <v>2981</v>
      </c>
      <c r="F178" s="273">
        <v>105173040</v>
      </c>
    </row>
    <row r="179" ht="15" customHeight="1" spans="3:6">
      <c r="C179" s="283" t="s">
        <v>2431</v>
      </c>
      <c r="D179" s="278">
        <f t="shared" si="3"/>
        <v>262710174</v>
      </c>
      <c r="E179" s="270" t="s">
        <v>2889</v>
      </c>
      <c r="F179" s="271">
        <v>116887265</v>
      </c>
    </row>
    <row r="180" ht="15" customHeight="1" spans="3:6">
      <c r="C180" s="283" t="s">
        <v>2433</v>
      </c>
      <c r="D180" s="278">
        <f t="shared" si="3"/>
        <v>262710175</v>
      </c>
      <c r="E180" s="272" t="s">
        <v>2355</v>
      </c>
      <c r="F180" s="273">
        <v>104726281</v>
      </c>
    </row>
    <row r="181" ht="15" customHeight="1" spans="3:6">
      <c r="C181" s="283" t="s">
        <v>2435</v>
      </c>
      <c r="D181" s="284">
        <f t="shared" si="3"/>
        <v>262710176</v>
      </c>
      <c r="E181" s="270" t="s">
        <v>2553</v>
      </c>
      <c r="F181" s="271">
        <v>109816244</v>
      </c>
    </row>
    <row r="182" ht="15" customHeight="1" spans="3:6">
      <c r="C182" s="283" t="s">
        <v>2437</v>
      </c>
      <c r="D182" s="278">
        <f t="shared" si="3"/>
        <v>262710177</v>
      </c>
      <c r="E182" s="272" t="s">
        <v>3079</v>
      </c>
      <c r="F182" s="273">
        <v>112516408</v>
      </c>
    </row>
    <row r="183" ht="15" customHeight="1" spans="3:6">
      <c r="C183" s="283" t="s">
        <v>2439</v>
      </c>
      <c r="D183" s="278">
        <f t="shared" si="3"/>
        <v>262710178</v>
      </c>
      <c r="E183" s="270" t="s">
        <v>2851</v>
      </c>
      <c r="F183" s="271">
        <v>107308332</v>
      </c>
    </row>
    <row r="184" ht="15" customHeight="1" spans="3:6">
      <c r="C184" s="283" t="s">
        <v>2441</v>
      </c>
      <c r="D184" s="284">
        <f t="shared" si="3"/>
        <v>262710179</v>
      </c>
      <c r="E184" s="272" t="s">
        <v>2469</v>
      </c>
      <c r="F184" s="273">
        <v>119090849</v>
      </c>
    </row>
    <row r="185" ht="15" customHeight="1" spans="3:6">
      <c r="C185" s="283" t="s">
        <v>2443</v>
      </c>
      <c r="D185" s="278">
        <f t="shared" si="3"/>
        <v>262710180</v>
      </c>
      <c r="E185" s="270" t="s">
        <v>2753</v>
      </c>
      <c r="F185" s="271">
        <v>104706496</v>
      </c>
    </row>
    <row r="186" ht="15" customHeight="1" spans="3:6">
      <c r="C186" s="283" t="s">
        <v>2445</v>
      </c>
      <c r="D186" s="278">
        <f t="shared" si="3"/>
        <v>262710181</v>
      </c>
      <c r="E186" s="272" t="s">
        <v>2717</v>
      </c>
      <c r="F186" s="273">
        <v>101714816</v>
      </c>
    </row>
    <row r="187" ht="15" customHeight="1" spans="3:6">
      <c r="C187" s="283" t="s">
        <v>2447</v>
      </c>
      <c r="D187" s="284">
        <f t="shared" si="3"/>
        <v>262710182</v>
      </c>
      <c r="E187" s="270" t="s">
        <v>3110</v>
      </c>
      <c r="F187" s="271">
        <v>96291979</v>
      </c>
    </row>
    <row r="188" ht="15" customHeight="1" spans="3:6">
      <c r="C188" s="283" t="s">
        <v>2449</v>
      </c>
      <c r="D188" s="278">
        <f t="shared" si="3"/>
        <v>262710183</v>
      </c>
      <c r="E188" s="272" t="s">
        <v>2433</v>
      </c>
      <c r="F188" s="273">
        <v>104421174</v>
      </c>
    </row>
    <row r="189" ht="15" customHeight="1" spans="3:6">
      <c r="C189" s="283" t="s">
        <v>2451</v>
      </c>
      <c r="D189" s="278">
        <f t="shared" si="3"/>
        <v>262710184</v>
      </c>
      <c r="E189" s="270" t="s">
        <v>2164</v>
      </c>
      <c r="F189" s="271">
        <v>101017460</v>
      </c>
    </row>
    <row r="190" ht="15" customHeight="1" spans="3:6">
      <c r="C190" s="283" t="s">
        <v>2455</v>
      </c>
      <c r="D190" s="278">
        <v>262710185</v>
      </c>
      <c r="E190" s="272" t="s">
        <v>2797</v>
      </c>
      <c r="F190" s="273">
        <v>114997821</v>
      </c>
    </row>
    <row r="191" ht="15" customHeight="1" spans="3:6">
      <c r="C191" s="283" t="s">
        <v>2457</v>
      </c>
      <c r="D191" s="276">
        <f t="shared" ref="D191:D234" si="4">D190+1</f>
        <v>262710186</v>
      </c>
      <c r="E191" s="270" t="s">
        <v>2431</v>
      </c>
      <c r="F191" s="271">
        <v>99340070</v>
      </c>
    </row>
    <row r="192" ht="15" customHeight="1" spans="3:6">
      <c r="C192" s="283" t="s">
        <v>2459</v>
      </c>
      <c r="D192" s="278">
        <f t="shared" si="4"/>
        <v>262710187</v>
      </c>
      <c r="E192" s="272" t="s">
        <v>2385</v>
      </c>
      <c r="F192" s="273">
        <v>115199226</v>
      </c>
    </row>
    <row r="193" ht="15" customHeight="1" spans="3:6">
      <c r="C193" s="283" t="s">
        <v>2461</v>
      </c>
      <c r="D193" s="276">
        <f t="shared" si="4"/>
        <v>262710188</v>
      </c>
      <c r="E193" s="270" t="s">
        <v>2575</v>
      </c>
      <c r="F193" s="271">
        <v>107717725</v>
      </c>
    </row>
    <row r="194" ht="15" customHeight="1" spans="3:6">
      <c r="C194" s="283" t="s">
        <v>2463</v>
      </c>
      <c r="D194" s="276">
        <f t="shared" si="4"/>
        <v>262710189</v>
      </c>
      <c r="E194" s="272" t="s">
        <v>2467</v>
      </c>
      <c r="F194" s="273">
        <v>108659999</v>
      </c>
    </row>
    <row r="195" ht="15" customHeight="1" spans="3:6">
      <c r="C195" s="283" t="s">
        <v>2465</v>
      </c>
      <c r="D195" s="278">
        <f t="shared" si="4"/>
        <v>262710190</v>
      </c>
      <c r="E195" s="270" t="s">
        <v>3095</v>
      </c>
      <c r="F195" s="271">
        <v>113887574</v>
      </c>
    </row>
    <row r="196" ht="15" customHeight="1" spans="3:6">
      <c r="C196" s="283" t="s">
        <v>2467</v>
      </c>
      <c r="D196" s="276">
        <f t="shared" si="4"/>
        <v>262710191</v>
      </c>
      <c r="E196" s="272" t="s">
        <v>2335</v>
      </c>
      <c r="F196" s="273">
        <v>102299893</v>
      </c>
    </row>
    <row r="197" ht="15" customHeight="1" spans="3:6">
      <c r="C197" s="283" t="s">
        <v>2469</v>
      </c>
      <c r="D197" s="276">
        <f t="shared" si="4"/>
        <v>262710192</v>
      </c>
      <c r="E197" s="270" t="s">
        <v>2813</v>
      </c>
      <c r="F197" s="271">
        <v>105025740</v>
      </c>
    </row>
    <row r="198" ht="15" customHeight="1" spans="3:6">
      <c r="C198" s="283" t="s">
        <v>2471</v>
      </c>
      <c r="D198" s="278">
        <f t="shared" si="4"/>
        <v>262710193</v>
      </c>
      <c r="E198" s="272" t="s">
        <v>2263</v>
      </c>
      <c r="F198" s="273">
        <v>108994949</v>
      </c>
    </row>
    <row r="199" ht="15" customHeight="1" spans="3:6">
      <c r="C199" s="283" t="s">
        <v>2473</v>
      </c>
      <c r="D199" s="276">
        <f t="shared" si="4"/>
        <v>262710194</v>
      </c>
      <c r="E199" s="270" t="s">
        <v>2190</v>
      </c>
      <c r="F199" s="274">
        <v>3112217022</v>
      </c>
    </row>
    <row r="200" ht="15" customHeight="1" spans="3:6">
      <c r="C200" s="283" t="s">
        <v>2475</v>
      </c>
      <c r="D200" s="276">
        <f t="shared" si="4"/>
        <v>262710195</v>
      </c>
      <c r="E200" s="272" t="s">
        <v>2955</v>
      </c>
      <c r="F200" s="273">
        <v>119437651</v>
      </c>
    </row>
    <row r="201" ht="15" customHeight="1" spans="3:6">
      <c r="C201" s="283" t="s">
        <v>2477</v>
      </c>
      <c r="D201" s="278">
        <f t="shared" si="4"/>
        <v>262710196</v>
      </c>
      <c r="E201" s="270" t="s">
        <v>2491</v>
      </c>
      <c r="F201" s="271">
        <v>107978452</v>
      </c>
    </row>
    <row r="202" ht="15" customHeight="1" spans="3:6">
      <c r="C202" s="283" t="s">
        <v>2479</v>
      </c>
      <c r="D202" s="276">
        <f t="shared" si="4"/>
        <v>262710197</v>
      </c>
      <c r="E202" s="272" t="s">
        <v>2637</v>
      </c>
      <c r="F202" s="273">
        <v>105693591</v>
      </c>
    </row>
    <row r="203" ht="15" customHeight="1" spans="3:6">
      <c r="C203" s="283" t="s">
        <v>2481</v>
      </c>
      <c r="D203" s="276">
        <f t="shared" si="4"/>
        <v>262710198</v>
      </c>
      <c r="E203" s="270" t="s">
        <v>2423</v>
      </c>
      <c r="F203" s="271">
        <v>101789415</v>
      </c>
    </row>
    <row r="204" ht="15" customHeight="1" spans="3:6">
      <c r="C204" s="283" t="s">
        <v>2483</v>
      </c>
      <c r="D204" s="278">
        <f t="shared" si="4"/>
        <v>262710199</v>
      </c>
      <c r="E204" s="272" t="s">
        <v>2509</v>
      </c>
      <c r="F204" s="273">
        <v>106461504</v>
      </c>
    </row>
    <row r="205" ht="15" customHeight="1" spans="3:6">
      <c r="C205" s="283" t="s">
        <v>2485</v>
      </c>
      <c r="D205" s="276">
        <f t="shared" si="4"/>
        <v>262710200</v>
      </c>
      <c r="E205" s="270" t="s">
        <v>2295</v>
      </c>
      <c r="F205" s="271">
        <v>115935664</v>
      </c>
    </row>
    <row r="206" ht="15" customHeight="1" spans="3:6">
      <c r="C206" s="283" t="s">
        <v>2487</v>
      </c>
      <c r="D206" s="276">
        <f t="shared" si="4"/>
        <v>262710201</v>
      </c>
      <c r="E206" s="272" t="s">
        <v>2279</v>
      </c>
      <c r="F206" s="273">
        <v>109156885</v>
      </c>
    </row>
    <row r="207" ht="15" customHeight="1" spans="3:6">
      <c r="C207" s="283" t="s">
        <v>2489</v>
      </c>
      <c r="D207" s="278">
        <f t="shared" si="4"/>
        <v>262710202</v>
      </c>
      <c r="E207" s="270" t="s">
        <v>2539</v>
      </c>
      <c r="F207" s="271">
        <v>102707616</v>
      </c>
    </row>
    <row r="208" ht="15" customHeight="1" spans="3:6">
      <c r="C208" s="283" t="s">
        <v>2491</v>
      </c>
      <c r="D208" s="276">
        <f t="shared" si="4"/>
        <v>262710203</v>
      </c>
      <c r="E208" s="272" t="s">
        <v>2979</v>
      </c>
      <c r="F208" s="273">
        <v>106463789</v>
      </c>
    </row>
    <row r="209" ht="15" customHeight="1" spans="3:6">
      <c r="C209" s="283" t="s">
        <v>2493</v>
      </c>
      <c r="D209" s="276">
        <f t="shared" si="4"/>
        <v>262710204</v>
      </c>
      <c r="E209" s="270" t="s">
        <v>2365</v>
      </c>
      <c r="F209" s="274">
        <v>3104867317</v>
      </c>
    </row>
    <row r="210" ht="15" customHeight="1" spans="3:6">
      <c r="C210" s="283" t="s">
        <v>2495</v>
      </c>
      <c r="D210" s="278">
        <f t="shared" si="4"/>
        <v>262710205</v>
      </c>
      <c r="E210" s="272" t="s">
        <v>2605</v>
      </c>
      <c r="F210" s="273">
        <v>101018737</v>
      </c>
    </row>
    <row r="211" ht="15" customHeight="1" spans="3:6">
      <c r="C211" s="283" t="s">
        <v>2497</v>
      </c>
      <c r="D211" s="276">
        <f t="shared" si="4"/>
        <v>262710206</v>
      </c>
      <c r="E211" s="270" t="s">
        <v>2287</v>
      </c>
      <c r="F211" s="271">
        <v>116877310</v>
      </c>
    </row>
    <row r="212" ht="15" customHeight="1" spans="3:6">
      <c r="C212" s="283" t="s">
        <v>2499</v>
      </c>
      <c r="D212" s="276">
        <f t="shared" si="4"/>
        <v>262710207</v>
      </c>
      <c r="E212" s="272" t="s">
        <v>3111</v>
      </c>
      <c r="F212" s="273">
        <v>103662416</v>
      </c>
    </row>
    <row r="213" ht="15" customHeight="1" spans="3:6">
      <c r="C213" s="283" t="s">
        <v>2501</v>
      </c>
      <c r="D213" s="278">
        <f t="shared" si="4"/>
        <v>262710208</v>
      </c>
      <c r="E213" s="270" t="s">
        <v>2271</v>
      </c>
      <c r="F213" s="271">
        <v>115734698</v>
      </c>
    </row>
    <row r="214" ht="15" customHeight="1" spans="3:6">
      <c r="C214" s="283" t="s">
        <v>2503</v>
      </c>
      <c r="D214" s="276">
        <f t="shared" si="4"/>
        <v>262710209</v>
      </c>
      <c r="E214" s="272" t="s">
        <v>2819</v>
      </c>
      <c r="F214" s="273">
        <v>117946779</v>
      </c>
    </row>
    <row r="215" ht="15" customHeight="1" spans="3:6">
      <c r="C215" s="283" t="s">
        <v>2505</v>
      </c>
      <c r="D215" s="276">
        <f t="shared" si="4"/>
        <v>262710210</v>
      </c>
      <c r="E215" s="270" t="s">
        <v>2076</v>
      </c>
      <c r="F215" s="271">
        <v>119221174</v>
      </c>
    </row>
    <row r="216" ht="15" customHeight="1" spans="3:6">
      <c r="C216" s="283" t="s">
        <v>2507</v>
      </c>
      <c r="D216" s="278">
        <f t="shared" si="4"/>
        <v>262710211</v>
      </c>
      <c r="E216" s="272" t="s">
        <v>2687</v>
      </c>
      <c r="F216" s="273">
        <v>107006982</v>
      </c>
    </row>
    <row r="217" ht="15" customHeight="1" spans="3:6">
      <c r="C217" s="283" t="s">
        <v>2509</v>
      </c>
      <c r="D217" s="276">
        <f t="shared" si="4"/>
        <v>262710212</v>
      </c>
      <c r="E217" s="270" t="s">
        <v>2415</v>
      </c>
      <c r="F217" s="271">
        <v>108222209</v>
      </c>
    </row>
    <row r="218" ht="15" customHeight="1" spans="3:6">
      <c r="C218" s="283" t="s">
        <v>2511</v>
      </c>
      <c r="D218" s="276">
        <f t="shared" si="4"/>
        <v>262710213</v>
      </c>
      <c r="E218" s="272" t="s">
        <v>2847</v>
      </c>
      <c r="F218" s="273">
        <v>107822017</v>
      </c>
    </row>
    <row r="219" ht="15" customHeight="1" spans="3:6">
      <c r="C219" s="283" t="s">
        <v>2513</v>
      </c>
      <c r="D219" s="278">
        <f t="shared" si="4"/>
        <v>262710214</v>
      </c>
      <c r="E219" s="270" t="s">
        <v>2607</v>
      </c>
      <c r="F219" s="271">
        <v>106294401</v>
      </c>
    </row>
    <row r="220" ht="15" customHeight="1" spans="3:6">
      <c r="C220" s="283" t="s">
        <v>2515</v>
      </c>
      <c r="D220" s="276">
        <f t="shared" si="4"/>
        <v>262710215</v>
      </c>
      <c r="E220" s="272" t="s">
        <v>2341</v>
      </c>
      <c r="F220" s="273">
        <v>108792547</v>
      </c>
    </row>
    <row r="221" ht="15" customHeight="1" spans="3:6">
      <c r="C221" s="283" t="s">
        <v>2517</v>
      </c>
      <c r="D221" s="276">
        <f t="shared" si="4"/>
        <v>262710216</v>
      </c>
      <c r="E221" s="270" t="s">
        <v>3021</v>
      </c>
      <c r="F221" s="271">
        <v>108785373</v>
      </c>
    </row>
    <row r="222" ht="15" customHeight="1" spans="3:6">
      <c r="C222" s="283" t="s">
        <v>2519</v>
      </c>
      <c r="D222" s="278">
        <f t="shared" si="4"/>
        <v>262710217</v>
      </c>
      <c r="E222" s="272" t="s">
        <v>2953</v>
      </c>
      <c r="F222" s="273">
        <v>107003732</v>
      </c>
    </row>
    <row r="223" ht="15" customHeight="1" spans="3:6">
      <c r="C223" s="283" t="s">
        <v>2521</v>
      </c>
      <c r="D223" s="276">
        <f t="shared" si="4"/>
        <v>262710218</v>
      </c>
      <c r="E223" s="270" t="s">
        <v>2351</v>
      </c>
      <c r="F223" s="271">
        <v>104533827</v>
      </c>
    </row>
    <row r="224" ht="15" customHeight="1" spans="3:6">
      <c r="C224" s="283" t="s">
        <v>2523</v>
      </c>
      <c r="D224" s="276">
        <f t="shared" si="4"/>
        <v>262710219</v>
      </c>
      <c r="E224" s="272" t="s">
        <v>3091</v>
      </c>
      <c r="F224" s="273">
        <v>108973110</v>
      </c>
    </row>
    <row r="225" ht="15" customHeight="1" spans="3:6">
      <c r="C225" s="283" t="s">
        <v>2525</v>
      </c>
      <c r="D225" s="278">
        <f t="shared" si="4"/>
        <v>262710220</v>
      </c>
      <c r="E225" s="270" t="s">
        <v>2407</v>
      </c>
      <c r="F225" s="271">
        <v>102516191</v>
      </c>
    </row>
    <row r="226" ht="15" customHeight="1" spans="3:6">
      <c r="C226" s="283" t="s">
        <v>2527</v>
      </c>
      <c r="D226" s="276">
        <f t="shared" si="4"/>
        <v>262710221</v>
      </c>
      <c r="E226" s="272" t="s">
        <v>2253</v>
      </c>
      <c r="F226" s="273">
        <v>107138072</v>
      </c>
    </row>
    <row r="227" ht="15" customHeight="1" spans="3:6">
      <c r="C227" s="283" t="s">
        <v>2529</v>
      </c>
      <c r="D227" s="276">
        <f t="shared" si="4"/>
        <v>262710222</v>
      </c>
      <c r="E227" s="270" t="s">
        <v>2969</v>
      </c>
      <c r="F227" s="271">
        <v>107845671</v>
      </c>
    </row>
    <row r="228" ht="15" customHeight="1" spans="3:6">
      <c r="C228" s="283" t="s">
        <v>2531</v>
      </c>
      <c r="D228" s="278">
        <f t="shared" si="4"/>
        <v>262710223</v>
      </c>
      <c r="E228" s="272" t="s">
        <v>2609</v>
      </c>
      <c r="F228" s="273">
        <v>114512970</v>
      </c>
    </row>
    <row r="229" ht="15" customHeight="1" spans="3:6">
      <c r="C229" s="283" t="s">
        <v>2533</v>
      </c>
      <c r="D229" s="276">
        <f t="shared" si="4"/>
        <v>262710224</v>
      </c>
      <c r="E229" s="270" t="s">
        <v>2963</v>
      </c>
      <c r="F229" s="271">
        <v>118239223</v>
      </c>
    </row>
    <row r="230" ht="15" customHeight="1" spans="3:6">
      <c r="C230" s="283" t="s">
        <v>2535</v>
      </c>
      <c r="D230" s="276">
        <f t="shared" si="4"/>
        <v>262710225</v>
      </c>
      <c r="E230" s="272" t="s">
        <v>2120</v>
      </c>
      <c r="F230" s="273">
        <v>99407745</v>
      </c>
    </row>
    <row r="231" ht="15" customHeight="1" spans="3:6">
      <c r="C231" s="283" t="s">
        <v>2537</v>
      </c>
      <c r="D231" s="278">
        <f t="shared" si="4"/>
        <v>262710226</v>
      </c>
      <c r="E231" s="270" t="s">
        <v>3112</v>
      </c>
      <c r="F231" s="271">
        <v>116300039</v>
      </c>
    </row>
    <row r="232" ht="15" customHeight="1" spans="3:6">
      <c r="C232" s="283" t="s">
        <v>2539</v>
      </c>
      <c r="D232" s="276">
        <f t="shared" si="4"/>
        <v>262710227</v>
      </c>
      <c r="E232" s="272" t="s">
        <v>3113</v>
      </c>
      <c r="F232" s="273">
        <v>113085269</v>
      </c>
    </row>
    <row r="233" ht="15" customHeight="1" spans="3:6">
      <c r="C233" s="283" t="s">
        <v>2541</v>
      </c>
      <c r="D233" s="276">
        <f t="shared" si="4"/>
        <v>262710228</v>
      </c>
      <c r="E233" s="270" t="s">
        <v>2094</v>
      </c>
      <c r="F233" s="271">
        <v>104759653</v>
      </c>
    </row>
    <row r="234" ht="15" customHeight="1" spans="3:6">
      <c r="C234" s="283" t="s">
        <v>2543</v>
      </c>
      <c r="D234" s="278">
        <f t="shared" si="4"/>
        <v>262710229</v>
      </c>
      <c r="E234" s="285" t="s">
        <v>3093</v>
      </c>
      <c r="F234" s="273">
        <v>107927952</v>
      </c>
    </row>
    <row r="235" ht="15" customHeight="1" spans="3:6">
      <c r="C235" s="283" t="s">
        <v>2547</v>
      </c>
      <c r="D235" s="276">
        <v>262710230</v>
      </c>
      <c r="E235" s="270" t="s">
        <v>2881</v>
      </c>
      <c r="F235" s="271">
        <v>118893707</v>
      </c>
    </row>
    <row r="236" ht="15" customHeight="1" spans="3:6">
      <c r="C236" s="283" t="s">
        <v>2549</v>
      </c>
      <c r="D236" s="278">
        <f t="shared" ref="D236:D280" si="5">D235+1</f>
        <v>262710231</v>
      </c>
      <c r="E236" s="272" t="s">
        <v>2877</v>
      </c>
      <c r="F236" s="273">
        <v>117466719</v>
      </c>
    </row>
    <row r="237" ht="15" customHeight="1" spans="3:6">
      <c r="C237" s="283" t="s">
        <v>2551</v>
      </c>
      <c r="D237" s="276">
        <f t="shared" si="5"/>
        <v>262710232</v>
      </c>
      <c r="E237" s="270" t="s">
        <v>2142</v>
      </c>
      <c r="F237" s="271">
        <v>106017617</v>
      </c>
    </row>
    <row r="238" ht="15" customHeight="1" spans="3:6">
      <c r="C238" s="283" t="s">
        <v>2553</v>
      </c>
      <c r="D238" s="278">
        <f t="shared" si="5"/>
        <v>262710233</v>
      </c>
      <c r="E238" s="272" t="s">
        <v>2775</v>
      </c>
      <c r="F238" s="273">
        <v>103177555</v>
      </c>
    </row>
    <row r="239" ht="15" customHeight="1" spans="3:6">
      <c r="C239" s="283" t="s">
        <v>2555</v>
      </c>
      <c r="D239" s="278">
        <f t="shared" si="5"/>
        <v>262710234</v>
      </c>
      <c r="E239" s="270" t="s">
        <v>2749</v>
      </c>
      <c r="F239" s="271">
        <v>104190420</v>
      </c>
    </row>
    <row r="240" ht="15" customHeight="1" spans="3:6">
      <c r="C240" s="283" t="s">
        <v>2557</v>
      </c>
      <c r="D240" s="276">
        <f t="shared" si="5"/>
        <v>262710235</v>
      </c>
      <c r="E240" s="272" t="s">
        <v>2184</v>
      </c>
      <c r="F240" s="273">
        <v>107836498</v>
      </c>
    </row>
    <row r="241" ht="15" customHeight="1" spans="3:6">
      <c r="C241" s="283" t="s">
        <v>2559</v>
      </c>
      <c r="D241" s="278">
        <f t="shared" si="5"/>
        <v>262710236</v>
      </c>
      <c r="E241" s="270" t="s">
        <v>3114</v>
      </c>
      <c r="F241" s="271">
        <v>114762647</v>
      </c>
    </row>
    <row r="242" ht="15" customHeight="1" spans="3:6">
      <c r="C242" s="283" t="s">
        <v>2561</v>
      </c>
      <c r="D242" s="278">
        <f t="shared" si="5"/>
        <v>262710237</v>
      </c>
      <c r="E242" s="272" t="s">
        <v>3023</v>
      </c>
      <c r="F242" s="273">
        <v>102860292</v>
      </c>
    </row>
    <row r="243" ht="15" customHeight="1" spans="3:6">
      <c r="C243" s="283" t="s">
        <v>2563</v>
      </c>
      <c r="D243" s="276">
        <f t="shared" si="5"/>
        <v>262710238</v>
      </c>
      <c r="E243" s="270" t="s">
        <v>2505</v>
      </c>
      <c r="F243" s="271">
        <v>101168165</v>
      </c>
    </row>
    <row r="244" ht="15" customHeight="1" spans="3:6">
      <c r="C244" s="283" t="s">
        <v>2565</v>
      </c>
      <c r="D244" s="278">
        <f t="shared" si="5"/>
        <v>262710239</v>
      </c>
      <c r="E244" s="272" t="s">
        <v>2971</v>
      </c>
      <c r="F244" s="273">
        <v>113009890</v>
      </c>
    </row>
    <row r="245" ht="15" customHeight="1" spans="3:6">
      <c r="C245" s="283" t="s">
        <v>2567</v>
      </c>
      <c r="D245" s="278">
        <f t="shared" si="5"/>
        <v>262710240</v>
      </c>
      <c r="E245" s="270" t="s">
        <v>2779</v>
      </c>
      <c r="F245" s="271">
        <v>112551162</v>
      </c>
    </row>
    <row r="246" ht="15" customHeight="1" spans="3:6">
      <c r="C246" s="283" t="s">
        <v>2569</v>
      </c>
      <c r="D246" s="276">
        <f t="shared" si="5"/>
        <v>262710241</v>
      </c>
      <c r="E246" s="272" t="s">
        <v>2265</v>
      </c>
      <c r="F246" s="280">
        <v>1010209064</v>
      </c>
    </row>
    <row r="247" ht="15" customHeight="1" spans="3:6">
      <c r="C247" s="283" t="s">
        <v>2571</v>
      </c>
      <c r="D247" s="278">
        <f t="shared" si="5"/>
        <v>262710242</v>
      </c>
      <c r="E247" s="270" t="s">
        <v>2695</v>
      </c>
      <c r="F247" s="271">
        <v>104105567</v>
      </c>
    </row>
    <row r="248" ht="15" customHeight="1" spans="3:6">
      <c r="C248" s="283" t="s">
        <v>2573</v>
      </c>
      <c r="D248" s="278">
        <f t="shared" si="5"/>
        <v>262710243</v>
      </c>
      <c r="E248" s="272" t="s">
        <v>2657</v>
      </c>
      <c r="F248" s="273">
        <v>111290582</v>
      </c>
    </row>
    <row r="249" ht="15" customHeight="1" spans="3:6">
      <c r="C249" s="283" t="s">
        <v>2575</v>
      </c>
      <c r="D249" s="276">
        <f t="shared" si="5"/>
        <v>262710244</v>
      </c>
      <c r="E249" s="270" t="s">
        <v>2331</v>
      </c>
      <c r="F249" s="271">
        <v>108031507</v>
      </c>
    </row>
    <row r="250" ht="15" customHeight="1" spans="3:6">
      <c r="C250" s="283" t="s">
        <v>2577</v>
      </c>
      <c r="D250" s="278">
        <f t="shared" si="5"/>
        <v>262710245</v>
      </c>
      <c r="E250" s="272" t="s">
        <v>2100</v>
      </c>
      <c r="F250" s="273">
        <v>109104077</v>
      </c>
    </row>
    <row r="251" ht="15" customHeight="1" spans="3:6">
      <c r="C251" s="283" t="s">
        <v>2579</v>
      </c>
      <c r="D251" s="278">
        <f t="shared" si="5"/>
        <v>262710246</v>
      </c>
      <c r="E251" s="270" t="s">
        <v>2200</v>
      </c>
      <c r="F251" s="271">
        <v>108161393</v>
      </c>
    </row>
    <row r="252" ht="15" customHeight="1" spans="3:6">
      <c r="C252" s="283" t="s">
        <v>2581</v>
      </c>
      <c r="D252" s="276">
        <f t="shared" si="5"/>
        <v>262710247</v>
      </c>
      <c r="E252" s="272" t="s">
        <v>2325</v>
      </c>
      <c r="F252" s="273">
        <v>107518679</v>
      </c>
    </row>
    <row r="253" ht="15" customHeight="1" spans="3:6">
      <c r="C253" s="283" t="s">
        <v>2583</v>
      </c>
      <c r="D253" s="278">
        <f t="shared" si="5"/>
        <v>262710248</v>
      </c>
      <c r="E253" s="270" t="s">
        <v>2925</v>
      </c>
      <c r="F253" s="271">
        <v>106604591</v>
      </c>
    </row>
    <row r="254" ht="15" customHeight="1" spans="3:6">
      <c r="C254" s="283" t="s">
        <v>2585</v>
      </c>
      <c r="D254" s="278">
        <f t="shared" si="5"/>
        <v>262710249</v>
      </c>
      <c r="E254" s="272" t="s">
        <v>2967</v>
      </c>
      <c r="F254" s="273">
        <v>91846534</v>
      </c>
    </row>
    <row r="255" ht="15" customHeight="1" spans="3:6">
      <c r="C255" s="283" t="s">
        <v>2587</v>
      </c>
      <c r="D255" s="276">
        <f t="shared" si="5"/>
        <v>262710250</v>
      </c>
      <c r="E255" s="270" t="s">
        <v>2475</v>
      </c>
      <c r="F255" s="271">
        <v>107533540</v>
      </c>
    </row>
    <row r="256" ht="15" customHeight="1" spans="3:6">
      <c r="C256" s="283" t="s">
        <v>2589</v>
      </c>
      <c r="D256" s="278">
        <f t="shared" si="5"/>
        <v>262710251</v>
      </c>
      <c r="E256" s="272" t="s">
        <v>3041</v>
      </c>
      <c r="F256" s="273">
        <v>105870599</v>
      </c>
    </row>
    <row r="257" ht="15" customHeight="1" spans="3:6">
      <c r="C257" s="283" t="s">
        <v>2591</v>
      </c>
      <c r="D257" s="278">
        <f t="shared" si="5"/>
        <v>262710252</v>
      </c>
      <c r="E257" s="270" t="s">
        <v>2525</v>
      </c>
      <c r="F257" s="271">
        <v>107195356</v>
      </c>
    </row>
    <row r="258" ht="15" customHeight="1" spans="3:6">
      <c r="C258" s="283" t="s">
        <v>2593</v>
      </c>
      <c r="D258" s="276">
        <f t="shared" si="5"/>
        <v>262710253</v>
      </c>
      <c r="E258" s="272" t="s">
        <v>2367</v>
      </c>
      <c r="F258" s="273">
        <v>109141861</v>
      </c>
    </row>
    <row r="259" ht="15" customHeight="1" spans="3:6">
      <c r="C259" s="283" t="s">
        <v>2595</v>
      </c>
      <c r="D259" s="278">
        <f t="shared" si="5"/>
        <v>262710254</v>
      </c>
      <c r="E259" s="270" t="s">
        <v>2259</v>
      </c>
      <c r="F259" s="271">
        <v>108877200</v>
      </c>
    </row>
    <row r="260" ht="15" customHeight="1" spans="3:6">
      <c r="C260" s="283" t="s">
        <v>2597</v>
      </c>
      <c r="D260" s="278">
        <f t="shared" si="5"/>
        <v>262710255</v>
      </c>
      <c r="E260" s="272" t="s">
        <v>2561</v>
      </c>
      <c r="F260" s="280">
        <v>3074756573</v>
      </c>
    </row>
    <row r="261" ht="15" customHeight="1" spans="3:6">
      <c r="C261" s="283" t="s">
        <v>2599</v>
      </c>
      <c r="D261" s="276">
        <f t="shared" si="5"/>
        <v>262710256</v>
      </c>
      <c r="E261" s="270" t="s">
        <v>2535</v>
      </c>
      <c r="F261" s="271">
        <v>99612366</v>
      </c>
    </row>
    <row r="262" ht="15" customHeight="1" spans="3:6">
      <c r="C262" s="283" t="s">
        <v>2601</v>
      </c>
      <c r="D262" s="278">
        <f t="shared" si="5"/>
        <v>262710257</v>
      </c>
      <c r="E262" s="272" t="s">
        <v>2621</v>
      </c>
      <c r="F262" s="273">
        <v>116311972</v>
      </c>
    </row>
    <row r="263" ht="15" customHeight="1" spans="3:6">
      <c r="C263" s="283" t="s">
        <v>2603</v>
      </c>
      <c r="D263" s="278">
        <f t="shared" si="5"/>
        <v>262710258</v>
      </c>
      <c r="E263" s="270" t="s">
        <v>3073</v>
      </c>
      <c r="F263" s="271">
        <v>115483608</v>
      </c>
    </row>
    <row r="264" ht="15" customHeight="1" spans="3:6">
      <c r="C264" s="283" t="s">
        <v>2605</v>
      </c>
      <c r="D264" s="276">
        <f t="shared" si="5"/>
        <v>262710259</v>
      </c>
      <c r="E264" s="272" t="s">
        <v>2855</v>
      </c>
      <c r="F264" s="273">
        <v>109080179</v>
      </c>
    </row>
    <row r="265" ht="15" customHeight="1" spans="3:6">
      <c r="C265" s="283" t="s">
        <v>2607</v>
      </c>
      <c r="D265" s="278">
        <f t="shared" si="5"/>
        <v>262710260</v>
      </c>
      <c r="E265" s="270" t="s">
        <v>2857</v>
      </c>
      <c r="F265" s="274">
        <v>3116180386</v>
      </c>
    </row>
    <row r="266" ht="15" customHeight="1" spans="3:6">
      <c r="C266" s="283" t="s">
        <v>2609</v>
      </c>
      <c r="D266" s="278">
        <f t="shared" si="5"/>
        <v>262710261</v>
      </c>
      <c r="E266" s="272" t="s">
        <v>2090</v>
      </c>
      <c r="F266" s="273">
        <v>107637579</v>
      </c>
    </row>
    <row r="267" ht="15" customHeight="1" spans="3:6">
      <c r="C267" s="283" t="s">
        <v>2611</v>
      </c>
      <c r="D267" s="276">
        <f t="shared" si="5"/>
        <v>262710262</v>
      </c>
      <c r="E267" s="270" t="s">
        <v>2655</v>
      </c>
      <c r="F267" s="271">
        <v>107703732</v>
      </c>
    </row>
    <row r="268" ht="15" customHeight="1" spans="3:6">
      <c r="C268" s="283" t="s">
        <v>2613</v>
      </c>
      <c r="D268" s="278">
        <f t="shared" si="5"/>
        <v>262710263</v>
      </c>
      <c r="E268" s="272" t="s">
        <v>2945</v>
      </c>
      <c r="F268" s="273">
        <v>113684836</v>
      </c>
    </row>
    <row r="269" ht="15" customHeight="1" spans="3:6">
      <c r="C269" s="283" t="s">
        <v>2615</v>
      </c>
      <c r="D269" s="278">
        <f t="shared" si="5"/>
        <v>262710264</v>
      </c>
      <c r="E269" s="270" t="s">
        <v>2771</v>
      </c>
      <c r="F269" s="271">
        <v>108788216</v>
      </c>
    </row>
    <row r="270" ht="15" customHeight="1" spans="3:6">
      <c r="C270" s="283" t="s">
        <v>2617</v>
      </c>
      <c r="D270" s="276">
        <f t="shared" si="5"/>
        <v>262710265</v>
      </c>
      <c r="E270" s="272" t="s">
        <v>2777</v>
      </c>
      <c r="F270" s="273">
        <v>104668180</v>
      </c>
    </row>
    <row r="271" ht="15" customHeight="1" spans="3:6">
      <c r="C271" s="283" t="s">
        <v>2619</v>
      </c>
      <c r="D271" s="278">
        <f t="shared" si="5"/>
        <v>262710266</v>
      </c>
      <c r="E271" s="270" t="s">
        <v>2305</v>
      </c>
      <c r="F271" s="271">
        <v>111793211</v>
      </c>
    </row>
    <row r="272" ht="15" customHeight="1" spans="3:6">
      <c r="C272" s="283" t="s">
        <v>2621</v>
      </c>
      <c r="D272" s="278">
        <f t="shared" si="5"/>
        <v>262710267</v>
      </c>
      <c r="E272" s="272" t="s">
        <v>2917</v>
      </c>
      <c r="F272" s="273">
        <v>108315658</v>
      </c>
    </row>
    <row r="273" ht="15" customHeight="1" spans="3:6">
      <c r="C273" s="283" t="s">
        <v>2623</v>
      </c>
      <c r="D273" s="276">
        <f t="shared" si="5"/>
        <v>262710268</v>
      </c>
      <c r="E273" s="270" t="s">
        <v>3031</v>
      </c>
      <c r="F273" s="271">
        <v>108698579</v>
      </c>
    </row>
    <row r="274" ht="15" customHeight="1" spans="3:6">
      <c r="C274" s="283" t="s">
        <v>2625</v>
      </c>
      <c r="D274" s="278">
        <f t="shared" si="5"/>
        <v>262710269</v>
      </c>
      <c r="E274" s="272" t="s">
        <v>2437</v>
      </c>
      <c r="F274" s="273">
        <v>104563323</v>
      </c>
    </row>
    <row r="275" ht="15" customHeight="1" spans="3:6">
      <c r="C275" s="283" t="s">
        <v>2627</v>
      </c>
      <c r="D275" s="278">
        <f t="shared" si="5"/>
        <v>262710270</v>
      </c>
      <c r="E275" s="270" t="s">
        <v>2193</v>
      </c>
      <c r="F275" s="271">
        <v>104977088</v>
      </c>
    </row>
    <row r="276" ht="15" customHeight="1" spans="3:6">
      <c r="C276" s="283" t="s">
        <v>2629</v>
      </c>
      <c r="D276" s="276">
        <f t="shared" si="5"/>
        <v>262710271</v>
      </c>
      <c r="E276" s="272" t="s">
        <v>2751</v>
      </c>
      <c r="F276" s="280">
        <v>1920263121</v>
      </c>
    </row>
    <row r="277" ht="15" customHeight="1" spans="3:6">
      <c r="C277" s="283" t="s">
        <v>2631</v>
      </c>
      <c r="D277" s="278">
        <f t="shared" si="5"/>
        <v>262710272</v>
      </c>
      <c r="E277" s="270" t="s">
        <v>2497</v>
      </c>
      <c r="F277" s="271">
        <v>112860459</v>
      </c>
    </row>
    <row r="278" ht="15" customHeight="1" spans="3:6">
      <c r="C278" s="283" t="s">
        <v>2633</v>
      </c>
      <c r="D278" s="278">
        <f t="shared" si="5"/>
        <v>262710273</v>
      </c>
      <c r="E278" s="272" t="s">
        <v>3053</v>
      </c>
      <c r="F278" s="273">
        <v>108867580</v>
      </c>
    </row>
    <row r="279" ht="15" customHeight="1" spans="3:6">
      <c r="C279" s="283" t="s">
        <v>2635</v>
      </c>
      <c r="D279" s="276">
        <f t="shared" si="5"/>
        <v>262710274</v>
      </c>
      <c r="E279" s="270" t="s">
        <v>2429</v>
      </c>
      <c r="F279" s="271">
        <v>105269819</v>
      </c>
    </row>
    <row r="280" ht="15" customHeight="1" spans="3:6">
      <c r="C280" s="283" t="s">
        <v>2637</v>
      </c>
      <c r="D280" s="278">
        <f t="shared" si="5"/>
        <v>262710275</v>
      </c>
      <c r="E280" s="272" t="s">
        <v>2473</v>
      </c>
      <c r="F280" s="273">
        <v>81849921</v>
      </c>
    </row>
    <row r="281" ht="15" customHeight="1" spans="3:6">
      <c r="C281" s="283" t="s">
        <v>2641</v>
      </c>
      <c r="D281" s="278">
        <v>262710276</v>
      </c>
      <c r="E281" s="270" t="s">
        <v>2339</v>
      </c>
      <c r="F281" s="271">
        <v>119461477</v>
      </c>
    </row>
    <row r="282" ht="15" customHeight="1" spans="3:6">
      <c r="C282" s="283" t="s">
        <v>2643</v>
      </c>
      <c r="D282" s="276">
        <f t="shared" ref="D282:D325" si="6">D281+1</f>
        <v>262710277</v>
      </c>
      <c r="E282" s="272" t="s">
        <v>2495</v>
      </c>
      <c r="F282" s="273">
        <v>109838804</v>
      </c>
    </row>
    <row r="283" ht="15" customHeight="1" spans="3:6">
      <c r="C283" s="283" t="s">
        <v>2645</v>
      </c>
      <c r="D283" s="278">
        <f t="shared" si="6"/>
        <v>262710278</v>
      </c>
      <c r="E283" s="270" t="s">
        <v>2949</v>
      </c>
      <c r="F283" s="271">
        <v>109149302</v>
      </c>
    </row>
    <row r="284" ht="15" customHeight="1" spans="3:6">
      <c r="C284" s="283" t="s">
        <v>2647</v>
      </c>
      <c r="D284" s="276">
        <f t="shared" si="6"/>
        <v>262710279</v>
      </c>
      <c r="E284" s="272" t="s">
        <v>2349</v>
      </c>
      <c r="F284" s="273">
        <v>102408234</v>
      </c>
    </row>
    <row r="285" ht="15" customHeight="1" spans="3:6">
      <c r="C285" s="283" t="s">
        <v>2649</v>
      </c>
      <c r="D285" s="276">
        <f t="shared" si="6"/>
        <v>262710280</v>
      </c>
      <c r="E285" s="270" t="s">
        <v>2186</v>
      </c>
      <c r="F285" s="271">
        <v>118020358</v>
      </c>
    </row>
    <row r="286" ht="15" customHeight="1" spans="3:6">
      <c r="C286" s="283" t="s">
        <v>2651</v>
      </c>
      <c r="D286" s="278">
        <f t="shared" si="6"/>
        <v>262710281</v>
      </c>
      <c r="E286" s="272" t="s">
        <v>3115</v>
      </c>
      <c r="F286" s="273">
        <v>105851419</v>
      </c>
    </row>
    <row r="287" ht="15" customHeight="1" spans="3:6">
      <c r="C287" s="283" t="s">
        <v>2653</v>
      </c>
      <c r="D287" s="276">
        <f t="shared" si="6"/>
        <v>262710282</v>
      </c>
      <c r="E287" s="270" t="s">
        <v>2251</v>
      </c>
      <c r="F287" s="271">
        <v>97821343</v>
      </c>
    </row>
    <row r="288" ht="15" customHeight="1" spans="3:6">
      <c r="C288" s="283" t="s">
        <v>2655</v>
      </c>
      <c r="D288" s="276">
        <f t="shared" si="6"/>
        <v>262710283</v>
      </c>
      <c r="E288" s="272" t="s">
        <v>2175</v>
      </c>
      <c r="F288" s="273">
        <v>105950619</v>
      </c>
    </row>
    <row r="289" ht="15" customHeight="1" spans="3:6">
      <c r="C289" s="283" t="s">
        <v>2657</v>
      </c>
      <c r="D289" s="278">
        <f t="shared" si="6"/>
        <v>262710284</v>
      </c>
      <c r="E289" s="270" t="s">
        <v>2108</v>
      </c>
      <c r="F289" s="271">
        <v>97593401</v>
      </c>
    </row>
    <row r="290" ht="15" customHeight="1" spans="3:6">
      <c r="C290" s="283" t="s">
        <v>2659</v>
      </c>
      <c r="D290" s="276">
        <f t="shared" si="6"/>
        <v>262710285</v>
      </c>
      <c r="E290" s="272" t="s">
        <v>2321</v>
      </c>
      <c r="F290" s="273">
        <v>108191552</v>
      </c>
    </row>
    <row r="291" ht="15" customHeight="1" spans="3:6">
      <c r="C291" s="283" t="s">
        <v>2661</v>
      </c>
      <c r="D291" s="276">
        <f t="shared" si="6"/>
        <v>262710286</v>
      </c>
      <c r="E291" s="270" t="s">
        <v>2811</v>
      </c>
      <c r="F291" s="271">
        <v>115828231</v>
      </c>
    </row>
    <row r="292" ht="15" customHeight="1" spans="3:6">
      <c r="C292" s="283" t="s">
        <v>2663</v>
      </c>
      <c r="D292" s="278">
        <f t="shared" si="6"/>
        <v>262710287</v>
      </c>
      <c r="E292" s="272" t="s">
        <v>2373</v>
      </c>
      <c r="F292" s="273">
        <v>115448034</v>
      </c>
    </row>
    <row r="293" ht="15" customHeight="1" spans="3:6">
      <c r="C293" s="283" t="s">
        <v>2665</v>
      </c>
      <c r="D293" s="276">
        <f t="shared" si="6"/>
        <v>262710288</v>
      </c>
      <c r="E293" s="270" t="s">
        <v>2369</v>
      </c>
      <c r="F293" s="274">
        <v>3113718904</v>
      </c>
    </row>
    <row r="294" ht="15" customHeight="1" spans="3:6">
      <c r="C294" s="283" t="s">
        <v>2667</v>
      </c>
      <c r="D294" s="276">
        <f t="shared" si="6"/>
        <v>262710289</v>
      </c>
      <c r="E294" s="272" t="s">
        <v>2619</v>
      </c>
      <c r="F294" s="273">
        <v>104513694</v>
      </c>
    </row>
    <row r="295" ht="15" customHeight="1" spans="3:6">
      <c r="C295" s="283" t="s">
        <v>2669</v>
      </c>
      <c r="D295" s="278">
        <f t="shared" si="6"/>
        <v>262710290</v>
      </c>
      <c r="E295" s="270" t="s">
        <v>3116</v>
      </c>
      <c r="F295" s="271">
        <v>111599045</v>
      </c>
    </row>
    <row r="296" ht="15" customHeight="1" spans="3:6">
      <c r="C296" s="283" t="s">
        <v>2671</v>
      </c>
      <c r="D296" s="276">
        <f t="shared" si="6"/>
        <v>262710291</v>
      </c>
      <c r="E296" s="272" t="s">
        <v>2923</v>
      </c>
      <c r="F296" s="273">
        <v>106623691</v>
      </c>
    </row>
    <row r="297" ht="15" customHeight="1" spans="3:6">
      <c r="C297" s="283" t="s">
        <v>2673</v>
      </c>
      <c r="D297" s="276">
        <f t="shared" si="6"/>
        <v>262710292</v>
      </c>
      <c r="E297" s="270" t="s">
        <v>2447</v>
      </c>
      <c r="F297" s="271">
        <v>104455587</v>
      </c>
    </row>
    <row r="298" ht="15" customHeight="1" spans="3:6">
      <c r="C298" s="283" t="s">
        <v>2675</v>
      </c>
      <c r="D298" s="278">
        <f t="shared" si="6"/>
        <v>262710293</v>
      </c>
      <c r="E298" s="272" t="s">
        <v>2567</v>
      </c>
      <c r="F298" s="273">
        <v>111520874</v>
      </c>
    </row>
    <row r="299" ht="15" customHeight="1" spans="3:6">
      <c r="C299" s="283" t="s">
        <v>2677</v>
      </c>
      <c r="D299" s="276">
        <f t="shared" si="6"/>
        <v>262710294</v>
      </c>
      <c r="E299" s="270" t="s">
        <v>2837</v>
      </c>
      <c r="F299" s="271">
        <v>106241473</v>
      </c>
    </row>
    <row r="300" ht="15" customHeight="1" spans="3:6">
      <c r="C300" s="283" t="s">
        <v>2679</v>
      </c>
      <c r="D300" s="276">
        <f t="shared" si="6"/>
        <v>262710295</v>
      </c>
      <c r="E300" s="272" t="s">
        <v>2895</v>
      </c>
      <c r="F300" s="273">
        <v>115393254</v>
      </c>
    </row>
    <row r="301" ht="15" customHeight="1" spans="3:6">
      <c r="C301" s="283" t="s">
        <v>2681</v>
      </c>
      <c r="D301" s="278">
        <f t="shared" si="6"/>
        <v>262710296</v>
      </c>
      <c r="E301" s="270" t="s">
        <v>2653</v>
      </c>
      <c r="F301" s="271">
        <v>106164264</v>
      </c>
    </row>
    <row r="302" ht="15" customHeight="1" spans="3:6">
      <c r="C302" s="283" t="s">
        <v>2683</v>
      </c>
      <c r="D302" s="276">
        <f t="shared" si="6"/>
        <v>262710297</v>
      </c>
      <c r="E302" s="272" t="s">
        <v>3063</v>
      </c>
      <c r="F302" s="273">
        <v>107608765</v>
      </c>
    </row>
    <row r="303" ht="15" customHeight="1" spans="3:6">
      <c r="C303" s="283" t="s">
        <v>2685</v>
      </c>
      <c r="D303" s="276">
        <f t="shared" si="6"/>
        <v>262710298</v>
      </c>
      <c r="E303" s="270" t="s">
        <v>2861</v>
      </c>
      <c r="F303" s="271">
        <v>103969002</v>
      </c>
    </row>
    <row r="304" ht="15" customHeight="1" spans="3:6">
      <c r="C304" s="283" t="s">
        <v>2687</v>
      </c>
      <c r="D304" s="278">
        <f t="shared" si="6"/>
        <v>262710299</v>
      </c>
      <c r="E304" s="272" t="s">
        <v>2209</v>
      </c>
      <c r="F304" s="273">
        <v>108476588</v>
      </c>
    </row>
    <row r="305" ht="15" customHeight="1" spans="3:6">
      <c r="C305" s="283" t="s">
        <v>2689</v>
      </c>
      <c r="D305" s="276">
        <f t="shared" si="6"/>
        <v>262710300</v>
      </c>
      <c r="E305" s="270" t="s">
        <v>2411</v>
      </c>
      <c r="F305" s="271">
        <v>105179566</v>
      </c>
    </row>
    <row r="306" ht="15" customHeight="1" spans="3:6">
      <c r="C306" s="283" t="s">
        <v>2691</v>
      </c>
      <c r="D306" s="276">
        <f t="shared" si="6"/>
        <v>262710301</v>
      </c>
      <c r="E306" s="272" t="s">
        <v>2419</v>
      </c>
      <c r="F306" s="273">
        <v>106591026</v>
      </c>
    </row>
    <row r="307" ht="15" customHeight="1" spans="3:6">
      <c r="C307" s="283" t="s">
        <v>2693</v>
      </c>
      <c r="D307" s="278">
        <f t="shared" si="6"/>
        <v>262710302</v>
      </c>
      <c r="E307" s="270" t="s">
        <v>2991</v>
      </c>
      <c r="F307" s="271">
        <v>108495078</v>
      </c>
    </row>
    <row r="308" ht="15" customHeight="1" spans="3:6">
      <c r="C308" s="283" t="s">
        <v>2695</v>
      </c>
      <c r="D308" s="276">
        <f t="shared" si="6"/>
        <v>262710303</v>
      </c>
      <c r="E308" s="272" t="s">
        <v>2737</v>
      </c>
      <c r="F308" s="273">
        <v>118276433</v>
      </c>
    </row>
    <row r="309" ht="15" customHeight="1" spans="3:6">
      <c r="C309" s="283" t="s">
        <v>2697</v>
      </c>
      <c r="D309" s="276">
        <f t="shared" si="6"/>
        <v>262710304</v>
      </c>
      <c r="E309" s="270" t="s">
        <v>2395</v>
      </c>
      <c r="F309" s="271">
        <v>118367396</v>
      </c>
    </row>
    <row r="310" ht="15" customHeight="1" spans="3:6">
      <c r="C310" s="283" t="s">
        <v>2699</v>
      </c>
      <c r="D310" s="278">
        <f t="shared" si="6"/>
        <v>262710305</v>
      </c>
      <c r="E310" s="272" t="s">
        <v>2833</v>
      </c>
      <c r="F310" s="280">
        <v>3114466238</v>
      </c>
    </row>
    <row r="311" ht="15" customHeight="1" spans="3:6">
      <c r="C311" s="283" t="s">
        <v>2701</v>
      </c>
      <c r="D311" s="276">
        <f t="shared" si="6"/>
        <v>262710306</v>
      </c>
      <c r="E311" s="270" t="s">
        <v>2565</v>
      </c>
      <c r="F311" s="271">
        <v>118683299</v>
      </c>
    </row>
    <row r="312" ht="15" customHeight="1" spans="3:6">
      <c r="C312" s="283" t="s">
        <v>2703</v>
      </c>
      <c r="D312" s="276">
        <f t="shared" si="6"/>
        <v>262710307</v>
      </c>
      <c r="E312" s="272" t="s">
        <v>2731</v>
      </c>
      <c r="F312" s="273">
        <v>104549964</v>
      </c>
    </row>
    <row r="313" ht="15" customHeight="1" spans="3:6">
      <c r="C313" s="283" t="s">
        <v>2705</v>
      </c>
      <c r="D313" s="278">
        <f t="shared" si="6"/>
        <v>262710308</v>
      </c>
      <c r="E313" s="270" t="s">
        <v>3043</v>
      </c>
      <c r="F313" s="271">
        <v>98038653</v>
      </c>
    </row>
    <row r="314" ht="15" customHeight="1" spans="3:6">
      <c r="C314" s="283" t="s">
        <v>2707</v>
      </c>
      <c r="D314" s="276">
        <f t="shared" si="6"/>
        <v>262710309</v>
      </c>
      <c r="E314" s="272" t="s">
        <v>2849</v>
      </c>
      <c r="F314" s="273">
        <v>109549864</v>
      </c>
    </row>
    <row r="315" ht="15" customHeight="1" spans="3:6">
      <c r="C315" s="283" t="s">
        <v>2709</v>
      </c>
      <c r="D315" s="276">
        <f t="shared" si="6"/>
        <v>262710310</v>
      </c>
      <c r="E315" s="270" t="s">
        <v>2943</v>
      </c>
      <c r="F315" s="271">
        <v>107511675</v>
      </c>
    </row>
    <row r="316" ht="15" customHeight="1" spans="3:6">
      <c r="C316" s="283" t="s">
        <v>2711</v>
      </c>
      <c r="D316" s="278">
        <f t="shared" si="6"/>
        <v>262710311</v>
      </c>
      <c r="E316" s="272" t="s">
        <v>2297</v>
      </c>
      <c r="F316" s="273">
        <v>102769411</v>
      </c>
    </row>
    <row r="317" ht="15" customHeight="1" spans="3:6">
      <c r="C317" s="283" t="s">
        <v>2713</v>
      </c>
      <c r="D317" s="276">
        <f t="shared" si="6"/>
        <v>262710312</v>
      </c>
      <c r="E317" s="270" t="s">
        <v>2913</v>
      </c>
      <c r="F317" s="271">
        <v>104897261</v>
      </c>
    </row>
    <row r="318" ht="15" customHeight="1" spans="3:6">
      <c r="C318" s="283" t="s">
        <v>2717</v>
      </c>
      <c r="D318" s="276">
        <f t="shared" si="6"/>
        <v>262710313</v>
      </c>
      <c r="E318" s="272" t="s">
        <v>2587</v>
      </c>
      <c r="F318" s="273">
        <v>105535494</v>
      </c>
    </row>
    <row r="319" ht="15" customHeight="1" spans="3:6">
      <c r="C319" s="283" t="s">
        <v>2719</v>
      </c>
      <c r="D319" s="278">
        <f t="shared" si="6"/>
        <v>262710314</v>
      </c>
      <c r="E319" s="270" t="s">
        <v>2511</v>
      </c>
      <c r="F319" s="271">
        <v>101718098</v>
      </c>
    </row>
    <row r="320" ht="15" customHeight="1" spans="3:6">
      <c r="C320" s="283" t="s">
        <v>2721</v>
      </c>
      <c r="D320" s="276">
        <f t="shared" si="6"/>
        <v>262710315</v>
      </c>
      <c r="E320" s="272" t="s">
        <v>2281</v>
      </c>
      <c r="F320" s="273">
        <v>109085717</v>
      </c>
    </row>
    <row r="321" ht="15" customHeight="1" spans="3:6">
      <c r="C321" s="283" t="s">
        <v>2723</v>
      </c>
      <c r="D321" s="276">
        <f t="shared" si="6"/>
        <v>262710316</v>
      </c>
      <c r="E321" s="270" t="s">
        <v>2443</v>
      </c>
      <c r="F321" s="271">
        <v>104416399</v>
      </c>
    </row>
    <row r="322" ht="15" customHeight="1" spans="3:6">
      <c r="C322" s="283" t="s">
        <v>2725</v>
      </c>
      <c r="D322" s="278">
        <f t="shared" si="6"/>
        <v>262710317</v>
      </c>
      <c r="E322" s="272" t="s">
        <v>2148</v>
      </c>
      <c r="F322" s="273">
        <v>105166855</v>
      </c>
    </row>
    <row r="323" ht="15" customHeight="1" spans="3:6">
      <c r="C323" s="283" t="s">
        <v>2727</v>
      </c>
      <c r="D323" s="276">
        <f t="shared" si="6"/>
        <v>262710318</v>
      </c>
      <c r="E323" s="270" t="s">
        <v>2713</v>
      </c>
      <c r="F323" s="271">
        <v>108811296</v>
      </c>
    </row>
    <row r="324" ht="15" customHeight="1" spans="3:6">
      <c r="C324" s="283" t="s">
        <v>2729</v>
      </c>
      <c r="D324" s="276">
        <f t="shared" si="6"/>
        <v>262710319</v>
      </c>
      <c r="E324" s="272" t="s">
        <v>2074</v>
      </c>
      <c r="F324" s="273">
        <v>108438529</v>
      </c>
    </row>
    <row r="325" ht="15" customHeight="1" spans="3:6">
      <c r="C325" s="283" t="s">
        <v>2731</v>
      </c>
      <c r="D325" s="278">
        <f t="shared" si="6"/>
        <v>262710320</v>
      </c>
      <c r="E325" s="270" t="s">
        <v>2759</v>
      </c>
      <c r="F325" s="271">
        <v>126009358</v>
      </c>
    </row>
    <row r="326" ht="15" customHeight="1" spans="3:6">
      <c r="C326" s="265" t="s">
        <v>2735</v>
      </c>
      <c r="D326" s="276">
        <v>262710321</v>
      </c>
      <c r="E326" s="272" t="s">
        <v>2275</v>
      </c>
      <c r="F326" s="273">
        <v>96401747</v>
      </c>
    </row>
    <row r="327" ht="15" customHeight="1" spans="3:6">
      <c r="C327" s="265" t="s">
        <v>2737</v>
      </c>
      <c r="D327" s="278">
        <f t="shared" ref="D327:D370" si="7">D326+1</f>
        <v>262710322</v>
      </c>
      <c r="E327" s="270" t="s">
        <v>2841</v>
      </c>
      <c r="F327" s="271">
        <v>101889845</v>
      </c>
    </row>
    <row r="328" ht="15" customHeight="1" spans="3:6">
      <c r="C328" s="265" t="s">
        <v>2739</v>
      </c>
      <c r="D328" s="276">
        <f t="shared" si="7"/>
        <v>262710323</v>
      </c>
      <c r="E328" s="272" t="s">
        <v>2451</v>
      </c>
      <c r="F328" s="273">
        <v>111768024</v>
      </c>
    </row>
    <row r="329" ht="15" customHeight="1" spans="3:6">
      <c r="C329" s="265" t="s">
        <v>2741</v>
      </c>
      <c r="D329" s="278">
        <f t="shared" si="7"/>
        <v>262710324</v>
      </c>
      <c r="E329" s="270" t="s">
        <v>2571</v>
      </c>
      <c r="F329" s="271">
        <v>111613623</v>
      </c>
    </row>
    <row r="330" ht="15" customHeight="1" spans="3:6">
      <c r="C330" s="265" t="s">
        <v>2743</v>
      </c>
      <c r="D330" s="278">
        <f t="shared" si="7"/>
        <v>262710325</v>
      </c>
      <c r="E330" s="272" t="s">
        <v>2307</v>
      </c>
      <c r="F330" s="273">
        <v>119786113</v>
      </c>
    </row>
    <row r="331" ht="15" customHeight="1" spans="3:6">
      <c r="C331" s="265" t="s">
        <v>2745</v>
      </c>
      <c r="D331" s="276">
        <f t="shared" si="7"/>
        <v>262710326</v>
      </c>
      <c r="E331" s="270" t="s">
        <v>2865</v>
      </c>
      <c r="F331" s="271">
        <v>106275136</v>
      </c>
    </row>
    <row r="332" ht="15" customHeight="1" spans="3:6">
      <c r="C332" s="265" t="s">
        <v>2747</v>
      </c>
      <c r="D332" s="278">
        <f t="shared" si="7"/>
        <v>262710327</v>
      </c>
      <c r="E332" s="272" t="s">
        <v>2781</v>
      </c>
      <c r="F332" s="273">
        <v>112637250</v>
      </c>
    </row>
    <row r="333" ht="15" customHeight="1" spans="3:6">
      <c r="C333" s="265" t="s">
        <v>2749</v>
      </c>
      <c r="D333" s="278">
        <f t="shared" si="7"/>
        <v>262710328</v>
      </c>
      <c r="E333" s="270" t="s">
        <v>3009</v>
      </c>
      <c r="F333" s="271">
        <v>113921678</v>
      </c>
    </row>
    <row r="334" ht="15" customHeight="1" spans="3:6">
      <c r="C334" s="265" t="s">
        <v>2751</v>
      </c>
      <c r="D334" s="276">
        <f t="shared" si="7"/>
        <v>262710329</v>
      </c>
      <c r="E334" s="272" t="s">
        <v>2999</v>
      </c>
      <c r="F334" s="273">
        <v>101540882</v>
      </c>
    </row>
    <row r="335" ht="15" customHeight="1" spans="3:6">
      <c r="C335" s="265" t="s">
        <v>2753</v>
      </c>
      <c r="D335" s="278">
        <f t="shared" si="7"/>
        <v>262710330</v>
      </c>
      <c r="E335" s="270" t="s">
        <v>2601</v>
      </c>
      <c r="F335" s="271">
        <v>107042138</v>
      </c>
    </row>
    <row r="336" ht="15" customHeight="1" spans="3:6">
      <c r="C336" s="265" t="s">
        <v>2755</v>
      </c>
      <c r="D336" s="278">
        <f t="shared" si="7"/>
        <v>262710331</v>
      </c>
      <c r="E336" s="272" t="s">
        <v>2313</v>
      </c>
      <c r="F336" s="273">
        <v>101628325</v>
      </c>
    </row>
    <row r="337" ht="15" customHeight="1" spans="3:6">
      <c r="C337" s="265" t="s">
        <v>2757</v>
      </c>
      <c r="D337" s="276">
        <f t="shared" si="7"/>
        <v>262710332</v>
      </c>
      <c r="E337" s="270" t="s">
        <v>3087</v>
      </c>
      <c r="F337" s="271">
        <v>115024261</v>
      </c>
    </row>
    <row r="338" ht="15" customHeight="1" spans="3:6">
      <c r="C338" s="265" t="s">
        <v>2759</v>
      </c>
      <c r="D338" s="278">
        <f t="shared" si="7"/>
        <v>262710333</v>
      </c>
      <c r="E338" s="272" t="s">
        <v>3097</v>
      </c>
      <c r="F338" s="273">
        <v>106310053</v>
      </c>
    </row>
    <row r="339" ht="15" customHeight="1" spans="3:6">
      <c r="C339" s="265" t="s">
        <v>2761</v>
      </c>
      <c r="D339" s="278">
        <f t="shared" si="7"/>
        <v>262710334</v>
      </c>
      <c r="E339" s="270" t="s">
        <v>2309</v>
      </c>
      <c r="F339" s="271">
        <v>103783057</v>
      </c>
    </row>
    <row r="340" ht="15" customHeight="1" spans="3:6">
      <c r="C340" s="265" t="s">
        <v>2763</v>
      </c>
      <c r="D340" s="276">
        <f t="shared" si="7"/>
        <v>262710335</v>
      </c>
      <c r="E340" s="272" t="s">
        <v>2935</v>
      </c>
      <c r="F340" s="273">
        <v>114281002</v>
      </c>
    </row>
    <row r="341" ht="15" customHeight="1" spans="3:6">
      <c r="C341" s="265" t="s">
        <v>2765</v>
      </c>
      <c r="D341" s="278">
        <f t="shared" si="7"/>
        <v>262710336</v>
      </c>
      <c r="E341" s="270" t="s">
        <v>2343</v>
      </c>
      <c r="F341" s="271">
        <v>116551134</v>
      </c>
    </row>
    <row r="342" ht="15" customHeight="1" spans="3:6">
      <c r="C342" s="265" t="s">
        <v>2767</v>
      </c>
      <c r="D342" s="278">
        <f t="shared" si="7"/>
        <v>262710337</v>
      </c>
      <c r="E342" s="272" t="s">
        <v>3117</v>
      </c>
      <c r="F342" s="273">
        <v>107301776</v>
      </c>
    </row>
    <row r="343" ht="15" customHeight="1" spans="3:6">
      <c r="C343" s="265" t="s">
        <v>2769</v>
      </c>
      <c r="D343" s="276">
        <f t="shared" si="7"/>
        <v>262710338</v>
      </c>
      <c r="E343" s="270" t="s">
        <v>2397</v>
      </c>
      <c r="F343" s="271">
        <v>119268134</v>
      </c>
    </row>
    <row r="344" ht="15" customHeight="1" spans="3:6">
      <c r="C344" s="265" t="s">
        <v>2771</v>
      </c>
      <c r="D344" s="278">
        <f t="shared" si="7"/>
        <v>262710339</v>
      </c>
      <c r="E344" s="272" t="s">
        <v>2835</v>
      </c>
      <c r="F344" s="273">
        <v>115198254</v>
      </c>
    </row>
    <row r="345" ht="15" customHeight="1" spans="3:6">
      <c r="C345" s="265" t="s">
        <v>2773</v>
      </c>
      <c r="D345" s="278">
        <f t="shared" si="7"/>
        <v>262710340</v>
      </c>
      <c r="E345" s="270" t="s">
        <v>2223</v>
      </c>
      <c r="F345" s="271">
        <v>114198931</v>
      </c>
    </row>
    <row r="346" ht="15" customHeight="1" spans="3:6">
      <c r="C346" s="265" t="s">
        <v>2775</v>
      </c>
      <c r="D346" s="276">
        <f t="shared" si="7"/>
        <v>262710341</v>
      </c>
      <c r="E346" s="272" t="s">
        <v>2631</v>
      </c>
      <c r="F346" s="273">
        <v>108505604</v>
      </c>
    </row>
    <row r="347" ht="15" customHeight="1" spans="3:6">
      <c r="C347" s="265" t="s">
        <v>2777</v>
      </c>
      <c r="D347" s="278">
        <f t="shared" si="7"/>
        <v>262710342</v>
      </c>
      <c r="E347" s="270" t="s">
        <v>2859</v>
      </c>
      <c r="F347" s="271">
        <v>105824875</v>
      </c>
    </row>
    <row r="348" ht="15" customHeight="1" spans="3:6">
      <c r="C348" s="265" t="s">
        <v>2779</v>
      </c>
      <c r="D348" s="278">
        <f t="shared" si="7"/>
        <v>262710343</v>
      </c>
      <c r="E348" s="272" t="s">
        <v>2080</v>
      </c>
      <c r="F348" s="273">
        <v>108270691</v>
      </c>
    </row>
    <row r="349" ht="15" customHeight="1" spans="3:6">
      <c r="C349" s="265" t="s">
        <v>2781</v>
      </c>
      <c r="D349" s="276">
        <f t="shared" si="7"/>
        <v>262710344</v>
      </c>
      <c r="E349" s="270" t="s">
        <v>3071</v>
      </c>
      <c r="F349" s="271">
        <v>95122422</v>
      </c>
    </row>
    <row r="350" ht="15" customHeight="1" spans="3:6">
      <c r="C350" s="265" t="s">
        <v>2783</v>
      </c>
      <c r="D350" s="278">
        <f t="shared" si="7"/>
        <v>262710345</v>
      </c>
      <c r="E350" s="272" t="s">
        <v>2727</v>
      </c>
      <c r="F350" s="273">
        <v>108971802</v>
      </c>
    </row>
    <row r="351" ht="15" customHeight="1" spans="3:6">
      <c r="C351" s="265" t="s">
        <v>2785</v>
      </c>
      <c r="D351" s="278">
        <f t="shared" si="7"/>
        <v>262710346</v>
      </c>
      <c r="E351" s="270" t="s">
        <v>2357</v>
      </c>
      <c r="F351" s="271">
        <v>114841640</v>
      </c>
    </row>
    <row r="352" ht="15" customHeight="1" spans="3:6">
      <c r="C352" s="265" t="s">
        <v>2787</v>
      </c>
      <c r="D352" s="276">
        <f t="shared" si="7"/>
        <v>262710347</v>
      </c>
      <c r="E352" s="272" t="s">
        <v>2377</v>
      </c>
      <c r="F352" s="273">
        <v>111824713</v>
      </c>
    </row>
    <row r="353" ht="15" customHeight="1" spans="3:6">
      <c r="C353" s="265" t="s">
        <v>2789</v>
      </c>
      <c r="D353" s="278">
        <f t="shared" si="7"/>
        <v>262710348</v>
      </c>
      <c r="E353" s="270" t="s">
        <v>2625</v>
      </c>
      <c r="F353" s="274">
        <v>3114697450</v>
      </c>
    </row>
    <row r="354" ht="15" customHeight="1" spans="3:6">
      <c r="C354" s="265" t="s">
        <v>2791</v>
      </c>
      <c r="D354" s="278">
        <f t="shared" si="7"/>
        <v>262710349</v>
      </c>
      <c r="E354" s="272" t="s">
        <v>2215</v>
      </c>
      <c r="F354" s="273">
        <v>106953518</v>
      </c>
    </row>
    <row r="355" ht="15" customHeight="1" spans="3:6">
      <c r="C355" s="265" t="s">
        <v>2793</v>
      </c>
      <c r="D355" s="276">
        <f t="shared" si="7"/>
        <v>262710350</v>
      </c>
      <c r="E355" s="270" t="s">
        <v>2743</v>
      </c>
      <c r="F355" s="271">
        <v>109309710</v>
      </c>
    </row>
    <row r="356" ht="15" customHeight="1" spans="3:6">
      <c r="C356" s="265" t="s">
        <v>2795</v>
      </c>
      <c r="D356" s="278">
        <f t="shared" si="7"/>
        <v>262710351</v>
      </c>
      <c r="E356" s="272" t="s">
        <v>3118</v>
      </c>
      <c r="F356" s="273">
        <v>109890697</v>
      </c>
    </row>
    <row r="357" ht="15" customHeight="1" spans="3:6">
      <c r="C357" s="265" t="s">
        <v>2797</v>
      </c>
      <c r="D357" s="278">
        <f t="shared" si="7"/>
        <v>262710352</v>
      </c>
      <c r="E357" s="270" t="s">
        <v>2563</v>
      </c>
      <c r="F357" s="271">
        <v>117660827</v>
      </c>
    </row>
    <row r="358" ht="15" customHeight="1" spans="3:6">
      <c r="C358" s="265" t="s">
        <v>2799</v>
      </c>
      <c r="D358" s="276">
        <f t="shared" si="7"/>
        <v>262710353</v>
      </c>
      <c r="E358" s="272" t="s">
        <v>3119</v>
      </c>
      <c r="F358" s="273">
        <v>118862136</v>
      </c>
    </row>
    <row r="359" ht="15" customHeight="1" spans="3:6">
      <c r="C359" s="265" t="s">
        <v>2801</v>
      </c>
      <c r="D359" s="278">
        <f t="shared" si="7"/>
        <v>262710354</v>
      </c>
      <c r="E359" s="270" t="s">
        <v>2899</v>
      </c>
      <c r="F359" s="271">
        <v>95527780</v>
      </c>
    </row>
    <row r="360" ht="15" customHeight="1" spans="3:6">
      <c r="C360" s="265" t="s">
        <v>2803</v>
      </c>
      <c r="D360" s="278">
        <f t="shared" si="7"/>
        <v>262710355</v>
      </c>
      <c r="E360" s="272" t="s">
        <v>2767</v>
      </c>
      <c r="F360" s="273">
        <v>118597708</v>
      </c>
    </row>
    <row r="361" ht="15" customHeight="1" spans="3:6">
      <c r="C361" s="265" t="s">
        <v>2805</v>
      </c>
      <c r="D361" s="276">
        <f t="shared" si="7"/>
        <v>262710356</v>
      </c>
      <c r="E361" s="270" t="s">
        <v>3037</v>
      </c>
      <c r="F361" s="271">
        <v>106199536</v>
      </c>
    </row>
    <row r="362" ht="15" customHeight="1" spans="3:6">
      <c r="C362" s="265" t="s">
        <v>2807</v>
      </c>
      <c r="D362" s="278">
        <f t="shared" si="7"/>
        <v>262710357</v>
      </c>
      <c r="E362" s="272" t="s">
        <v>3037</v>
      </c>
      <c r="F362" s="273">
        <v>109400521</v>
      </c>
    </row>
    <row r="363" ht="15" customHeight="1" spans="3:6">
      <c r="C363" s="265" t="s">
        <v>2809</v>
      </c>
      <c r="D363" s="278">
        <f t="shared" si="7"/>
        <v>262710358</v>
      </c>
      <c r="E363" s="270" t="s">
        <v>2739</v>
      </c>
      <c r="F363" s="271">
        <v>109741517</v>
      </c>
    </row>
    <row r="364" ht="15" customHeight="1" spans="3:6">
      <c r="C364" s="265" t="s">
        <v>2811</v>
      </c>
      <c r="D364" s="276">
        <f t="shared" si="7"/>
        <v>262710359</v>
      </c>
      <c r="E364" s="272" t="s">
        <v>2086</v>
      </c>
      <c r="F364" s="273">
        <v>99380351</v>
      </c>
    </row>
    <row r="365" ht="15" customHeight="1" spans="3:6">
      <c r="C365" s="265" t="s">
        <v>2813</v>
      </c>
      <c r="D365" s="278">
        <f t="shared" si="7"/>
        <v>262710360</v>
      </c>
      <c r="E365" s="270" t="s">
        <v>2291</v>
      </c>
      <c r="F365" s="271">
        <v>92439734</v>
      </c>
    </row>
    <row r="366" ht="15" customHeight="1" spans="3:6">
      <c r="C366" s="265" t="s">
        <v>2815</v>
      </c>
      <c r="D366" s="278">
        <f t="shared" si="7"/>
        <v>262710361</v>
      </c>
      <c r="E366" s="272" t="s">
        <v>3120</v>
      </c>
      <c r="F366" s="273">
        <v>108969010</v>
      </c>
    </row>
    <row r="367" ht="15" customHeight="1" spans="3:6">
      <c r="C367" s="265" t="s">
        <v>2817</v>
      </c>
      <c r="D367" s="276">
        <f t="shared" si="7"/>
        <v>262710362</v>
      </c>
      <c r="E367" s="270" t="s">
        <v>2361</v>
      </c>
      <c r="F367" s="271">
        <v>108234832</v>
      </c>
    </row>
    <row r="368" ht="15" customHeight="1" spans="3:6">
      <c r="C368" s="265" t="s">
        <v>2819</v>
      </c>
      <c r="D368" s="278">
        <f t="shared" si="7"/>
        <v>262710363</v>
      </c>
      <c r="E368" s="272" t="s">
        <v>2669</v>
      </c>
      <c r="F368" s="273">
        <v>109527504</v>
      </c>
    </row>
    <row r="369" ht="15" customHeight="1" spans="3:6">
      <c r="C369" s="265" t="s">
        <v>2821</v>
      </c>
      <c r="D369" s="278">
        <f t="shared" si="7"/>
        <v>262710364</v>
      </c>
      <c r="E369" s="270" t="s">
        <v>3035</v>
      </c>
      <c r="F369" s="271">
        <v>104056671</v>
      </c>
    </row>
    <row r="370" ht="15" customHeight="1" spans="3:6">
      <c r="C370" s="265" t="s">
        <v>2823</v>
      </c>
      <c r="D370" s="276">
        <f t="shared" si="7"/>
        <v>262710365</v>
      </c>
      <c r="E370" s="272" t="s">
        <v>2229</v>
      </c>
      <c r="F370" s="273">
        <v>116670471</v>
      </c>
    </row>
    <row r="371" ht="15" customHeight="1" spans="3:6">
      <c r="C371" s="283" t="s">
        <v>2827</v>
      </c>
      <c r="D371" s="276">
        <v>262710366</v>
      </c>
      <c r="E371" s="270" t="s">
        <v>2761</v>
      </c>
      <c r="F371" s="271">
        <v>108152970</v>
      </c>
    </row>
    <row r="372" ht="15" customHeight="1" spans="3:6">
      <c r="C372" s="283" t="s">
        <v>2829</v>
      </c>
      <c r="D372" s="286">
        <f t="shared" ref="D372:D416" si="8">D371+1</f>
        <v>262710367</v>
      </c>
      <c r="E372" s="272" t="s">
        <v>2247</v>
      </c>
      <c r="F372" s="280">
        <v>3099224425</v>
      </c>
    </row>
    <row r="373" ht="15" customHeight="1" spans="3:6">
      <c r="C373" s="283" t="s">
        <v>2831</v>
      </c>
      <c r="D373" s="286">
        <f t="shared" si="8"/>
        <v>262710368</v>
      </c>
      <c r="E373" s="270" t="s">
        <v>2114</v>
      </c>
      <c r="F373" s="271">
        <v>99891765</v>
      </c>
    </row>
    <row r="374" ht="15" customHeight="1" spans="3:6">
      <c r="C374" s="283" t="s">
        <v>2833</v>
      </c>
      <c r="D374" s="286">
        <f t="shared" si="8"/>
        <v>262710369</v>
      </c>
      <c r="E374" s="272" t="s">
        <v>2481</v>
      </c>
      <c r="F374" s="273">
        <v>116550348</v>
      </c>
    </row>
    <row r="375" ht="15" customHeight="1" spans="3:6">
      <c r="C375" s="283" t="s">
        <v>2835</v>
      </c>
      <c r="D375" s="286">
        <f t="shared" si="8"/>
        <v>262710370</v>
      </c>
      <c r="E375" s="270" t="s">
        <v>2519</v>
      </c>
      <c r="F375" s="271">
        <v>102239788</v>
      </c>
    </row>
    <row r="376" ht="15" customHeight="1" spans="3:6">
      <c r="C376" s="283" t="s">
        <v>2837</v>
      </c>
      <c r="D376" s="286">
        <f t="shared" si="8"/>
        <v>262710371</v>
      </c>
      <c r="E376" s="272" t="s">
        <v>2645</v>
      </c>
      <c r="F376" s="273">
        <v>109375843</v>
      </c>
    </row>
    <row r="377" ht="15" customHeight="1" spans="3:6">
      <c r="C377" s="283" t="s">
        <v>2839</v>
      </c>
      <c r="D377" s="286">
        <f t="shared" si="8"/>
        <v>262710372</v>
      </c>
      <c r="E377" s="270" t="s">
        <v>2515</v>
      </c>
      <c r="F377" s="271">
        <v>102599588</v>
      </c>
    </row>
    <row r="378" ht="15" customHeight="1" spans="3:6">
      <c r="C378" s="283" t="s">
        <v>2841</v>
      </c>
      <c r="D378" s="286">
        <f t="shared" si="8"/>
        <v>262710373</v>
      </c>
      <c r="E378" s="272" t="s">
        <v>2985</v>
      </c>
      <c r="F378" s="273">
        <v>105465220</v>
      </c>
    </row>
    <row r="379" ht="15" customHeight="1" spans="3:6">
      <c r="C379" s="283" t="s">
        <v>2843</v>
      </c>
      <c r="D379" s="286">
        <f t="shared" si="8"/>
        <v>262710374</v>
      </c>
      <c r="E379" s="270" t="s">
        <v>2146</v>
      </c>
      <c r="F379" s="271">
        <v>105452225</v>
      </c>
    </row>
    <row r="380" ht="15" customHeight="1" spans="3:6">
      <c r="C380" s="283" t="s">
        <v>2845</v>
      </c>
      <c r="D380" s="286">
        <f t="shared" si="8"/>
        <v>262710375</v>
      </c>
      <c r="E380" s="272" t="s">
        <v>2160</v>
      </c>
      <c r="F380" s="273">
        <v>105838672</v>
      </c>
    </row>
    <row r="381" ht="15" customHeight="1" spans="3:6">
      <c r="C381" s="283" t="s">
        <v>2847</v>
      </c>
      <c r="D381" s="286">
        <f t="shared" si="8"/>
        <v>262710376</v>
      </c>
      <c r="E381" s="270" t="s">
        <v>2387</v>
      </c>
      <c r="F381" s="271">
        <v>112835821</v>
      </c>
    </row>
    <row r="382" ht="15" customHeight="1" spans="3:6">
      <c r="C382" s="283" t="s">
        <v>2849</v>
      </c>
      <c r="D382" s="286">
        <f t="shared" si="8"/>
        <v>262710377</v>
      </c>
      <c r="E382" s="272" t="s">
        <v>2459</v>
      </c>
      <c r="F382" s="273">
        <v>112924689</v>
      </c>
    </row>
    <row r="383" ht="15" customHeight="1" spans="3:6">
      <c r="C383" s="283" t="s">
        <v>2851</v>
      </c>
      <c r="D383" s="286">
        <f t="shared" si="8"/>
        <v>262710378</v>
      </c>
      <c r="E383" s="270" t="s">
        <v>3121</v>
      </c>
      <c r="F383" s="271">
        <v>117064250</v>
      </c>
    </row>
    <row r="384" ht="15" customHeight="1" spans="3:6">
      <c r="C384" s="283" t="s">
        <v>2853</v>
      </c>
      <c r="D384" s="286">
        <f t="shared" si="8"/>
        <v>262710379</v>
      </c>
      <c r="E384" s="272" t="s">
        <v>2911</v>
      </c>
      <c r="F384" s="273">
        <v>101273366</v>
      </c>
    </row>
    <row r="385" ht="15" customHeight="1" spans="3:6">
      <c r="C385" s="283" t="s">
        <v>2855</v>
      </c>
      <c r="D385" s="286">
        <f t="shared" si="8"/>
        <v>262710380</v>
      </c>
      <c r="E385" s="287" t="s">
        <v>2527</v>
      </c>
      <c r="F385" s="288">
        <v>105413757</v>
      </c>
    </row>
    <row r="386" ht="15" customHeight="1" spans="3:6">
      <c r="C386" s="283" t="s">
        <v>2857</v>
      </c>
      <c r="D386" s="286">
        <f t="shared" si="8"/>
        <v>262710381</v>
      </c>
    </row>
    <row r="387" ht="15" spans="3:6">
      <c r="C387" s="283" t="s">
        <v>2859</v>
      </c>
      <c r="D387" s="286">
        <f t="shared" si="8"/>
        <v>262710382</v>
      </c>
    </row>
    <row r="388" ht="15" spans="3:6">
      <c r="C388" s="283" t="s">
        <v>2861</v>
      </c>
      <c r="D388" s="286">
        <f t="shared" si="8"/>
        <v>262710383</v>
      </c>
    </row>
    <row r="389" ht="15" spans="3:6">
      <c r="C389" s="283" t="s">
        <v>2863</v>
      </c>
      <c r="D389" s="286">
        <f t="shared" si="8"/>
        <v>262710384</v>
      </c>
    </row>
    <row r="390" ht="15" spans="3:6">
      <c r="C390" s="283" t="s">
        <v>2865</v>
      </c>
      <c r="D390" s="286">
        <f t="shared" si="8"/>
        <v>262710385</v>
      </c>
    </row>
    <row r="391" ht="15" spans="3:6">
      <c r="C391" s="283" t="s">
        <v>2867</v>
      </c>
      <c r="D391" s="286">
        <f t="shared" si="8"/>
        <v>262710386</v>
      </c>
    </row>
    <row r="392" ht="15" spans="3:6">
      <c r="C392" s="283" t="s">
        <v>2869</v>
      </c>
      <c r="D392" s="286">
        <f t="shared" si="8"/>
        <v>262710387</v>
      </c>
    </row>
    <row r="393" ht="15" spans="3:6">
      <c r="C393" s="283" t="s">
        <v>2871</v>
      </c>
      <c r="D393" s="286">
        <f t="shared" si="8"/>
        <v>262710388</v>
      </c>
    </row>
    <row r="394" ht="15" spans="3:6">
      <c r="C394" s="283" t="s">
        <v>2873</v>
      </c>
      <c r="D394" s="286">
        <f t="shared" si="8"/>
        <v>262710389</v>
      </c>
    </row>
    <row r="395" ht="15" spans="3:6">
      <c r="C395" s="283" t="s">
        <v>2875</v>
      </c>
      <c r="D395" s="286">
        <f t="shared" si="8"/>
        <v>262710390</v>
      </c>
    </row>
    <row r="396" ht="15" spans="3:6">
      <c r="C396" s="283" t="s">
        <v>2877</v>
      </c>
      <c r="D396" s="286">
        <f t="shared" si="8"/>
        <v>262710391</v>
      </c>
    </row>
    <row r="397" ht="15" spans="3:6">
      <c r="C397" s="283" t="s">
        <v>2879</v>
      </c>
      <c r="D397" s="286">
        <f t="shared" si="8"/>
        <v>262710392</v>
      </c>
    </row>
    <row r="398" ht="15" spans="3:6">
      <c r="C398" s="283" t="s">
        <v>2881</v>
      </c>
      <c r="D398" s="286">
        <f t="shared" si="8"/>
        <v>262710393</v>
      </c>
    </row>
    <row r="399" ht="15" spans="3:6">
      <c r="C399" s="283" t="s">
        <v>2883</v>
      </c>
      <c r="D399" s="286">
        <f t="shared" si="8"/>
        <v>262710394</v>
      </c>
    </row>
    <row r="400" ht="15" spans="3:6">
      <c r="C400" s="283" t="s">
        <v>2885</v>
      </c>
      <c r="D400" s="286">
        <f t="shared" si="8"/>
        <v>262710395</v>
      </c>
    </row>
    <row r="401" ht="15" spans="3:4">
      <c r="C401" s="283" t="s">
        <v>2887</v>
      </c>
      <c r="D401" s="286">
        <f t="shared" si="8"/>
        <v>262710396</v>
      </c>
    </row>
    <row r="402" ht="15" spans="3:4">
      <c r="C402" s="283" t="s">
        <v>2889</v>
      </c>
      <c r="D402" s="286">
        <f t="shared" si="8"/>
        <v>262710397</v>
      </c>
    </row>
    <row r="403" ht="15" spans="3:4">
      <c r="C403" s="283" t="s">
        <v>2891</v>
      </c>
      <c r="D403" s="286">
        <f t="shared" si="8"/>
        <v>262710398</v>
      </c>
    </row>
    <row r="404" ht="15" spans="3:4">
      <c r="C404" s="283" t="s">
        <v>2893</v>
      </c>
      <c r="D404" s="286">
        <f t="shared" si="8"/>
        <v>262710399</v>
      </c>
    </row>
    <row r="405" ht="15" spans="3:4">
      <c r="C405" s="283" t="s">
        <v>2895</v>
      </c>
      <c r="D405" s="286">
        <f t="shared" si="8"/>
        <v>262710400</v>
      </c>
    </row>
    <row r="406" ht="15" spans="3:4">
      <c r="C406" s="283" t="s">
        <v>2897</v>
      </c>
      <c r="D406" s="286">
        <f t="shared" si="8"/>
        <v>262710401</v>
      </c>
    </row>
    <row r="407" ht="15" spans="3:4">
      <c r="C407" s="283" t="s">
        <v>2899</v>
      </c>
      <c r="D407" s="286">
        <f t="shared" si="8"/>
        <v>262710402</v>
      </c>
    </row>
    <row r="408" ht="15" spans="3:4">
      <c r="C408" s="283" t="s">
        <v>2901</v>
      </c>
      <c r="D408" s="286">
        <f t="shared" si="8"/>
        <v>262710403</v>
      </c>
    </row>
    <row r="409" ht="15" spans="3:4">
      <c r="C409" s="283" t="s">
        <v>2903</v>
      </c>
      <c r="D409" s="286">
        <f t="shared" si="8"/>
        <v>262710404</v>
      </c>
    </row>
    <row r="410" ht="15" spans="3:4">
      <c r="C410" s="283" t="s">
        <v>2905</v>
      </c>
      <c r="D410" s="286">
        <f t="shared" si="8"/>
        <v>262710405</v>
      </c>
    </row>
    <row r="411" ht="15" spans="3:4">
      <c r="C411" s="283" t="s">
        <v>2907</v>
      </c>
      <c r="D411" s="286">
        <f t="shared" si="8"/>
        <v>262710406</v>
      </c>
    </row>
    <row r="412" ht="15" spans="3:4">
      <c r="C412" s="283" t="s">
        <v>2909</v>
      </c>
      <c r="D412" s="286">
        <f t="shared" si="8"/>
        <v>262710407</v>
      </c>
    </row>
    <row r="413" ht="15" spans="3:4">
      <c r="C413" s="283" t="s">
        <v>2911</v>
      </c>
      <c r="D413" s="286">
        <f t="shared" si="8"/>
        <v>262710408</v>
      </c>
    </row>
    <row r="414" ht="15" spans="3:4">
      <c r="C414" s="283" t="s">
        <v>2913</v>
      </c>
      <c r="D414" s="286">
        <f t="shared" si="8"/>
        <v>262710409</v>
      </c>
    </row>
    <row r="415" ht="15" spans="3:4">
      <c r="C415" s="283" t="s">
        <v>2915</v>
      </c>
      <c r="D415" s="286">
        <f t="shared" si="8"/>
        <v>262710410</v>
      </c>
    </row>
    <row r="416" ht="29.25" spans="3:4">
      <c r="C416" s="283" t="s">
        <v>2917</v>
      </c>
      <c r="D416" s="286">
        <f t="shared" si="8"/>
        <v>262710411</v>
      </c>
    </row>
    <row r="417" ht="15" spans="3:4">
      <c r="C417" s="283" t="s">
        <v>2921</v>
      </c>
      <c r="D417" s="276">
        <v>262710412</v>
      </c>
    </row>
    <row r="418" ht="15" spans="3:4">
      <c r="C418" s="283" t="s">
        <v>2923</v>
      </c>
      <c r="D418" s="278">
        <f t="shared" ref="D418:D462" si="9">D417+1</f>
        <v>262710413</v>
      </c>
    </row>
    <row r="419" ht="15" spans="3:4">
      <c r="C419" s="283" t="s">
        <v>2925</v>
      </c>
      <c r="D419" s="278">
        <f t="shared" si="9"/>
        <v>262710414</v>
      </c>
    </row>
    <row r="420" ht="15" spans="3:4">
      <c r="C420" s="283" t="s">
        <v>2927</v>
      </c>
      <c r="D420" s="278">
        <f t="shared" si="9"/>
        <v>262710415</v>
      </c>
    </row>
    <row r="421" ht="15" spans="3:4">
      <c r="C421" s="283" t="s">
        <v>2929</v>
      </c>
      <c r="D421" s="278">
        <f t="shared" si="9"/>
        <v>262710416</v>
      </c>
    </row>
    <row r="422" ht="15" spans="3:4">
      <c r="C422" s="283" t="s">
        <v>2931</v>
      </c>
      <c r="D422" s="278">
        <f t="shared" si="9"/>
        <v>262710417</v>
      </c>
    </row>
    <row r="423" ht="15" spans="3:4">
      <c r="C423" s="283" t="s">
        <v>2933</v>
      </c>
      <c r="D423" s="278">
        <f t="shared" si="9"/>
        <v>262710418</v>
      </c>
    </row>
    <row r="424" ht="15" spans="3:4">
      <c r="C424" s="283" t="s">
        <v>2935</v>
      </c>
      <c r="D424" s="278">
        <f t="shared" si="9"/>
        <v>262710419</v>
      </c>
    </row>
    <row r="425" ht="15" spans="3:4">
      <c r="C425" s="283" t="s">
        <v>2937</v>
      </c>
      <c r="D425" s="278">
        <f t="shared" si="9"/>
        <v>262710420</v>
      </c>
    </row>
    <row r="426" ht="15" spans="3:4">
      <c r="C426" s="283" t="s">
        <v>2939</v>
      </c>
      <c r="D426" s="278">
        <f t="shared" si="9"/>
        <v>262710421</v>
      </c>
    </row>
    <row r="427" ht="15" spans="3:4">
      <c r="C427" s="283" t="s">
        <v>2941</v>
      </c>
      <c r="D427" s="278">
        <f t="shared" si="9"/>
        <v>262710422</v>
      </c>
    </row>
    <row r="428" ht="15" spans="3:4">
      <c r="C428" s="283" t="s">
        <v>2943</v>
      </c>
      <c r="D428" s="278">
        <f t="shared" si="9"/>
        <v>262710423</v>
      </c>
    </row>
    <row r="429" ht="15" spans="3:4">
      <c r="C429" s="283" t="s">
        <v>2945</v>
      </c>
      <c r="D429" s="278">
        <f t="shared" si="9"/>
        <v>262710424</v>
      </c>
    </row>
    <row r="430" ht="15" spans="3:4">
      <c r="C430" s="283" t="s">
        <v>2947</v>
      </c>
      <c r="D430" s="278">
        <f t="shared" si="9"/>
        <v>262710425</v>
      </c>
    </row>
    <row r="431" ht="15" spans="3:4">
      <c r="C431" s="283" t="s">
        <v>2949</v>
      </c>
      <c r="D431" s="278">
        <f t="shared" si="9"/>
        <v>262710426</v>
      </c>
    </row>
    <row r="432" ht="15" spans="3:4">
      <c r="C432" s="283" t="s">
        <v>2951</v>
      </c>
      <c r="D432" s="278">
        <f t="shared" si="9"/>
        <v>262710427</v>
      </c>
    </row>
    <row r="433" ht="15" spans="3:4">
      <c r="C433" s="283" t="s">
        <v>2953</v>
      </c>
      <c r="D433" s="278">
        <f t="shared" si="9"/>
        <v>262710428</v>
      </c>
    </row>
    <row r="434" ht="15" spans="3:4">
      <c r="C434" s="283" t="s">
        <v>2955</v>
      </c>
      <c r="D434" s="278">
        <f t="shared" si="9"/>
        <v>262710429</v>
      </c>
    </row>
    <row r="435" ht="15" spans="3:4">
      <c r="C435" s="283" t="s">
        <v>2957</v>
      </c>
      <c r="D435" s="278">
        <f t="shared" si="9"/>
        <v>262710430</v>
      </c>
    </row>
    <row r="436" ht="15" spans="3:4">
      <c r="C436" s="283" t="s">
        <v>2959</v>
      </c>
      <c r="D436" s="278">
        <f t="shared" si="9"/>
        <v>262710431</v>
      </c>
    </row>
    <row r="437" ht="15" spans="3:4">
      <c r="C437" s="283" t="s">
        <v>2961</v>
      </c>
      <c r="D437" s="278">
        <f t="shared" si="9"/>
        <v>262710432</v>
      </c>
    </row>
    <row r="438" ht="15" spans="3:4">
      <c r="C438" s="283" t="s">
        <v>2963</v>
      </c>
      <c r="D438" s="278">
        <f t="shared" si="9"/>
        <v>262710433</v>
      </c>
    </row>
    <row r="439" ht="15" spans="3:4">
      <c r="C439" s="283" t="s">
        <v>2965</v>
      </c>
      <c r="D439" s="278">
        <f t="shared" si="9"/>
        <v>262710434</v>
      </c>
    </row>
    <row r="440" ht="15" spans="3:4">
      <c r="C440" s="283" t="s">
        <v>2967</v>
      </c>
      <c r="D440" s="278">
        <f t="shared" si="9"/>
        <v>262710435</v>
      </c>
    </row>
    <row r="441" ht="15" spans="3:4">
      <c r="C441" s="283" t="s">
        <v>2969</v>
      </c>
      <c r="D441" s="278">
        <f t="shared" si="9"/>
        <v>262710436</v>
      </c>
    </row>
    <row r="442" ht="15" spans="3:4">
      <c r="C442" s="283" t="s">
        <v>2971</v>
      </c>
      <c r="D442" s="278">
        <f t="shared" si="9"/>
        <v>262710437</v>
      </c>
    </row>
    <row r="443" ht="15" spans="3:4">
      <c r="C443" s="283" t="s">
        <v>2973</v>
      </c>
      <c r="D443" s="278">
        <f t="shared" si="9"/>
        <v>262710438</v>
      </c>
    </row>
    <row r="444" ht="15" spans="3:4">
      <c r="C444" s="283" t="s">
        <v>2975</v>
      </c>
      <c r="D444" s="278">
        <f t="shared" si="9"/>
        <v>262710439</v>
      </c>
    </row>
    <row r="445" ht="15" spans="3:4">
      <c r="C445" s="283" t="s">
        <v>2977</v>
      </c>
      <c r="D445" s="278">
        <f t="shared" si="9"/>
        <v>262710440</v>
      </c>
    </row>
    <row r="446" ht="15" spans="3:4">
      <c r="C446" s="283" t="s">
        <v>2979</v>
      </c>
      <c r="D446" s="278">
        <f t="shared" si="9"/>
        <v>262710441</v>
      </c>
    </row>
    <row r="447" ht="15" spans="3:4">
      <c r="C447" s="283" t="s">
        <v>2981</v>
      </c>
      <c r="D447" s="278">
        <f t="shared" si="9"/>
        <v>262710442</v>
      </c>
    </row>
    <row r="448" ht="15" spans="3:4">
      <c r="C448" s="283" t="s">
        <v>2983</v>
      </c>
      <c r="D448" s="278">
        <f t="shared" si="9"/>
        <v>262710443</v>
      </c>
    </row>
    <row r="449" ht="15" spans="3:4">
      <c r="C449" s="283" t="s">
        <v>2985</v>
      </c>
      <c r="D449" s="278">
        <f t="shared" si="9"/>
        <v>262710444</v>
      </c>
    </row>
    <row r="450" ht="15" spans="3:4">
      <c r="C450" s="283" t="s">
        <v>2987</v>
      </c>
      <c r="D450" s="278">
        <f t="shared" si="9"/>
        <v>262710445</v>
      </c>
    </row>
    <row r="451" ht="15" spans="3:4">
      <c r="C451" s="283" t="s">
        <v>2989</v>
      </c>
      <c r="D451" s="278">
        <f t="shared" si="9"/>
        <v>262710446</v>
      </c>
    </row>
    <row r="452" ht="15" spans="3:4">
      <c r="C452" s="283" t="s">
        <v>2991</v>
      </c>
      <c r="D452" s="278">
        <f t="shared" si="9"/>
        <v>262710447</v>
      </c>
    </row>
    <row r="453" ht="15" spans="3:4">
      <c r="C453" s="283" t="s">
        <v>2993</v>
      </c>
      <c r="D453" s="278">
        <f t="shared" si="9"/>
        <v>262710448</v>
      </c>
    </row>
    <row r="454" ht="15" spans="3:4">
      <c r="C454" s="283" t="s">
        <v>2995</v>
      </c>
      <c r="D454" s="278">
        <f t="shared" si="9"/>
        <v>262710449</v>
      </c>
    </row>
    <row r="455" ht="15" spans="3:4">
      <c r="C455" s="283" t="s">
        <v>2997</v>
      </c>
      <c r="D455" s="278">
        <f t="shared" si="9"/>
        <v>262710450</v>
      </c>
    </row>
    <row r="456" ht="15" spans="3:4">
      <c r="C456" s="283" t="s">
        <v>2999</v>
      </c>
      <c r="D456" s="278">
        <f t="shared" si="9"/>
        <v>262710451</v>
      </c>
    </row>
    <row r="457" ht="15" spans="3:4">
      <c r="C457" s="283" t="s">
        <v>3001</v>
      </c>
      <c r="D457" s="278">
        <f t="shared" si="9"/>
        <v>262710452</v>
      </c>
    </row>
    <row r="458" ht="15" spans="3:4">
      <c r="C458" s="283" t="s">
        <v>3003</v>
      </c>
      <c r="D458" s="278">
        <f t="shared" si="9"/>
        <v>262710453</v>
      </c>
    </row>
    <row r="459" ht="15" spans="3:4">
      <c r="C459" s="283" t="s">
        <v>3005</v>
      </c>
      <c r="D459" s="278">
        <f t="shared" si="9"/>
        <v>262710454</v>
      </c>
    </row>
    <row r="460" ht="15" spans="3:4">
      <c r="C460" s="283" t="s">
        <v>3007</v>
      </c>
      <c r="D460" s="278">
        <f t="shared" si="9"/>
        <v>262710455</v>
      </c>
    </row>
    <row r="461" ht="15" spans="3:4">
      <c r="C461" s="283" t="s">
        <v>3009</v>
      </c>
      <c r="D461" s="278">
        <f t="shared" si="9"/>
        <v>262710456</v>
      </c>
    </row>
    <row r="462" ht="15" spans="3:4">
      <c r="C462" s="283" t="s">
        <v>3011</v>
      </c>
      <c r="D462" s="278">
        <f t="shared" si="9"/>
        <v>262710457</v>
      </c>
    </row>
    <row r="463" ht="15" spans="3:4">
      <c r="C463" s="283" t="s">
        <v>3015</v>
      </c>
      <c r="D463" s="276">
        <v>262710458</v>
      </c>
    </row>
    <row r="464" ht="15" spans="3:4">
      <c r="C464" s="283" t="s">
        <v>3017</v>
      </c>
      <c r="D464" s="286">
        <f t="shared" ref="D464:D506" si="10">D463+1</f>
        <v>262710459</v>
      </c>
    </row>
    <row r="465" ht="15" spans="3:4">
      <c r="C465" s="283" t="s">
        <v>3019</v>
      </c>
      <c r="D465" s="286">
        <f t="shared" si="10"/>
        <v>262710460</v>
      </c>
    </row>
    <row r="466" ht="15" spans="3:4">
      <c r="C466" s="283" t="s">
        <v>3021</v>
      </c>
      <c r="D466" s="286">
        <f t="shared" si="10"/>
        <v>262710461</v>
      </c>
    </row>
    <row r="467" ht="15" spans="3:4">
      <c r="C467" s="283" t="s">
        <v>3023</v>
      </c>
      <c r="D467" s="286">
        <f t="shared" si="10"/>
        <v>262710462</v>
      </c>
    </row>
    <row r="468" ht="15" spans="3:4">
      <c r="C468" s="283" t="s">
        <v>3025</v>
      </c>
      <c r="D468" s="286">
        <f t="shared" si="10"/>
        <v>262710463</v>
      </c>
    </row>
    <row r="469" ht="15" spans="3:4">
      <c r="C469" s="283" t="s">
        <v>3027</v>
      </c>
      <c r="D469" s="286">
        <f t="shared" si="10"/>
        <v>262710464</v>
      </c>
    </row>
    <row r="470" ht="15" spans="3:4">
      <c r="C470" s="283" t="s">
        <v>3029</v>
      </c>
      <c r="D470" s="286">
        <f t="shared" si="10"/>
        <v>262710465</v>
      </c>
    </row>
    <row r="471" ht="15" spans="3:4">
      <c r="C471" s="283" t="s">
        <v>3031</v>
      </c>
      <c r="D471" s="286">
        <f t="shared" si="10"/>
        <v>262710466</v>
      </c>
    </row>
    <row r="472" ht="15" spans="3:4">
      <c r="C472" s="283" t="s">
        <v>3033</v>
      </c>
      <c r="D472" s="286">
        <f t="shared" si="10"/>
        <v>262710467</v>
      </c>
    </row>
    <row r="473" ht="15" spans="3:4">
      <c r="C473" s="283" t="s">
        <v>3035</v>
      </c>
      <c r="D473" s="286">
        <f t="shared" si="10"/>
        <v>262710468</v>
      </c>
    </row>
    <row r="474" ht="15" spans="3:4">
      <c r="C474" s="283" t="s">
        <v>3037</v>
      </c>
      <c r="D474" s="286">
        <f t="shared" si="10"/>
        <v>262710469</v>
      </c>
    </row>
    <row r="475" ht="15" spans="3:4">
      <c r="C475" s="283" t="s">
        <v>3039</v>
      </c>
      <c r="D475" s="286">
        <f t="shared" si="10"/>
        <v>262710470</v>
      </c>
    </row>
    <row r="476" ht="15" spans="3:4">
      <c r="C476" s="283" t="s">
        <v>3041</v>
      </c>
      <c r="D476" s="286">
        <f t="shared" si="10"/>
        <v>262710471</v>
      </c>
    </row>
    <row r="477" ht="15" spans="3:4">
      <c r="C477" s="283" t="s">
        <v>3043</v>
      </c>
      <c r="D477" s="286">
        <f t="shared" si="10"/>
        <v>262710472</v>
      </c>
    </row>
    <row r="478" ht="15" spans="3:4">
      <c r="C478" s="283" t="s">
        <v>3045</v>
      </c>
      <c r="D478" s="286">
        <f t="shared" si="10"/>
        <v>262710473</v>
      </c>
    </row>
    <row r="479" ht="15" spans="3:4">
      <c r="C479" s="283" t="s">
        <v>3047</v>
      </c>
      <c r="D479" s="286">
        <f t="shared" si="10"/>
        <v>262710474</v>
      </c>
    </row>
    <row r="480" ht="15" spans="3:4">
      <c r="C480" s="283" t="s">
        <v>3049</v>
      </c>
      <c r="D480" s="286">
        <f t="shared" si="10"/>
        <v>262710475</v>
      </c>
    </row>
    <row r="481" ht="15" spans="3:4">
      <c r="C481" s="283" t="s">
        <v>3051</v>
      </c>
      <c r="D481" s="286">
        <f t="shared" si="10"/>
        <v>262710476</v>
      </c>
    </row>
    <row r="482" ht="15" spans="3:4">
      <c r="C482" s="283" t="s">
        <v>3053</v>
      </c>
      <c r="D482" s="286">
        <f t="shared" si="10"/>
        <v>262710477</v>
      </c>
    </row>
    <row r="483" ht="15" spans="3:4">
      <c r="C483" s="283" t="s">
        <v>3055</v>
      </c>
      <c r="D483" s="286">
        <f t="shared" si="10"/>
        <v>262710478</v>
      </c>
    </row>
    <row r="484" ht="15" spans="3:4">
      <c r="C484" s="283" t="s">
        <v>3057</v>
      </c>
      <c r="D484" s="286">
        <f t="shared" si="10"/>
        <v>262710479</v>
      </c>
    </row>
    <row r="485" ht="15" spans="3:4">
      <c r="C485" s="283" t="s">
        <v>3059</v>
      </c>
      <c r="D485" s="286">
        <f t="shared" si="10"/>
        <v>262710480</v>
      </c>
    </row>
    <row r="486" ht="15" spans="3:4">
      <c r="C486" s="283" t="s">
        <v>3061</v>
      </c>
      <c r="D486" s="286">
        <f t="shared" si="10"/>
        <v>262710481</v>
      </c>
    </row>
    <row r="487" ht="15" spans="3:4">
      <c r="C487" s="283" t="s">
        <v>3063</v>
      </c>
      <c r="D487" s="286">
        <f t="shared" si="10"/>
        <v>262710482</v>
      </c>
    </row>
    <row r="488" ht="15" spans="3:4">
      <c r="C488" s="283" t="s">
        <v>3065</v>
      </c>
      <c r="D488" s="286">
        <f t="shared" si="10"/>
        <v>262710483</v>
      </c>
    </row>
    <row r="489" ht="15" spans="3:4">
      <c r="C489" s="283" t="s">
        <v>3067</v>
      </c>
      <c r="D489" s="286">
        <f t="shared" si="10"/>
        <v>262710484</v>
      </c>
    </row>
    <row r="490" ht="15" spans="3:4">
      <c r="C490" s="283" t="s">
        <v>3069</v>
      </c>
      <c r="D490" s="286">
        <f t="shared" si="10"/>
        <v>262710485</v>
      </c>
    </row>
    <row r="491" ht="15" spans="3:4">
      <c r="C491" s="283" t="s">
        <v>3071</v>
      </c>
      <c r="D491" s="286">
        <f t="shared" si="10"/>
        <v>262710486</v>
      </c>
    </row>
    <row r="492" ht="15" spans="3:4">
      <c r="C492" s="283" t="s">
        <v>3073</v>
      </c>
      <c r="D492" s="286">
        <f t="shared" si="10"/>
        <v>262710487</v>
      </c>
    </row>
    <row r="493" ht="15" spans="3:4">
      <c r="C493" s="283" t="s">
        <v>3075</v>
      </c>
      <c r="D493" s="286">
        <f t="shared" si="10"/>
        <v>262710488</v>
      </c>
    </row>
    <row r="494" ht="15" spans="3:4">
      <c r="C494" s="283" t="s">
        <v>3077</v>
      </c>
      <c r="D494" s="286">
        <f t="shared" si="10"/>
        <v>262710489</v>
      </c>
    </row>
    <row r="495" ht="15" spans="3:4">
      <c r="C495" s="283" t="s">
        <v>3079</v>
      </c>
      <c r="D495" s="286">
        <f t="shared" si="10"/>
        <v>262710490</v>
      </c>
    </row>
    <row r="496" ht="15" spans="3:4">
      <c r="C496" s="283" t="s">
        <v>3081</v>
      </c>
      <c r="D496" s="286">
        <f t="shared" si="10"/>
        <v>262710491</v>
      </c>
    </row>
    <row r="497" ht="15" spans="3:4">
      <c r="C497" s="283" t="s">
        <v>3083</v>
      </c>
      <c r="D497" s="286">
        <f t="shared" si="10"/>
        <v>262710492</v>
      </c>
    </row>
    <row r="498" ht="15" spans="3:4">
      <c r="C498" s="283" t="s">
        <v>3085</v>
      </c>
      <c r="D498" s="286">
        <f t="shared" si="10"/>
        <v>262710493</v>
      </c>
    </row>
    <row r="499" ht="15" spans="3:4">
      <c r="C499" s="283" t="s">
        <v>3087</v>
      </c>
      <c r="D499" s="286">
        <f t="shared" si="10"/>
        <v>262710494</v>
      </c>
    </row>
    <row r="500" ht="15" spans="3:4">
      <c r="C500" s="283" t="s">
        <v>3089</v>
      </c>
      <c r="D500" s="286">
        <f t="shared" si="10"/>
        <v>262710495</v>
      </c>
    </row>
    <row r="501" ht="15" spans="3:4">
      <c r="C501" s="283" t="s">
        <v>3091</v>
      </c>
      <c r="D501" s="286">
        <f t="shared" si="10"/>
        <v>262710496</v>
      </c>
    </row>
    <row r="502" ht="15" spans="3:4">
      <c r="C502" s="283" t="s">
        <v>3093</v>
      </c>
      <c r="D502" s="286">
        <f t="shared" si="10"/>
        <v>262710497</v>
      </c>
    </row>
    <row r="503" ht="15" spans="3:4">
      <c r="C503" s="283" t="s">
        <v>3095</v>
      </c>
      <c r="D503" s="286">
        <f t="shared" si="10"/>
        <v>262710498</v>
      </c>
    </row>
    <row r="504" ht="15" spans="3:4">
      <c r="C504" s="283" t="s">
        <v>3097</v>
      </c>
      <c r="D504" s="286">
        <f t="shared" si="10"/>
        <v>262710499</v>
      </c>
    </row>
    <row r="505" ht="15" spans="3:4">
      <c r="C505" s="283" t="s">
        <v>3099</v>
      </c>
      <c r="D505" s="286">
        <f t="shared" si="10"/>
        <v>262710500</v>
      </c>
    </row>
    <row r="506" ht="15" spans="3:4">
      <c r="C506" s="283" t="s">
        <v>3101</v>
      </c>
      <c r="D506" s="286">
        <f t="shared" si="10"/>
        <v>262710501</v>
      </c>
    </row>
  </sheetData>
  <conditionalFormatting sqref="D6:D51">
    <cfRule type="expression" dxfId="0" priority="12">
      <formula>COUNTIF(#REF!,D6)&gt;1</formula>
    </cfRule>
  </conditionalFormatting>
  <conditionalFormatting sqref="D52:D99">
    <cfRule type="expression" dxfId="0" priority="11">
      <formula>COUNTIF(#REF!,D52)&gt;1</formula>
    </cfRule>
  </conditionalFormatting>
  <conditionalFormatting sqref="D100:D145">
    <cfRule type="expression" dxfId="0" priority="10">
      <formula>COUNTIF(#REF!,D100)&gt;1</formula>
    </cfRule>
  </conditionalFormatting>
  <conditionalFormatting sqref="D146:D189">
    <cfRule type="expression" dxfId="0" priority="9">
      <formula>COUNTIF(#REF!,D146)&gt;1</formula>
    </cfRule>
  </conditionalFormatting>
  <conditionalFormatting sqref="D190:D234">
    <cfRule type="expression" dxfId="0" priority="8">
      <formula>COUNTIF(#REF!,D190)&gt;1</formula>
    </cfRule>
  </conditionalFormatting>
  <conditionalFormatting sqref="D235:D280">
    <cfRule type="expression" dxfId="0" priority="7">
      <formula>COUNTIF(#REF!,D235)&gt;1</formula>
    </cfRule>
  </conditionalFormatting>
  <conditionalFormatting sqref="D281:D325">
    <cfRule type="expression" dxfId="0" priority="6">
      <formula>COUNTIF(#REF!,D281)&gt;1</formula>
    </cfRule>
  </conditionalFormatting>
  <conditionalFormatting sqref="D326:D370">
    <cfRule type="expression" dxfId="0" priority="5">
      <formula>COUNTIF(#REF!,D326)&gt;1</formula>
    </cfRule>
  </conditionalFormatting>
  <conditionalFormatting sqref="D371:D416">
    <cfRule type="expression" dxfId="0" priority="4">
      <formula>COUNTIF(#REF!,D371)&gt;1</formula>
    </cfRule>
  </conditionalFormatting>
  <conditionalFormatting sqref="D417:D462">
    <cfRule type="expression" dxfId="0" priority="3">
      <formula>COUNTIF(#REF!,D417)&gt;1</formula>
    </cfRule>
  </conditionalFormatting>
  <conditionalFormatting sqref="D463:D506">
    <cfRule type="expression" dxfId="0" priority="2">
      <formula>COUNTIF(#REF!,D463)&gt;1</formula>
    </cfRule>
  </conditionalFormatting>
  <pageMargins left="0.75" right="0.75" top="1" bottom="1" header="0.511811023622047" footer="0.511811023622047"/>
  <pageSetup paperSize="1" scale="8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9"/>
  <sheetViews>
    <sheetView topLeftCell="A382" workbookViewId="0">
      <selection activeCell="J439" sqref="J439"/>
    </sheetView>
  </sheetViews>
  <sheetFormatPr defaultColWidth="11.5333333333333" defaultRowHeight="13.5" customHeight="1"/>
  <cols>
    <col min="1" max="1" width="4.71666666666667" style="229" customWidth="1"/>
    <col min="2" max="2" width="8.43333333333333" style="230" customWidth="1"/>
    <col min="3" max="3" width="15.7166666666667" style="230" customWidth="1"/>
    <col min="4" max="4" width="15.2833333333333" style="230" customWidth="1"/>
    <col min="5" max="6" width="11.5333333333333" style="230" hidden="1"/>
    <col min="7" max="7" width="34.7083333333333" style="230" customWidth="1"/>
    <col min="8" max="8" width="11.5333333333333" style="230" hidden="1"/>
    <col min="9" max="12" width="11.5333333333333" style="230"/>
    <col min="13" max="14" width="11.5333333333333" style="230" hidden="1"/>
    <col min="15" max="15" width="34.5666666666667" style="230" customWidth="1"/>
    <col min="16" max="16" width="11.5333333333333" style="230" hidden="1"/>
    <col min="17" max="16384" width="11.5333333333333" style="230"/>
  </cols>
  <sheetData>
    <row r="1" s="227" customFormat="1" ht="24" customHeight="1" spans="1:17">
      <c r="A1" s="231" t="s">
        <v>10</v>
      </c>
    </row>
    <row r="2" customHeight="1" spans="1:17">
      <c r="A2" s="232">
        <v>1</v>
      </c>
      <c r="C2" s="233">
        <v>242510001</v>
      </c>
      <c r="D2" s="233" t="s">
        <v>656</v>
      </c>
      <c r="E2" s="234" t="s">
        <v>3122</v>
      </c>
      <c r="F2" s="234" t="s">
        <v>3123</v>
      </c>
      <c r="G2" s="235" t="s">
        <v>657</v>
      </c>
      <c r="H2" s="234" t="s">
        <v>3124</v>
      </c>
      <c r="I2" s="236" t="s">
        <v>23</v>
      </c>
      <c r="J2" s="232" t="s">
        <v>23</v>
      </c>
      <c r="K2" s="237">
        <v>242510001</v>
      </c>
      <c r="L2" s="237" t="s">
        <v>656</v>
      </c>
      <c r="M2" s="234" t="s">
        <v>3122</v>
      </c>
      <c r="N2" s="234" t="s">
        <v>3123</v>
      </c>
      <c r="O2" s="234" t="s">
        <v>657</v>
      </c>
      <c r="P2" s="234" t="s">
        <v>3124</v>
      </c>
      <c r="Q2" s="232" t="s">
        <v>23</v>
      </c>
    </row>
    <row r="3" customHeight="1" spans="1:17">
      <c r="A3" s="232">
        <v>2</v>
      </c>
      <c r="C3" s="233">
        <v>242510002</v>
      </c>
      <c r="D3" s="233" t="s">
        <v>570</v>
      </c>
      <c r="E3" s="234" t="s">
        <v>3125</v>
      </c>
      <c r="F3" s="234" t="s">
        <v>3126</v>
      </c>
      <c r="G3" s="235" t="s">
        <v>571</v>
      </c>
      <c r="H3" s="234" t="s">
        <v>3124</v>
      </c>
      <c r="I3" s="236" t="s">
        <v>18</v>
      </c>
      <c r="J3" s="232" t="s">
        <v>18</v>
      </c>
      <c r="K3" s="237">
        <v>242510002</v>
      </c>
      <c r="L3" s="237" t="s">
        <v>570</v>
      </c>
      <c r="M3" s="234" t="s">
        <v>3125</v>
      </c>
      <c r="N3" s="234" t="s">
        <v>3126</v>
      </c>
      <c r="O3" s="234" t="s">
        <v>571</v>
      </c>
      <c r="P3" s="234" t="s">
        <v>3124</v>
      </c>
      <c r="Q3" s="232" t="s">
        <v>18</v>
      </c>
    </row>
    <row r="4" customHeight="1" spans="1:17">
      <c r="A4" s="232">
        <v>3</v>
      </c>
      <c r="C4" s="233">
        <v>242510003</v>
      </c>
      <c r="D4" s="233" t="s">
        <v>664</v>
      </c>
      <c r="E4" s="234" t="s">
        <v>3127</v>
      </c>
      <c r="F4" s="234" t="s">
        <v>3128</v>
      </c>
      <c r="G4" s="235" t="s">
        <v>665</v>
      </c>
      <c r="H4" s="234" t="s">
        <v>3129</v>
      </c>
      <c r="I4" s="236" t="s">
        <v>18</v>
      </c>
      <c r="J4" s="232" t="s">
        <v>18</v>
      </c>
      <c r="K4" s="237">
        <v>242510003</v>
      </c>
      <c r="L4" s="237" t="s">
        <v>664</v>
      </c>
      <c r="M4" s="234" t="s">
        <v>3127</v>
      </c>
      <c r="N4" s="234" t="s">
        <v>3128</v>
      </c>
      <c r="O4" s="234" t="s">
        <v>665</v>
      </c>
      <c r="P4" s="234" t="s">
        <v>3129</v>
      </c>
      <c r="Q4" s="232" t="s">
        <v>18</v>
      </c>
    </row>
    <row r="5" customHeight="1" spans="1:17">
      <c r="A5" s="232">
        <v>4</v>
      </c>
      <c r="C5" s="233">
        <v>242510004</v>
      </c>
      <c r="D5" s="233" t="s">
        <v>258</v>
      </c>
      <c r="E5" s="234" t="s">
        <v>3130</v>
      </c>
      <c r="F5" s="234" t="s">
        <v>3131</v>
      </c>
      <c r="G5" s="235" t="s">
        <v>259</v>
      </c>
      <c r="H5" s="234" t="s">
        <v>3132</v>
      </c>
      <c r="I5" s="236" t="s">
        <v>18</v>
      </c>
      <c r="J5" s="232" t="s">
        <v>18</v>
      </c>
      <c r="K5" s="237">
        <v>242510004</v>
      </c>
      <c r="L5" s="237" t="s">
        <v>258</v>
      </c>
      <c r="M5" s="234" t="s">
        <v>3130</v>
      </c>
      <c r="N5" s="234" t="s">
        <v>3131</v>
      </c>
      <c r="O5" s="234" t="s">
        <v>259</v>
      </c>
      <c r="P5" s="234" t="s">
        <v>3132</v>
      </c>
      <c r="Q5" s="232" t="s">
        <v>18</v>
      </c>
    </row>
    <row r="6" customHeight="1" spans="1:17">
      <c r="A6" s="232">
        <v>5</v>
      </c>
      <c r="C6" s="233">
        <v>242510005</v>
      </c>
      <c r="D6" s="233" t="s">
        <v>342</v>
      </c>
      <c r="E6" s="234" t="s">
        <v>3133</v>
      </c>
      <c r="F6" s="234" t="s">
        <v>3134</v>
      </c>
      <c r="G6" s="235" t="s">
        <v>343</v>
      </c>
      <c r="H6" s="234" t="s">
        <v>3124</v>
      </c>
      <c r="I6" s="236" t="s">
        <v>18</v>
      </c>
      <c r="J6" s="232" t="s">
        <v>18</v>
      </c>
      <c r="K6" s="237">
        <v>242510005</v>
      </c>
      <c r="L6" s="237" t="s">
        <v>342</v>
      </c>
      <c r="M6" s="234" t="s">
        <v>3133</v>
      </c>
      <c r="N6" s="234" t="s">
        <v>3134</v>
      </c>
      <c r="O6" s="234" t="s">
        <v>343</v>
      </c>
      <c r="P6" s="234" t="s">
        <v>3124</v>
      </c>
      <c r="Q6" s="232" t="s">
        <v>18</v>
      </c>
    </row>
    <row r="7" customHeight="1" spans="1:17">
      <c r="A7" s="232">
        <v>6</v>
      </c>
      <c r="C7" s="233">
        <v>242510006</v>
      </c>
      <c r="D7" s="233" t="s">
        <v>260</v>
      </c>
      <c r="E7" s="234" t="s">
        <v>3135</v>
      </c>
      <c r="F7" s="234" t="s">
        <v>3136</v>
      </c>
      <c r="G7" s="235" t="s">
        <v>261</v>
      </c>
      <c r="H7" s="234" t="s">
        <v>3124</v>
      </c>
      <c r="I7" s="236" t="s">
        <v>23</v>
      </c>
      <c r="J7" s="232" t="s">
        <v>23</v>
      </c>
      <c r="K7" s="237">
        <v>242510006</v>
      </c>
      <c r="L7" s="237" t="s">
        <v>260</v>
      </c>
      <c r="M7" s="234" t="s">
        <v>3135</v>
      </c>
      <c r="N7" s="234" t="s">
        <v>3136</v>
      </c>
      <c r="O7" s="234" t="s">
        <v>261</v>
      </c>
      <c r="P7" s="234" t="s">
        <v>3124</v>
      </c>
      <c r="Q7" s="232" t="s">
        <v>23</v>
      </c>
    </row>
    <row r="8" customHeight="1" spans="1:17">
      <c r="A8" s="232">
        <v>7</v>
      </c>
      <c r="C8" s="233">
        <v>242510007</v>
      </c>
      <c r="D8" s="233" t="s">
        <v>188</v>
      </c>
      <c r="E8" s="234" t="s">
        <v>3137</v>
      </c>
      <c r="F8" s="234" t="s">
        <v>3138</v>
      </c>
      <c r="G8" s="238" t="s">
        <v>189</v>
      </c>
      <c r="H8" s="234" t="s">
        <v>3139</v>
      </c>
      <c r="I8" s="236" t="s">
        <v>18</v>
      </c>
      <c r="J8" s="232" t="s">
        <v>18</v>
      </c>
      <c r="K8" s="237">
        <v>242510007</v>
      </c>
      <c r="L8" s="237" t="s">
        <v>188</v>
      </c>
      <c r="M8" s="234" t="s">
        <v>3140</v>
      </c>
      <c r="N8" s="234" t="s">
        <v>3141</v>
      </c>
      <c r="O8" s="234" t="s">
        <v>189</v>
      </c>
      <c r="P8" s="234" t="s">
        <v>3142</v>
      </c>
      <c r="Q8" s="232" t="s">
        <v>18</v>
      </c>
    </row>
    <row r="9" customHeight="1" spans="1:17">
      <c r="A9" s="232">
        <v>8</v>
      </c>
      <c r="C9" s="233">
        <v>242510008</v>
      </c>
      <c r="D9" s="233" t="s">
        <v>344</v>
      </c>
      <c r="E9" s="234" t="s">
        <v>3143</v>
      </c>
      <c r="F9" s="234" t="s">
        <v>3144</v>
      </c>
      <c r="G9" s="235" t="s">
        <v>345</v>
      </c>
      <c r="H9" s="234" t="s">
        <v>3124</v>
      </c>
      <c r="I9" s="236" t="s">
        <v>18</v>
      </c>
      <c r="J9" s="232" t="s">
        <v>18</v>
      </c>
      <c r="K9" s="237">
        <v>242510008</v>
      </c>
      <c r="L9" s="237" t="s">
        <v>344</v>
      </c>
      <c r="M9" s="234" t="s">
        <v>3143</v>
      </c>
      <c r="N9" s="234" t="s">
        <v>3144</v>
      </c>
      <c r="O9" s="234" t="s">
        <v>345</v>
      </c>
      <c r="P9" s="234" t="s">
        <v>3124</v>
      </c>
      <c r="Q9" s="232" t="s">
        <v>18</v>
      </c>
    </row>
    <row r="10" customHeight="1" spans="1:17">
      <c r="A10" s="232">
        <v>9</v>
      </c>
      <c r="C10" s="233">
        <v>242510009</v>
      </c>
      <c r="D10" s="233" t="s">
        <v>38</v>
      </c>
      <c r="E10" s="234" t="s">
        <v>3145</v>
      </c>
      <c r="F10" s="234" t="s">
        <v>3146</v>
      </c>
      <c r="G10" s="235" t="s">
        <v>39</v>
      </c>
      <c r="H10" s="234" t="s">
        <v>3147</v>
      </c>
      <c r="I10" s="236" t="s">
        <v>18</v>
      </c>
      <c r="J10" s="232" t="s">
        <v>18</v>
      </c>
      <c r="K10" s="237">
        <v>242510009</v>
      </c>
      <c r="L10" s="237" t="s">
        <v>38</v>
      </c>
      <c r="M10" s="234" t="s">
        <v>3145</v>
      </c>
      <c r="N10" s="234" t="s">
        <v>3146</v>
      </c>
      <c r="O10" s="234" t="s">
        <v>39</v>
      </c>
      <c r="P10" s="234" t="s">
        <v>3147</v>
      </c>
      <c r="Q10" s="232" t="s">
        <v>18</v>
      </c>
    </row>
    <row r="11" customHeight="1" spans="1:17">
      <c r="A11" s="232">
        <v>10</v>
      </c>
      <c r="C11" s="233">
        <v>242510010</v>
      </c>
      <c r="D11" s="233" t="s">
        <v>348</v>
      </c>
      <c r="E11" s="234" t="s">
        <v>3148</v>
      </c>
      <c r="F11" s="234" t="s">
        <v>3149</v>
      </c>
      <c r="G11" s="235" t="s">
        <v>349</v>
      </c>
      <c r="H11" s="234" t="s">
        <v>3150</v>
      </c>
      <c r="I11" s="236" t="s">
        <v>18</v>
      </c>
      <c r="J11" s="232" t="s">
        <v>18</v>
      </c>
      <c r="K11" s="237">
        <v>242510010</v>
      </c>
      <c r="L11" s="237" t="s">
        <v>348</v>
      </c>
      <c r="M11" s="234" t="s">
        <v>3148</v>
      </c>
      <c r="N11" s="234" t="s">
        <v>3149</v>
      </c>
      <c r="O11" s="234" t="s">
        <v>349</v>
      </c>
      <c r="P11" s="234" t="s">
        <v>3150</v>
      </c>
      <c r="Q11" s="232" t="s">
        <v>18</v>
      </c>
    </row>
    <row r="12" customHeight="1" spans="1:17">
      <c r="A12" s="232">
        <v>11</v>
      </c>
      <c r="C12" s="233">
        <v>242510011</v>
      </c>
      <c r="D12" s="233" t="s">
        <v>420</v>
      </c>
      <c r="E12" s="234" t="s">
        <v>3151</v>
      </c>
      <c r="F12" s="234" t="s">
        <v>3152</v>
      </c>
      <c r="G12" s="235" t="s">
        <v>421</v>
      </c>
      <c r="H12" s="234" t="s">
        <v>3150</v>
      </c>
      <c r="I12" s="236" t="s">
        <v>23</v>
      </c>
      <c r="J12" s="232" t="s">
        <v>23</v>
      </c>
      <c r="K12" s="237">
        <v>242510011</v>
      </c>
      <c r="L12" s="237" t="s">
        <v>420</v>
      </c>
      <c r="M12" s="234" t="s">
        <v>3151</v>
      </c>
      <c r="N12" s="234" t="s">
        <v>3152</v>
      </c>
      <c r="O12" s="234" t="s">
        <v>421</v>
      </c>
      <c r="P12" s="234" t="s">
        <v>3150</v>
      </c>
      <c r="Q12" s="232" t="s">
        <v>23</v>
      </c>
    </row>
    <row r="13" customHeight="1" spans="1:17">
      <c r="A13" s="232">
        <v>12</v>
      </c>
      <c r="C13" s="233">
        <v>242510012</v>
      </c>
      <c r="D13" s="233" t="s">
        <v>584</v>
      </c>
      <c r="E13" s="234" t="s">
        <v>3153</v>
      </c>
      <c r="F13" s="234" t="s">
        <v>3154</v>
      </c>
      <c r="G13" s="235" t="s">
        <v>585</v>
      </c>
      <c r="H13" s="235" t="s">
        <v>3155</v>
      </c>
      <c r="I13" s="236" t="s">
        <v>23</v>
      </c>
      <c r="J13" s="232" t="s">
        <v>23</v>
      </c>
      <c r="K13" s="237">
        <v>242510012</v>
      </c>
      <c r="L13" s="237" t="s">
        <v>584</v>
      </c>
      <c r="M13" s="234" t="s">
        <v>3153</v>
      </c>
      <c r="N13" s="234" t="s">
        <v>3154</v>
      </c>
      <c r="O13" s="234" t="s">
        <v>585</v>
      </c>
      <c r="P13" s="234" t="s">
        <v>3155</v>
      </c>
      <c r="Q13" s="232" t="s">
        <v>23</v>
      </c>
    </row>
    <row r="14" customHeight="1" spans="1:17">
      <c r="A14" s="232">
        <v>13</v>
      </c>
      <c r="C14" s="233">
        <v>242510013</v>
      </c>
      <c r="D14" s="233" t="s">
        <v>268</v>
      </c>
      <c r="E14" s="234" t="s">
        <v>3156</v>
      </c>
      <c r="F14" s="234" t="s">
        <v>3157</v>
      </c>
      <c r="G14" s="235" t="s">
        <v>269</v>
      </c>
      <c r="H14" s="234" t="s">
        <v>3158</v>
      </c>
      <c r="I14" s="239" t="s">
        <v>18</v>
      </c>
      <c r="J14" s="240" t="s">
        <v>18</v>
      </c>
      <c r="K14" s="237">
        <v>242510013</v>
      </c>
      <c r="L14" s="237" t="s">
        <v>268</v>
      </c>
      <c r="M14" s="234" t="s">
        <v>3156</v>
      </c>
      <c r="N14" s="234" t="s">
        <v>3157</v>
      </c>
      <c r="O14" s="234" t="s">
        <v>269</v>
      </c>
      <c r="P14" s="234" t="s">
        <v>3158</v>
      </c>
      <c r="Q14" s="240" t="s">
        <v>18</v>
      </c>
    </row>
    <row r="15" customHeight="1" spans="1:17">
      <c r="A15" s="232">
        <v>14</v>
      </c>
      <c r="C15" s="233">
        <v>242510014</v>
      </c>
      <c r="D15" s="233" t="s">
        <v>848</v>
      </c>
      <c r="E15" s="234" t="s">
        <v>3159</v>
      </c>
      <c r="F15" s="234" t="s">
        <v>3160</v>
      </c>
      <c r="G15" s="235" t="s">
        <v>849</v>
      </c>
      <c r="H15" s="234" t="s">
        <v>3124</v>
      </c>
      <c r="I15" s="236" t="s">
        <v>23</v>
      </c>
      <c r="J15" s="232" t="s">
        <v>23</v>
      </c>
      <c r="K15" s="237">
        <v>242510014</v>
      </c>
      <c r="L15" s="237" t="s">
        <v>848</v>
      </c>
      <c r="M15" s="234" t="s">
        <v>3159</v>
      </c>
      <c r="N15" s="234" t="s">
        <v>3160</v>
      </c>
      <c r="O15" s="234" t="s">
        <v>849</v>
      </c>
      <c r="P15" s="234" t="s">
        <v>3124</v>
      </c>
      <c r="Q15" s="232" t="s">
        <v>23</v>
      </c>
    </row>
    <row r="16" customHeight="1" spans="1:17">
      <c r="A16" s="232">
        <v>15</v>
      </c>
      <c r="C16" s="233">
        <v>242510015</v>
      </c>
      <c r="D16" s="233" t="s">
        <v>422</v>
      </c>
      <c r="E16" s="234" t="s">
        <v>3161</v>
      </c>
      <c r="F16" s="234" t="s">
        <v>3162</v>
      </c>
      <c r="G16" s="235" t="s">
        <v>423</v>
      </c>
      <c r="H16" s="234" t="s">
        <v>3124</v>
      </c>
      <c r="I16" s="236" t="s">
        <v>23</v>
      </c>
      <c r="J16" s="232" t="s">
        <v>23</v>
      </c>
      <c r="K16" s="237">
        <v>242510015</v>
      </c>
      <c r="L16" s="237" t="s">
        <v>422</v>
      </c>
      <c r="M16" s="234" t="s">
        <v>3161</v>
      </c>
      <c r="N16" s="234" t="s">
        <v>3162</v>
      </c>
      <c r="O16" s="234" t="s">
        <v>423</v>
      </c>
      <c r="P16" s="234" t="s">
        <v>3124</v>
      </c>
      <c r="Q16" s="232" t="s">
        <v>23</v>
      </c>
    </row>
    <row r="17" customHeight="1" spans="1:17">
      <c r="A17" s="232"/>
      <c r="C17" s="233">
        <v>242510017</v>
      </c>
      <c r="D17" s="233" t="s">
        <v>352</v>
      </c>
      <c r="E17" s="234" t="s">
        <v>3163</v>
      </c>
      <c r="F17" s="234" t="s">
        <v>3164</v>
      </c>
      <c r="G17" s="235" t="s">
        <v>353</v>
      </c>
      <c r="H17" s="234" t="s">
        <v>3124</v>
      </c>
      <c r="I17" s="236" t="s">
        <v>18</v>
      </c>
      <c r="J17" s="232" t="s">
        <v>18</v>
      </c>
      <c r="K17" s="237">
        <v>242510017</v>
      </c>
      <c r="L17" s="237" t="s">
        <v>352</v>
      </c>
      <c r="M17" s="234" t="s">
        <v>3163</v>
      </c>
      <c r="N17" s="234" t="s">
        <v>3164</v>
      </c>
      <c r="O17" s="234" t="s">
        <v>353</v>
      </c>
      <c r="P17" s="234" t="s">
        <v>3124</v>
      </c>
      <c r="Q17" s="232" t="s">
        <v>18</v>
      </c>
    </row>
    <row r="18" customHeight="1" spans="1:17">
      <c r="A18" s="232">
        <v>16</v>
      </c>
      <c r="C18" s="233">
        <v>242510018</v>
      </c>
      <c r="D18" s="233" t="s">
        <v>498</v>
      </c>
      <c r="E18" s="234" t="s">
        <v>3165</v>
      </c>
      <c r="F18" s="234" t="s">
        <v>3166</v>
      </c>
      <c r="G18" s="235" t="s">
        <v>499</v>
      </c>
      <c r="H18" s="234" t="s">
        <v>3167</v>
      </c>
      <c r="I18" s="239" t="s">
        <v>18</v>
      </c>
      <c r="J18" s="240" t="s">
        <v>18</v>
      </c>
      <c r="K18" s="237">
        <v>242510018</v>
      </c>
      <c r="L18" s="237" t="s">
        <v>498</v>
      </c>
      <c r="M18" s="234" t="s">
        <v>3165</v>
      </c>
      <c r="N18" s="234" t="s">
        <v>3166</v>
      </c>
      <c r="O18" s="234" t="s">
        <v>499</v>
      </c>
      <c r="P18" s="234" t="s">
        <v>3167</v>
      </c>
      <c r="Q18" s="240" t="s">
        <v>18</v>
      </c>
    </row>
    <row r="19" customHeight="1" spans="1:17">
      <c r="A19" s="232">
        <v>17</v>
      </c>
      <c r="C19" s="233">
        <v>242510019</v>
      </c>
      <c r="D19" s="233" t="s">
        <v>776</v>
      </c>
      <c r="E19" s="234" t="s">
        <v>3168</v>
      </c>
      <c r="F19" s="234" t="s">
        <v>3169</v>
      </c>
      <c r="G19" s="235" t="s">
        <v>777</v>
      </c>
      <c r="H19" s="234" t="s">
        <v>3124</v>
      </c>
      <c r="I19" s="236" t="s">
        <v>23</v>
      </c>
      <c r="J19" s="232" t="s">
        <v>23</v>
      </c>
      <c r="K19" s="237">
        <v>242510019</v>
      </c>
      <c r="L19" s="237" t="s">
        <v>776</v>
      </c>
      <c r="M19" s="234" t="s">
        <v>3168</v>
      </c>
      <c r="N19" s="234" t="s">
        <v>3169</v>
      </c>
      <c r="O19" s="234" t="s">
        <v>777</v>
      </c>
      <c r="P19" s="234" t="s">
        <v>3124</v>
      </c>
      <c r="Q19" s="232" t="s">
        <v>23</v>
      </c>
    </row>
    <row r="20" customHeight="1" spans="1:17">
      <c r="A20" s="232">
        <v>18</v>
      </c>
      <c r="C20" s="233">
        <v>242510020</v>
      </c>
      <c r="D20" s="233" t="s">
        <v>206</v>
      </c>
      <c r="E20" s="234" t="s">
        <v>3170</v>
      </c>
      <c r="F20" s="234" t="s">
        <v>3171</v>
      </c>
      <c r="G20" s="238" t="s">
        <v>207</v>
      </c>
      <c r="H20" s="234" t="s">
        <v>3124</v>
      </c>
      <c r="I20" s="236" t="s">
        <v>23</v>
      </c>
      <c r="J20" s="232" t="s">
        <v>23</v>
      </c>
      <c r="K20" s="237">
        <v>242510020</v>
      </c>
      <c r="L20" s="237" t="s">
        <v>206</v>
      </c>
      <c r="M20" s="234" t="s">
        <v>3172</v>
      </c>
      <c r="N20" s="234" t="s">
        <v>3173</v>
      </c>
      <c r="O20" s="234" t="s">
        <v>207</v>
      </c>
      <c r="P20" s="234" t="s">
        <v>3124</v>
      </c>
      <c r="Q20" s="232" t="s">
        <v>23</v>
      </c>
    </row>
    <row r="21" customHeight="1" spans="1:17">
      <c r="A21" s="232">
        <v>19</v>
      </c>
      <c r="C21" s="233">
        <v>242510021</v>
      </c>
      <c r="D21" s="233" t="s">
        <v>790</v>
      </c>
      <c r="E21" s="234" t="s">
        <v>3174</v>
      </c>
      <c r="F21" s="234" t="s">
        <v>3175</v>
      </c>
      <c r="G21" s="235" t="s">
        <v>791</v>
      </c>
      <c r="H21" s="234" t="s">
        <v>3124</v>
      </c>
      <c r="I21" s="236" t="s">
        <v>18</v>
      </c>
      <c r="J21" s="232" t="s">
        <v>18</v>
      </c>
      <c r="K21" s="237">
        <v>242510021</v>
      </c>
      <c r="L21" s="237" t="s">
        <v>790</v>
      </c>
      <c r="M21" s="234" t="s">
        <v>3174</v>
      </c>
      <c r="N21" s="234" t="s">
        <v>3175</v>
      </c>
      <c r="O21" s="234" t="s">
        <v>791</v>
      </c>
      <c r="P21" s="234" t="s">
        <v>3124</v>
      </c>
      <c r="Q21" s="232" t="s">
        <v>18</v>
      </c>
    </row>
    <row r="22" customHeight="1" spans="1:17">
      <c r="A22" s="232">
        <v>20</v>
      </c>
      <c r="C22" s="233">
        <v>242510022</v>
      </c>
      <c r="D22" s="233" t="s">
        <v>56</v>
      </c>
      <c r="E22" s="234" t="s">
        <v>3176</v>
      </c>
      <c r="F22" s="234" t="s">
        <v>3177</v>
      </c>
      <c r="G22" s="235" t="s">
        <v>57</v>
      </c>
      <c r="H22" s="234" t="s">
        <v>3178</v>
      </c>
      <c r="I22" s="236" t="s">
        <v>18</v>
      </c>
      <c r="J22" s="232" t="s">
        <v>18</v>
      </c>
      <c r="K22" s="237">
        <v>242510022</v>
      </c>
      <c r="L22" s="237" t="s">
        <v>56</v>
      </c>
      <c r="M22" s="234" t="s">
        <v>3176</v>
      </c>
      <c r="N22" s="234" t="s">
        <v>3177</v>
      </c>
      <c r="O22" s="234" t="s">
        <v>57</v>
      </c>
      <c r="P22" s="234" t="s">
        <v>3178</v>
      </c>
      <c r="Q22" s="232" t="s">
        <v>18</v>
      </c>
    </row>
    <row r="23" customHeight="1" spans="1:17">
      <c r="A23" s="232">
        <v>21</v>
      </c>
      <c r="C23" s="233">
        <v>242510023</v>
      </c>
      <c r="D23" s="233" t="s">
        <v>61</v>
      </c>
      <c r="E23" s="234" t="s">
        <v>3179</v>
      </c>
      <c r="F23" s="234" t="s">
        <v>3180</v>
      </c>
      <c r="G23" s="235" t="s">
        <v>62</v>
      </c>
      <c r="H23" s="234" t="s">
        <v>3181</v>
      </c>
      <c r="I23" s="236" t="s">
        <v>18</v>
      </c>
      <c r="J23" s="232" t="s">
        <v>18</v>
      </c>
      <c r="K23" s="237">
        <v>242510023</v>
      </c>
      <c r="L23" s="237" t="s">
        <v>61</v>
      </c>
      <c r="M23" s="234" t="s">
        <v>3179</v>
      </c>
      <c r="N23" s="234" t="s">
        <v>3180</v>
      </c>
      <c r="O23" s="234" t="s">
        <v>62</v>
      </c>
      <c r="P23" s="234" t="s">
        <v>3181</v>
      </c>
      <c r="Q23" s="232" t="s">
        <v>18</v>
      </c>
    </row>
    <row r="24" customHeight="1" spans="1:17">
      <c r="A24" s="232">
        <v>22</v>
      </c>
      <c r="C24" s="233">
        <v>242510024</v>
      </c>
      <c r="D24" s="233" t="s">
        <v>214</v>
      </c>
      <c r="E24" s="234" t="s">
        <v>3182</v>
      </c>
      <c r="F24" s="234" t="s">
        <v>3183</v>
      </c>
      <c r="G24" s="238" t="s">
        <v>215</v>
      </c>
      <c r="H24" s="234" t="s">
        <v>3139</v>
      </c>
      <c r="I24" s="236" t="s">
        <v>23</v>
      </c>
      <c r="J24" s="232" t="s">
        <v>18</v>
      </c>
      <c r="K24" s="237">
        <v>242510024</v>
      </c>
      <c r="L24" s="237" t="s">
        <v>214</v>
      </c>
      <c r="M24" s="234" t="s">
        <v>3184</v>
      </c>
      <c r="N24" s="234" t="s">
        <v>3185</v>
      </c>
      <c r="O24" s="234" t="s">
        <v>215</v>
      </c>
      <c r="P24" s="234" t="s">
        <v>3186</v>
      </c>
      <c r="Q24" s="232" t="s">
        <v>18</v>
      </c>
    </row>
    <row r="25" customHeight="1" spans="1:17">
      <c r="A25" s="232">
        <v>23</v>
      </c>
      <c r="C25" s="233">
        <v>242510025</v>
      </c>
      <c r="D25" s="233" t="s">
        <v>798</v>
      </c>
      <c r="E25" s="234" t="s">
        <v>3187</v>
      </c>
      <c r="F25" s="234" t="s">
        <v>3188</v>
      </c>
      <c r="G25" s="235" t="s">
        <v>799</v>
      </c>
      <c r="H25" s="234" t="s">
        <v>3189</v>
      </c>
      <c r="I25" s="236" t="s">
        <v>18</v>
      </c>
      <c r="J25" s="232" t="s">
        <v>18</v>
      </c>
      <c r="K25" s="237">
        <v>242510025</v>
      </c>
      <c r="L25" s="237" t="s">
        <v>798</v>
      </c>
      <c r="M25" s="234" t="s">
        <v>3187</v>
      </c>
      <c r="N25" s="234" t="s">
        <v>3188</v>
      </c>
      <c r="O25" s="234" t="s">
        <v>799</v>
      </c>
      <c r="P25" s="234" t="s">
        <v>3189</v>
      </c>
      <c r="Q25" s="232" t="s">
        <v>18</v>
      </c>
    </row>
    <row r="26" customHeight="1" spans="1:17">
      <c r="A26" s="232">
        <v>24</v>
      </c>
      <c r="C26" s="233">
        <v>242510026</v>
      </c>
      <c r="D26" s="233" t="s">
        <v>436</v>
      </c>
      <c r="E26" s="234" t="s">
        <v>3190</v>
      </c>
      <c r="F26" s="234" t="s">
        <v>3191</v>
      </c>
      <c r="G26" s="235" t="s">
        <v>437</v>
      </c>
      <c r="H26" s="234" t="s">
        <v>3192</v>
      </c>
      <c r="I26" s="236" t="s">
        <v>23</v>
      </c>
      <c r="J26" s="232" t="s">
        <v>23</v>
      </c>
      <c r="K26" s="237">
        <v>242510026</v>
      </c>
      <c r="L26" s="237" t="s">
        <v>436</v>
      </c>
      <c r="M26" s="234" t="s">
        <v>3190</v>
      </c>
      <c r="N26" s="234" t="s">
        <v>3191</v>
      </c>
      <c r="O26" s="234" t="s">
        <v>437</v>
      </c>
      <c r="P26" s="234" t="s">
        <v>3192</v>
      </c>
      <c r="Q26" s="232" t="s">
        <v>23</v>
      </c>
    </row>
    <row r="27" customHeight="1" spans="1:17">
      <c r="A27" s="232">
        <v>25</v>
      </c>
      <c r="C27" s="233">
        <v>242510027</v>
      </c>
      <c r="D27" s="233" t="s">
        <v>516</v>
      </c>
      <c r="E27" s="234" t="s">
        <v>3193</v>
      </c>
      <c r="F27" s="234" t="s">
        <v>3194</v>
      </c>
      <c r="G27" s="235" t="s">
        <v>517</v>
      </c>
      <c r="H27" s="234" t="s">
        <v>3195</v>
      </c>
      <c r="I27" s="236" t="s">
        <v>23</v>
      </c>
      <c r="J27" s="232" t="s">
        <v>23</v>
      </c>
      <c r="K27" s="237">
        <v>242510027</v>
      </c>
      <c r="L27" s="237" t="s">
        <v>516</v>
      </c>
      <c r="M27" s="234" t="s">
        <v>3193</v>
      </c>
      <c r="N27" s="234" t="s">
        <v>3194</v>
      </c>
      <c r="O27" s="234" t="s">
        <v>517</v>
      </c>
      <c r="P27" s="234" t="s">
        <v>3195</v>
      </c>
      <c r="Q27" s="232" t="s">
        <v>23</v>
      </c>
    </row>
    <row r="28" customHeight="1" spans="1:17">
      <c r="A28" s="232">
        <v>26</v>
      </c>
      <c r="C28" s="233">
        <v>242510028</v>
      </c>
      <c r="D28" s="233" t="s">
        <v>438</v>
      </c>
      <c r="E28" s="234" t="s">
        <v>3196</v>
      </c>
      <c r="F28" s="234" t="s">
        <v>3197</v>
      </c>
      <c r="G28" s="235" t="s">
        <v>439</v>
      </c>
      <c r="H28" s="234" t="s">
        <v>3198</v>
      </c>
      <c r="I28" s="236" t="s">
        <v>23</v>
      </c>
      <c r="J28" s="232" t="s">
        <v>23</v>
      </c>
      <c r="K28" s="237">
        <v>242510028</v>
      </c>
      <c r="L28" s="237" t="s">
        <v>438</v>
      </c>
      <c r="M28" s="234" t="s">
        <v>3196</v>
      </c>
      <c r="N28" s="234" t="s">
        <v>3197</v>
      </c>
      <c r="O28" s="234" t="s">
        <v>439</v>
      </c>
      <c r="P28" s="234" t="s">
        <v>3198</v>
      </c>
      <c r="Q28" s="232" t="s">
        <v>23</v>
      </c>
    </row>
    <row r="29" customHeight="1" spans="1:17">
      <c r="A29" s="232">
        <v>27</v>
      </c>
      <c r="C29" s="233">
        <v>242510029</v>
      </c>
      <c r="D29" s="233" t="s">
        <v>614</v>
      </c>
      <c r="E29" s="234" t="s">
        <v>3199</v>
      </c>
      <c r="F29" s="234" t="s">
        <v>3200</v>
      </c>
      <c r="G29" s="235" t="s">
        <v>615</v>
      </c>
      <c r="H29" s="234" t="s">
        <v>3124</v>
      </c>
      <c r="I29" s="236" t="s">
        <v>23</v>
      </c>
      <c r="J29" s="232" t="s">
        <v>23</v>
      </c>
      <c r="K29" s="237">
        <v>242510029</v>
      </c>
      <c r="L29" s="237" t="s">
        <v>614</v>
      </c>
      <c r="M29" s="234" t="s">
        <v>3199</v>
      </c>
      <c r="N29" s="234" t="s">
        <v>3200</v>
      </c>
      <c r="O29" s="234" t="s">
        <v>615</v>
      </c>
      <c r="P29" s="234" t="s">
        <v>3124</v>
      </c>
      <c r="Q29" s="232" t="s">
        <v>23</v>
      </c>
    </row>
    <row r="30" customHeight="1" spans="1:17">
      <c r="A30" s="232">
        <v>28</v>
      </c>
      <c r="C30" s="233">
        <v>242510030</v>
      </c>
      <c r="D30" s="233" t="s">
        <v>876</v>
      </c>
      <c r="E30" s="234" t="s">
        <v>3201</v>
      </c>
      <c r="F30" s="234" t="s">
        <v>3202</v>
      </c>
      <c r="G30" s="235" t="s">
        <v>877</v>
      </c>
      <c r="H30" s="234" t="s">
        <v>3203</v>
      </c>
      <c r="I30" s="236" t="s">
        <v>23</v>
      </c>
      <c r="J30" s="232" t="s">
        <v>23</v>
      </c>
      <c r="K30" s="237">
        <v>242510030</v>
      </c>
      <c r="L30" s="237" t="s">
        <v>876</v>
      </c>
      <c r="M30" s="234" t="s">
        <v>3201</v>
      </c>
      <c r="N30" s="234" t="s">
        <v>3202</v>
      </c>
      <c r="O30" s="234" t="s">
        <v>877</v>
      </c>
      <c r="P30" s="234" t="s">
        <v>3203</v>
      </c>
      <c r="Q30" s="232" t="s">
        <v>23</v>
      </c>
    </row>
    <row r="31" customHeight="1" spans="1:17">
      <c r="A31" s="232">
        <v>29</v>
      </c>
      <c r="C31" s="233">
        <v>242510031</v>
      </c>
      <c r="D31" s="233" t="s">
        <v>146</v>
      </c>
      <c r="E31" s="234" t="s">
        <v>3204</v>
      </c>
      <c r="F31" s="234" t="s">
        <v>3205</v>
      </c>
      <c r="G31" s="235" t="s">
        <v>147</v>
      </c>
      <c r="H31" s="234" t="s">
        <v>3124</v>
      </c>
      <c r="I31" s="236" t="s">
        <v>18</v>
      </c>
      <c r="J31" s="232" t="s">
        <v>18</v>
      </c>
      <c r="K31" s="237">
        <v>242510031</v>
      </c>
      <c r="L31" s="237" t="s">
        <v>146</v>
      </c>
      <c r="M31" s="234" t="s">
        <v>3204</v>
      </c>
      <c r="N31" s="234" t="s">
        <v>3205</v>
      </c>
      <c r="O31" s="234" t="s">
        <v>147</v>
      </c>
      <c r="P31" s="234" t="s">
        <v>3124</v>
      </c>
      <c r="Q31" s="232" t="s">
        <v>18</v>
      </c>
    </row>
    <row r="32" customHeight="1" spans="1:17">
      <c r="A32" s="232">
        <v>30</v>
      </c>
      <c r="C32" s="233">
        <v>242510032</v>
      </c>
      <c r="D32" s="233" t="s">
        <v>446</v>
      </c>
      <c r="E32" s="234" t="s">
        <v>3206</v>
      </c>
      <c r="F32" s="234" t="s">
        <v>3207</v>
      </c>
      <c r="G32" s="235" t="s">
        <v>447</v>
      </c>
      <c r="H32" s="234" t="s">
        <v>3208</v>
      </c>
      <c r="I32" s="236" t="s">
        <v>18</v>
      </c>
      <c r="J32" s="232" t="s">
        <v>18</v>
      </c>
      <c r="K32" s="237">
        <v>242510032</v>
      </c>
      <c r="L32" s="237" t="s">
        <v>446</v>
      </c>
      <c r="M32" s="234" t="s">
        <v>3206</v>
      </c>
      <c r="N32" s="234" t="s">
        <v>3207</v>
      </c>
      <c r="O32" s="234" t="s">
        <v>447</v>
      </c>
      <c r="P32" s="234" t="s">
        <v>3208</v>
      </c>
      <c r="Q32" s="232" t="s">
        <v>18</v>
      </c>
    </row>
    <row r="33" customHeight="1" spans="1:17">
      <c r="A33" s="232">
        <v>31</v>
      </c>
      <c r="C33" s="233">
        <v>242510033</v>
      </c>
      <c r="D33" s="233" t="s">
        <v>534</v>
      </c>
      <c r="E33" s="234" t="s">
        <v>3209</v>
      </c>
      <c r="F33" s="234" t="s">
        <v>3157</v>
      </c>
      <c r="G33" s="235" t="s">
        <v>535</v>
      </c>
      <c r="H33" s="234" t="s">
        <v>3124</v>
      </c>
      <c r="I33" s="236" t="s">
        <v>18</v>
      </c>
      <c r="J33" s="232" t="s">
        <v>18</v>
      </c>
      <c r="K33" s="237">
        <v>242510033</v>
      </c>
      <c r="L33" s="237" t="s">
        <v>534</v>
      </c>
      <c r="M33" s="234" t="s">
        <v>3209</v>
      </c>
      <c r="N33" s="234" t="s">
        <v>3157</v>
      </c>
      <c r="O33" s="234" t="s">
        <v>535</v>
      </c>
      <c r="P33" s="234" t="s">
        <v>3124</v>
      </c>
      <c r="Q33" s="232" t="s">
        <v>18</v>
      </c>
    </row>
    <row r="34" customHeight="1" spans="1:17">
      <c r="A34" s="232">
        <v>32</v>
      </c>
      <c r="C34" s="233">
        <v>242510034</v>
      </c>
      <c r="D34" s="233" t="s">
        <v>708</v>
      </c>
      <c r="E34" s="234" t="s">
        <v>3210</v>
      </c>
      <c r="F34" s="234" t="s">
        <v>3211</v>
      </c>
      <c r="G34" s="235" t="s">
        <v>709</v>
      </c>
      <c r="H34" s="234" t="s">
        <v>3150</v>
      </c>
      <c r="I34" s="236" t="s">
        <v>18</v>
      </c>
      <c r="J34" s="232" t="s">
        <v>18</v>
      </c>
      <c r="K34" s="237">
        <v>242510034</v>
      </c>
      <c r="L34" s="237" t="s">
        <v>708</v>
      </c>
      <c r="M34" s="234" t="s">
        <v>3210</v>
      </c>
      <c r="N34" s="234" t="s">
        <v>3211</v>
      </c>
      <c r="O34" s="234" t="s">
        <v>709</v>
      </c>
      <c r="P34" s="234" t="s">
        <v>3150</v>
      </c>
      <c r="Q34" s="232" t="s">
        <v>18</v>
      </c>
    </row>
    <row r="35" customHeight="1" spans="1:17">
      <c r="A35" s="232">
        <v>33</v>
      </c>
      <c r="C35" s="233">
        <v>242510035</v>
      </c>
      <c r="D35" s="233" t="s">
        <v>536</v>
      </c>
      <c r="E35" s="234" t="s">
        <v>3212</v>
      </c>
      <c r="F35" s="234" t="s">
        <v>3213</v>
      </c>
      <c r="G35" s="235" t="s">
        <v>537</v>
      </c>
      <c r="H35" s="234" t="s">
        <v>3124</v>
      </c>
      <c r="I35" s="236" t="s">
        <v>23</v>
      </c>
      <c r="J35" s="232" t="s">
        <v>23</v>
      </c>
      <c r="K35" s="237">
        <v>242510035</v>
      </c>
      <c r="L35" s="237" t="s">
        <v>536</v>
      </c>
      <c r="M35" s="234" t="s">
        <v>3212</v>
      </c>
      <c r="N35" s="234" t="s">
        <v>3213</v>
      </c>
      <c r="O35" s="234" t="s">
        <v>537</v>
      </c>
      <c r="P35" s="234" t="s">
        <v>3124</v>
      </c>
      <c r="Q35" s="232" t="s">
        <v>23</v>
      </c>
    </row>
    <row r="36" customHeight="1" spans="1:17">
      <c r="A36" s="232">
        <v>34</v>
      </c>
      <c r="C36" s="233">
        <v>242510036</v>
      </c>
      <c r="D36" s="233" t="s">
        <v>640</v>
      </c>
      <c r="E36" s="234" t="s">
        <v>3214</v>
      </c>
      <c r="F36" s="234" t="s">
        <v>3215</v>
      </c>
      <c r="G36" s="235" t="s">
        <v>641</v>
      </c>
      <c r="H36" s="234" t="s">
        <v>3124</v>
      </c>
      <c r="I36" s="236" t="s">
        <v>23</v>
      </c>
      <c r="J36" s="232" t="s">
        <v>23</v>
      </c>
      <c r="K36" s="237">
        <v>242510036</v>
      </c>
      <c r="L36" s="237" t="s">
        <v>640</v>
      </c>
      <c r="M36" s="234" t="s">
        <v>3214</v>
      </c>
      <c r="N36" s="234" t="s">
        <v>3215</v>
      </c>
      <c r="O36" s="234" t="s">
        <v>641</v>
      </c>
      <c r="P36" s="234" t="s">
        <v>3124</v>
      </c>
      <c r="Q36" s="232" t="s">
        <v>23</v>
      </c>
    </row>
    <row r="37" customHeight="1" spans="1:17">
      <c r="A37" s="232">
        <v>35</v>
      </c>
      <c r="C37" s="233">
        <v>242510037</v>
      </c>
      <c r="D37" s="233" t="s">
        <v>454</v>
      </c>
      <c r="E37" s="234" t="s">
        <v>3216</v>
      </c>
      <c r="F37" s="234" t="s">
        <v>3217</v>
      </c>
      <c r="G37" s="235" t="s">
        <v>455</v>
      </c>
      <c r="H37" s="234" t="s">
        <v>3218</v>
      </c>
      <c r="I37" s="236" t="s">
        <v>18</v>
      </c>
      <c r="J37" s="232" t="s">
        <v>18</v>
      </c>
      <c r="K37" s="237">
        <v>242510037</v>
      </c>
      <c r="L37" s="237" t="s">
        <v>454</v>
      </c>
      <c r="M37" s="234" t="s">
        <v>3216</v>
      </c>
      <c r="N37" s="234" t="s">
        <v>3217</v>
      </c>
      <c r="O37" s="234" t="s">
        <v>455</v>
      </c>
      <c r="P37" s="234" t="s">
        <v>3218</v>
      </c>
      <c r="Q37" s="232" t="s">
        <v>18</v>
      </c>
    </row>
    <row r="38" customHeight="1" spans="1:17">
      <c r="A38" s="232">
        <v>36</v>
      </c>
      <c r="C38" s="233">
        <v>242510038</v>
      </c>
      <c r="D38" s="233" t="s">
        <v>724</v>
      </c>
      <c r="E38" s="234" t="s">
        <v>3219</v>
      </c>
      <c r="F38" s="234" t="s">
        <v>3220</v>
      </c>
      <c r="G38" s="235" t="s">
        <v>725</v>
      </c>
      <c r="H38" s="235" t="s">
        <v>3124</v>
      </c>
      <c r="I38" s="236" t="s">
        <v>18</v>
      </c>
      <c r="J38" s="232" t="s">
        <v>18</v>
      </c>
      <c r="K38" s="237">
        <v>242510038</v>
      </c>
      <c r="L38" s="237" t="s">
        <v>724</v>
      </c>
      <c r="M38" s="234" t="s">
        <v>3219</v>
      </c>
      <c r="N38" s="234" t="s">
        <v>3220</v>
      </c>
      <c r="O38" s="234" t="s">
        <v>725</v>
      </c>
      <c r="P38" s="234" t="s">
        <v>3124</v>
      </c>
      <c r="Q38" s="232" t="s">
        <v>18</v>
      </c>
    </row>
    <row r="39" customHeight="1" spans="1:17">
      <c r="A39" s="232">
        <v>37</v>
      </c>
      <c r="C39" s="233">
        <v>242510039</v>
      </c>
      <c r="D39" s="233" t="s">
        <v>888</v>
      </c>
      <c r="E39" s="234" t="s">
        <v>3221</v>
      </c>
      <c r="F39" s="234" t="s">
        <v>3222</v>
      </c>
      <c r="G39" s="235" t="s">
        <v>889</v>
      </c>
      <c r="H39" s="234" t="s">
        <v>3124</v>
      </c>
      <c r="I39" s="236" t="s">
        <v>23</v>
      </c>
      <c r="J39" s="232" t="s">
        <v>23</v>
      </c>
      <c r="K39" s="237">
        <v>242510039</v>
      </c>
      <c r="L39" s="237" t="s">
        <v>888</v>
      </c>
      <c r="M39" s="234" t="s">
        <v>3221</v>
      </c>
      <c r="N39" s="234" t="s">
        <v>3222</v>
      </c>
      <c r="O39" s="234" t="s">
        <v>889</v>
      </c>
      <c r="P39" s="234" t="s">
        <v>3124</v>
      </c>
      <c r="Q39" s="232" t="s">
        <v>23</v>
      </c>
    </row>
    <row r="40" customHeight="1" spans="1:17">
      <c r="A40" s="232">
        <v>38</v>
      </c>
      <c r="C40" s="233">
        <v>242510040</v>
      </c>
      <c r="D40" s="233" t="s">
        <v>462</v>
      </c>
      <c r="E40" s="234" t="s">
        <v>3223</v>
      </c>
      <c r="F40" s="234" t="s">
        <v>3224</v>
      </c>
      <c r="G40" s="235" t="s">
        <v>463</v>
      </c>
      <c r="H40" s="234" t="s">
        <v>3124</v>
      </c>
      <c r="I40" s="236" t="s">
        <v>18</v>
      </c>
      <c r="J40" s="232" t="s">
        <v>18</v>
      </c>
      <c r="K40" s="237">
        <v>242510040</v>
      </c>
      <c r="L40" s="237" t="s">
        <v>462</v>
      </c>
      <c r="M40" s="234" t="s">
        <v>3223</v>
      </c>
      <c r="N40" s="234" t="s">
        <v>3224</v>
      </c>
      <c r="O40" s="234" t="s">
        <v>463</v>
      </c>
      <c r="P40" s="234" t="s">
        <v>3124</v>
      </c>
      <c r="Q40" s="232" t="s">
        <v>18</v>
      </c>
    </row>
    <row r="41" customHeight="1" spans="1:17">
      <c r="A41" s="232">
        <v>39</v>
      </c>
      <c r="C41" s="233">
        <v>242510041</v>
      </c>
      <c r="D41" s="233" t="s">
        <v>100</v>
      </c>
      <c r="E41" s="234" t="s">
        <v>3225</v>
      </c>
      <c r="F41" s="234" t="s">
        <v>3226</v>
      </c>
      <c r="G41" s="235" t="s">
        <v>101</v>
      </c>
      <c r="H41" s="234" t="s">
        <v>3124</v>
      </c>
      <c r="I41" s="236" t="s">
        <v>18</v>
      </c>
      <c r="J41" s="232" t="s">
        <v>18</v>
      </c>
      <c r="K41" s="237">
        <v>242510041</v>
      </c>
      <c r="L41" s="237" t="s">
        <v>100</v>
      </c>
      <c r="M41" s="234" t="s">
        <v>3225</v>
      </c>
      <c r="N41" s="234" t="s">
        <v>3226</v>
      </c>
      <c r="O41" s="234" t="s">
        <v>101</v>
      </c>
      <c r="P41" s="234" t="s">
        <v>3124</v>
      </c>
      <c r="Q41" s="232" t="s">
        <v>18</v>
      </c>
    </row>
    <row r="42" customHeight="1" spans="1:17">
      <c r="A42" s="232">
        <v>1</v>
      </c>
      <c r="C42" s="233">
        <v>242510042</v>
      </c>
      <c r="D42" s="233" t="s">
        <v>254</v>
      </c>
      <c r="E42" s="234" t="s">
        <v>3227</v>
      </c>
      <c r="F42" s="234" t="s">
        <v>3228</v>
      </c>
      <c r="G42" s="235" t="s">
        <v>255</v>
      </c>
      <c r="H42" s="234" t="s">
        <v>3203</v>
      </c>
      <c r="I42" s="236" t="s">
        <v>23</v>
      </c>
      <c r="J42" s="232" t="s">
        <v>23</v>
      </c>
      <c r="K42" s="237">
        <v>242510042</v>
      </c>
      <c r="L42" s="237" t="s">
        <v>254</v>
      </c>
      <c r="M42" s="234" t="s">
        <v>3227</v>
      </c>
      <c r="N42" s="234" t="s">
        <v>3228</v>
      </c>
      <c r="O42" s="234" t="s">
        <v>255</v>
      </c>
      <c r="P42" s="234" t="s">
        <v>3203</v>
      </c>
      <c r="Q42" s="232" t="s">
        <v>23</v>
      </c>
    </row>
    <row r="43" customHeight="1" spans="1:17">
      <c r="A43" s="232">
        <v>2</v>
      </c>
      <c r="C43" s="233">
        <v>242510043</v>
      </c>
      <c r="D43" s="233" t="s">
        <v>108</v>
      </c>
      <c r="E43" s="234" t="s">
        <v>3229</v>
      </c>
      <c r="F43" s="234" t="s">
        <v>3230</v>
      </c>
      <c r="G43" s="235" t="s">
        <v>109</v>
      </c>
      <c r="H43" s="234" t="s">
        <v>3231</v>
      </c>
      <c r="I43" s="236" t="s">
        <v>23</v>
      </c>
      <c r="J43" s="232" t="s">
        <v>23</v>
      </c>
      <c r="K43" s="237">
        <v>242510043</v>
      </c>
      <c r="L43" s="237" t="s">
        <v>108</v>
      </c>
      <c r="M43" s="234" t="s">
        <v>3229</v>
      </c>
      <c r="N43" s="234" t="s">
        <v>3230</v>
      </c>
      <c r="O43" s="234" t="s">
        <v>109</v>
      </c>
      <c r="P43" s="234" t="s">
        <v>3231</v>
      </c>
      <c r="Q43" s="232" t="s">
        <v>23</v>
      </c>
    </row>
    <row r="44" customHeight="1" spans="1:17">
      <c r="A44" s="232">
        <v>3</v>
      </c>
      <c r="C44" s="233">
        <v>242510044</v>
      </c>
      <c r="D44" s="233" t="s">
        <v>670</v>
      </c>
      <c r="E44" s="234" t="s">
        <v>3232</v>
      </c>
      <c r="F44" s="234" t="s">
        <v>3233</v>
      </c>
      <c r="G44" s="235" t="s">
        <v>671</v>
      </c>
      <c r="H44" s="235" t="s">
        <v>3124</v>
      </c>
      <c r="I44" s="236" t="s">
        <v>18</v>
      </c>
      <c r="J44" s="232" t="s">
        <v>18</v>
      </c>
      <c r="K44" s="237">
        <v>242510044</v>
      </c>
      <c r="L44" s="237" t="s">
        <v>670</v>
      </c>
      <c r="M44" s="234" t="s">
        <v>3232</v>
      </c>
      <c r="N44" s="234" t="s">
        <v>3233</v>
      </c>
      <c r="O44" s="234" t="s">
        <v>671</v>
      </c>
      <c r="P44" s="234" t="s">
        <v>3124</v>
      </c>
      <c r="Q44" s="232" t="s">
        <v>18</v>
      </c>
    </row>
    <row r="45" customHeight="1" spans="1:17">
      <c r="A45" s="232">
        <v>4</v>
      </c>
      <c r="C45" s="233">
        <v>242510045</v>
      </c>
      <c r="D45" s="233" t="s">
        <v>758</v>
      </c>
      <c r="E45" s="234" t="s">
        <v>3234</v>
      </c>
      <c r="F45" s="234" t="s">
        <v>3235</v>
      </c>
      <c r="G45" s="235" t="s">
        <v>759</v>
      </c>
      <c r="H45" s="234" t="s">
        <v>3124</v>
      </c>
      <c r="I45" s="236" t="s">
        <v>23</v>
      </c>
      <c r="J45" s="232" t="s">
        <v>23</v>
      </c>
      <c r="K45" s="237">
        <v>242510045</v>
      </c>
      <c r="L45" s="237" t="s">
        <v>758</v>
      </c>
      <c r="M45" s="234" t="s">
        <v>3234</v>
      </c>
      <c r="N45" s="234" t="s">
        <v>3235</v>
      </c>
      <c r="O45" s="234" t="s">
        <v>759</v>
      </c>
      <c r="P45" s="234" t="s">
        <v>3124</v>
      </c>
      <c r="Q45" s="232" t="s">
        <v>23</v>
      </c>
    </row>
    <row r="46" customHeight="1" spans="1:17">
      <c r="A46" s="232">
        <v>5</v>
      </c>
      <c r="C46" s="233">
        <v>242510046</v>
      </c>
      <c r="D46" s="233" t="s">
        <v>116</v>
      </c>
      <c r="E46" s="234" t="s">
        <v>3236</v>
      </c>
      <c r="F46" s="234" t="s">
        <v>3237</v>
      </c>
      <c r="G46" s="235" t="s">
        <v>117</v>
      </c>
      <c r="H46" s="234" t="s">
        <v>3150</v>
      </c>
      <c r="I46" s="236" t="s">
        <v>23</v>
      </c>
      <c r="J46" s="232" t="s">
        <v>23</v>
      </c>
      <c r="K46" s="237">
        <v>242510046</v>
      </c>
      <c r="L46" s="237" t="s">
        <v>116</v>
      </c>
      <c r="M46" s="234" t="s">
        <v>3236</v>
      </c>
      <c r="N46" s="234" t="s">
        <v>3237</v>
      </c>
      <c r="O46" s="234" t="s">
        <v>117</v>
      </c>
      <c r="P46" s="234" t="s">
        <v>3150</v>
      </c>
      <c r="Q46" s="232" t="s">
        <v>23</v>
      </c>
    </row>
    <row r="47" customHeight="1" spans="1:17">
      <c r="A47" s="232">
        <v>6</v>
      </c>
      <c r="C47" s="233">
        <v>242510047</v>
      </c>
      <c r="D47" s="233" t="s">
        <v>3238</v>
      </c>
      <c r="E47" s="234" t="s">
        <v>3239</v>
      </c>
      <c r="F47" s="234" t="s">
        <v>3240</v>
      </c>
      <c r="G47" s="235" t="s">
        <v>3241</v>
      </c>
      <c r="H47" s="234" t="s">
        <v>3124</v>
      </c>
      <c r="I47" s="236" t="s">
        <v>23</v>
      </c>
      <c r="J47" s="232" t="s">
        <v>23</v>
      </c>
      <c r="K47" s="237">
        <v>242510047</v>
      </c>
      <c r="L47" s="237" t="s">
        <v>3238</v>
      </c>
      <c r="M47" s="234" t="s">
        <v>3239</v>
      </c>
      <c r="N47" s="234" t="s">
        <v>3240</v>
      </c>
      <c r="O47" s="234" t="s">
        <v>3241</v>
      </c>
      <c r="P47" s="234" t="s">
        <v>3124</v>
      </c>
      <c r="Q47" s="232" t="s">
        <v>23</v>
      </c>
    </row>
    <row r="48" customHeight="1" spans="1:17">
      <c r="A48" s="232">
        <v>7</v>
      </c>
      <c r="C48" s="233">
        <v>242510048</v>
      </c>
      <c r="D48" s="233" t="s">
        <v>496</v>
      </c>
      <c r="E48" s="234" t="s">
        <v>3242</v>
      </c>
      <c r="F48" s="234" t="s">
        <v>3243</v>
      </c>
      <c r="G48" s="235" t="s">
        <v>497</v>
      </c>
      <c r="H48" s="234" t="s">
        <v>3124</v>
      </c>
      <c r="I48" s="236" t="s">
        <v>18</v>
      </c>
      <c r="J48" s="232" t="s">
        <v>18</v>
      </c>
      <c r="K48" s="237">
        <v>242510048</v>
      </c>
      <c r="L48" s="237" t="s">
        <v>496</v>
      </c>
      <c r="M48" s="234" t="s">
        <v>3242</v>
      </c>
      <c r="N48" s="234" t="s">
        <v>3243</v>
      </c>
      <c r="O48" s="234" t="s">
        <v>497</v>
      </c>
      <c r="P48" s="234" t="s">
        <v>3124</v>
      </c>
      <c r="Q48" s="232" t="s">
        <v>18</v>
      </c>
    </row>
    <row r="49" customHeight="1" spans="1:17">
      <c r="A49" s="232">
        <v>8</v>
      </c>
      <c r="C49" s="233">
        <v>242510049</v>
      </c>
      <c r="D49" s="233" t="s">
        <v>354</v>
      </c>
      <c r="E49" s="234" t="s">
        <v>3244</v>
      </c>
      <c r="F49" s="234" t="s">
        <v>3245</v>
      </c>
      <c r="G49" s="235" t="s">
        <v>355</v>
      </c>
      <c r="H49" s="234" t="s">
        <v>3150</v>
      </c>
      <c r="I49" s="236" t="s">
        <v>18</v>
      </c>
      <c r="J49" s="232" t="s">
        <v>18</v>
      </c>
      <c r="K49" s="237">
        <v>242510049</v>
      </c>
      <c r="L49" s="237" t="s">
        <v>354</v>
      </c>
      <c r="M49" s="234" t="s">
        <v>3244</v>
      </c>
      <c r="N49" s="234" t="s">
        <v>3245</v>
      </c>
      <c r="O49" s="234" t="s">
        <v>355</v>
      </c>
      <c r="P49" s="234" t="s">
        <v>3150</v>
      </c>
      <c r="Q49" s="232" t="s">
        <v>18</v>
      </c>
    </row>
    <row r="50" customHeight="1" spans="1:17">
      <c r="A50" s="232">
        <v>9</v>
      </c>
      <c r="C50" s="233">
        <v>242510050</v>
      </c>
      <c r="D50" s="233" t="s">
        <v>50</v>
      </c>
      <c r="E50" s="234" t="s">
        <v>3246</v>
      </c>
      <c r="F50" s="234" t="s">
        <v>3247</v>
      </c>
      <c r="G50" s="235" t="s">
        <v>51</v>
      </c>
      <c r="H50" s="234" t="s">
        <v>3248</v>
      </c>
      <c r="I50" s="236" t="s">
        <v>23</v>
      </c>
      <c r="J50" s="232" t="s">
        <v>23</v>
      </c>
      <c r="K50" s="237">
        <v>242510050</v>
      </c>
      <c r="L50" s="237" t="s">
        <v>50</v>
      </c>
      <c r="M50" s="234" t="s">
        <v>3246</v>
      </c>
      <c r="N50" s="234" t="s">
        <v>3247</v>
      </c>
      <c r="O50" s="234" t="s">
        <v>51</v>
      </c>
      <c r="P50" s="234" t="s">
        <v>3248</v>
      </c>
      <c r="Q50" s="232" t="s">
        <v>23</v>
      </c>
    </row>
    <row r="51" customHeight="1" spans="1:17">
      <c r="A51" s="232">
        <v>10</v>
      </c>
      <c r="C51" s="233">
        <v>242510051</v>
      </c>
      <c r="D51" s="233" t="s">
        <v>500</v>
      </c>
      <c r="E51" s="234" t="s">
        <v>3249</v>
      </c>
      <c r="F51" s="234" t="s">
        <v>3250</v>
      </c>
      <c r="G51" s="235" t="s">
        <v>501</v>
      </c>
      <c r="H51" s="234" t="s">
        <v>3124</v>
      </c>
      <c r="I51" s="236" t="s">
        <v>18</v>
      </c>
      <c r="J51" s="232" t="s">
        <v>18</v>
      </c>
      <c r="K51" s="237">
        <v>242510051</v>
      </c>
      <c r="L51" s="237" t="s">
        <v>500</v>
      </c>
      <c r="M51" s="234" t="s">
        <v>3249</v>
      </c>
      <c r="N51" s="234" t="s">
        <v>3250</v>
      </c>
      <c r="O51" s="234" t="s">
        <v>501</v>
      </c>
      <c r="P51" s="234" t="s">
        <v>3124</v>
      </c>
      <c r="Q51" s="232" t="s">
        <v>18</v>
      </c>
    </row>
    <row r="52" customHeight="1" spans="1:17">
      <c r="A52" s="232">
        <v>11</v>
      </c>
      <c r="C52" s="233">
        <v>242510052</v>
      </c>
      <c r="D52" s="233" t="s">
        <v>680</v>
      </c>
      <c r="E52" s="234" t="s">
        <v>3251</v>
      </c>
      <c r="F52" s="234" t="s">
        <v>3252</v>
      </c>
      <c r="G52" s="235" t="s">
        <v>681</v>
      </c>
      <c r="H52" s="234" t="s">
        <v>3124</v>
      </c>
      <c r="I52" s="236" t="s">
        <v>23</v>
      </c>
      <c r="J52" s="232" t="s">
        <v>23</v>
      </c>
      <c r="K52" s="237">
        <v>242510052</v>
      </c>
      <c r="L52" s="237" t="s">
        <v>680</v>
      </c>
      <c r="M52" s="234" t="s">
        <v>3251</v>
      </c>
      <c r="N52" s="234" t="s">
        <v>3252</v>
      </c>
      <c r="O52" s="234" t="s">
        <v>681</v>
      </c>
      <c r="P52" s="234" t="s">
        <v>3124</v>
      </c>
      <c r="Q52" s="232" t="s">
        <v>23</v>
      </c>
    </row>
    <row r="53" customHeight="1" spans="1:17">
      <c r="A53" s="232">
        <v>12</v>
      </c>
      <c r="C53" s="233">
        <v>242510053</v>
      </c>
      <c r="D53" s="233" t="s">
        <v>280</v>
      </c>
      <c r="E53" s="234" t="s">
        <v>3253</v>
      </c>
      <c r="F53" s="234" t="s">
        <v>3254</v>
      </c>
      <c r="G53" s="235" t="s">
        <v>281</v>
      </c>
      <c r="H53" s="234" t="s">
        <v>3186</v>
      </c>
      <c r="I53" s="236" t="s">
        <v>18</v>
      </c>
      <c r="J53" s="232" t="s">
        <v>18</v>
      </c>
      <c r="K53" s="237">
        <v>242510053</v>
      </c>
      <c r="L53" s="237" t="s">
        <v>280</v>
      </c>
      <c r="M53" s="234" t="s">
        <v>3253</v>
      </c>
      <c r="N53" s="234" t="s">
        <v>3254</v>
      </c>
      <c r="O53" s="234" t="s">
        <v>281</v>
      </c>
      <c r="P53" s="234" t="s">
        <v>3186</v>
      </c>
      <c r="Q53" s="232" t="s">
        <v>18</v>
      </c>
    </row>
    <row r="54" customHeight="1" spans="1:17">
      <c r="A54" s="232">
        <v>13</v>
      </c>
      <c r="C54" s="233">
        <v>242510054</v>
      </c>
      <c r="D54" s="233" t="s">
        <v>786</v>
      </c>
      <c r="E54" s="234" t="s">
        <v>3255</v>
      </c>
      <c r="F54" s="234" t="s">
        <v>3256</v>
      </c>
      <c r="G54" s="235" t="s">
        <v>787</v>
      </c>
      <c r="H54" s="234" t="s">
        <v>3124</v>
      </c>
      <c r="I54" s="236" t="s">
        <v>23</v>
      </c>
      <c r="J54" s="232" t="s">
        <v>23</v>
      </c>
      <c r="K54" s="237">
        <v>242510054</v>
      </c>
      <c r="L54" s="237" t="s">
        <v>786</v>
      </c>
      <c r="M54" s="234" t="s">
        <v>3255</v>
      </c>
      <c r="N54" s="234" t="s">
        <v>3256</v>
      </c>
      <c r="O54" s="234" t="s">
        <v>787</v>
      </c>
      <c r="P54" s="234" t="s">
        <v>3124</v>
      </c>
      <c r="Q54" s="232" t="s">
        <v>23</v>
      </c>
    </row>
    <row r="55" customHeight="1" spans="1:17">
      <c r="A55" s="232">
        <v>14</v>
      </c>
      <c r="C55" s="233">
        <v>242510055</v>
      </c>
      <c r="D55" s="233" t="s">
        <v>58</v>
      </c>
      <c r="E55" s="234" t="s">
        <v>3257</v>
      </c>
      <c r="F55" s="234" t="s">
        <v>3258</v>
      </c>
      <c r="G55" s="235" t="s">
        <v>59</v>
      </c>
      <c r="H55" s="234" t="s">
        <v>3124</v>
      </c>
      <c r="I55" s="236" t="s">
        <v>18</v>
      </c>
      <c r="J55" s="232" t="s">
        <v>18</v>
      </c>
      <c r="K55" s="237">
        <v>242510055</v>
      </c>
      <c r="L55" s="237" t="s">
        <v>58</v>
      </c>
      <c r="M55" s="234" t="s">
        <v>3257</v>
      </c>
      <c r="N55" s="234" t="s">
        <v>3258</v>
      </c>
      <c r="O55" s="234" t="s">
        <v>59</v>
      </c>
      <c r="P55" s="234" t="s">
        <v>3124</v>
      </c>
      <c r="Q55" s="232" t="s">
        <v>18</v>
      </c>
    </row>
    <row r="56" customHeight="1" spans="1:17">
      <c r="A56" s="232">
        <v>15</v>
      </c>
      <c r="C56" s="233">
        <v>242510056</v>
      </c>
      <c r="D56" s="233" t="s">
        <v>138</v>
      </c>
      <c r="E56" s="234" t="s">
        <v>3259</v>
      </c>
      <c r="F56" s="234" t="s">
        <v>3260</v>
      </c>
      <c r="G56" s="235" t="s">
        <v>139</v>
      </c>
      <c r="H56" s="234" t="s">
        <v>3261</v>
      </c>
      <c r="I56" s="236" t="s">
        <v>23</v>
      </c>
      <c r="J56" s="232" t="s">
        <v>23</v>
      </c>
      <c r="K56" s="237">
        <v>242510056</v>
      </c>
      <c r="L56" s="237" t="s">
        <v>138</v>
      </c>
      <c r="M56" s="234" t="s">
        <v>3259</v>
      </c>
      <c r="N56" s="234" t="s">
        <v>3260</v>
      </c>
      <c r="O56" s="234" t="s">
        <v>139</v>
      </c>
      <c r="P56" s="234" t="s">
        <v>3261</v>
      </c>
      <c r="Q56" s="232" t="s">
        <v>23</v>
      </c>
    </row>
    <row r="57" customHeight="1" spans="1:17">
      <c r="A57" s="232">
        <v>16</v>
      </c>
      <c r="C57" s="233">
        <v>242510057</v>
      </c>
      <c r="D57" s="233" t="s">
        <v>520</v>
      </c>
      <c r="E57" s="234" t="s">
        <v>3262</v>
      </c>
      <c r="F57" s="234" t="s">
        <v>3263</v>
      </c>
      <c r="G57" s="235" t="s">
        <v>521</v>
      </c>
      <c r="H57" s="234" t="s">
        <v>3124</v>
      </c>
      <c r="I57" s="236" t="s">
        <v>23</v>
      </c>
      <c r="J57" s="232" t="s">
        <v>23</v>
      </c>
      <c r="K57" s="237">
        <v>242510057</v>
      </c>
      <c r="L57" s="237" t="s">
        <v>520</v>
      </c>
      <c r="M57" s="234" t="s">
        <v>3262</v>
      </c>
      <c r="N57" s="234" t="s">
        <v>3263</v>
      </c>
      <c r="O57" s="234" t="s">
        <v>521</v>
      </c>
      <c r="P57" s="234" t="s">
        <v>3124</v>
      </c>
      <c r="Q57" s="232" t="s">
        <v>23</v>
      </c>
    </row>
    <row r="58" customHeight="1" spans="1:17">
      <c r="A58" s="232">
        <v>17</v>
      </c>
      <c r="C58" s="233">
        <v>242510058</v>
      </c>
      <c r="D58" s="233" t="s">
        <v>444</v>
      </c>
      <c r="E58" s="234" t="s">
        <v>3264</v>
      </c>
      <c r="F58" s="234" t="s">
        <v>3265</v>
      </c>
      <c r="G58" s="235" t="s">
        <v>445</v>
      </c>
      <c r="H58" s="234" t="s">
        <v>3124</v>
      </c>
      <c r="I58" s="236" t="s">
        <v>23</v>
      </c>
      <c r="J58" s="232" t="s">
        <v>23</v>
      </c>
      <c r="K58" s="237">
        <v>242510058</v>
      </c>
      <c r="L58" s="237" t="s">
        <v>444</v>
      </c>
      <c r="M58" s="234" t="s">
        <v>3264</v>
      </c>
      <c r="N58" s="234" t="s">
        <v>3265</v>
      </c>
      <c r="O58" s="234" t="s">
        <v>445</v>
      </c>
      <c r="P58" s="234" t="s">
        <v>3124</v>
      </c>
      <c r="Q58" s="232" t="s">
        <v>23</v>
      </c>
    </row>
    <row r="59" customHeight="1" spans="1:17">
      <c r="A59" s="232">
        <v>18</v>
      </c>
      <c r="C59" s="233">
        <v>242510059</v>
      </c>
      <c r="D59" s="233" t="s">
        <v>702</v>
      </c>
      <c r="E59" s="234" t="s">
        <v>3266</v>
      </c>
      <c r="F59" s="234" t="s">
        <v>3267</v>
      </c>
      <c r="G59" s="235" t="s">
        <v>703</v>
      </c>
      <c r="H59" s="234" t="s">
        <v>3218</v>
      </c>
      <c r="I59" s="236" t="s">
        <v>18</v>
      </c>
      <c r="J59" s="232" t="s">
        <v>18</v>
      </c>
      <c r="K59" s="237">
        <v>242510059</v>
      </c>
      <c r="L59" s="237" t="s">
        <v>702</v>
      </c>
      <c r="M59" s="234" t="s">
        <v>3266</v>
      </c>
      <c r="N59" s="234" t="s">
        <v>3267</v>
      </c>
      <c r="O59" s="234" t="s">
        <v>703</v>
      </c>
      <c r="P59" s="234" t="s">
        <v>3218</v>
      </c>
      <c r="Q59" s="232" t="s">
        <v>18</v>
      </c>
    </row>
    <row r="60" customHeight="1" spans="1:17">
      <c r="A60" s="232">
        <v>19</v>
      </c>
      <c r="C60" s="233">
        <v>242510060</v>
      </c>
      <c r="D60" s="233" t="s">
        <v>152</v>
      </c>
      <c r="E60" s="234" t="s">
        <v>3268</v>
      </c>
      <c r="F60" s="234" t="s">
        <v>3269</v>
      </c>
      <c r="G60" s="235" t="s">
        <v>153</v>
      </c>
      <c r="H60" s="234" t="s">
        <v>3124</v>
      </c>
      <c r="I60" s="236" t="s">
        <v>18</v>
      </c>
      <c r="J60" s="232" t="s">
        <v>18</v>
      </c>
      <c r="K60" s="237">
        <v>242510060</v>
      </c>
      <c r="L60" s="237" t="s">
        <v>152</v>
      </c>
      <c r="M60" s="234" t="s">
        <v>3268</v>
      </c>
      <c r="N60" s="234" t="s">
        <v>3269</v>
      </c>
      <c r="O60" s="234" t="s">
        <v>153</v>
      </c>
      <c r="P60" s="234" t="s">
        <v>3124</v>
      </c>
      <c r="Q60" s="232" t="s">
        <v>18</v>
      </c>
    </row>
    <row r="61" customHeight="1" spans="1:17">
      <c r="A61" s="232">
        <v>20</v>
      </c>
      <c r="C61" s="233">
        <v>242510061</v>
      </c>
      <c r="D61" s="233" t="s">
        <v>67</v>
      </c>
      <c r="E61" s="234" t="s">
        <v>3270</v>
      </c>
      <c r="F61" s="234" t="s">
        <v>3271</v>
      </c>
      <c r="G61" s="235" t="s">
        <v>68</v>
      </c>
      <c r="H61" s="234" t="s">
        <v>3150</v>
      </c>
      <c r="I61" s="236" t="s">
        <v>18</v>
      </c>
      <c r="J61" s="232" t="s">
        <v>18</v>
      </c>
      <c r="K61" s="237">
        <v>242510061</v>
      </c>
      <c r="L61" s="237" t="s">
        <v>67</v>
      </c>
      <c r="M61" s="234" t="s">
        <v>3270</v>
      </c>
      <c r="N61" s="234" t="s">
        <v>3271</v>
      </c>
      <c r="O61" s="234" t="s">
        <v>68</v>
      </c>
      <c r="P61" s="234" t="s">
        <v>3150</v>
      </c>
      <c r="Q61" s="232" t="s">
        <v>18</v>
      </c>
    </row>
    <row r="62" customHeight="1" spans="1:17">
      <c r="A62" s="232">
        <v>21</v>
      </c>
      <c r="C62" s="233">
        <v>242510062</v>
      </c>
      <c r="D62" s="233" t="s">
        <v>69</v>
      </c>
      <c r="E62" s="234" t="s">
        <v>3272</v>
      </c>
      <c r="F62" s="234" t="s">
        <v>3273</v>
      </c>
      <c r="G62" s="235" t="s">
        <v>70</v>
      </c>
      <c r="H62" s="234" t="s">
        <v>3274</v>
      </c>
      <c r="I62" s="236" t="s">
        <v>18</v>
      </c>
      <c r="J62" s="232" t="s">
        <v>18</v>
      </c>
      <c r="K62" s="237">
        <v>242510062</v>
      </c>
      <c r="L62" s="237" t="s">
        <v>69</v>
      </c>
      <c r="M62" s="234" t="s">
        <v>3272</v>
      </c>
      <c r="N62" s="234" t="s">
        <v>3273</v>
      </c>
      <c r="O62" s="234" t="s">
        <v>70</v>
      </c>
      <c r="P62" s="234" t="s">
        <v>3274</v>
      </c>
      <c r="Q62" s="232" t="s">
        <v>18</v>
      </c>
    </row>
    <row r="63" customHeight="1" spans="1:17">
      <c r="A63" s="232">
        <v>22</v>
      </c>
      <c r="C63" s="233">
        <v>242510063</v>
      </c>
      <c r="D63" s="233" t="s">
        <v>230</v>
      </c>
      <c r="E63" s="234" t="s">
        <v>3275</v>
      </c>
      <c r="F63" s="234" t="s">
        <v>3276</v>
      </c>
      <c r="G63" s="235" t="s">
        <v>231</v>
      </c>
      <c r="H63" s="234" t="s">
        <v>3181</v>
      </c>
      <c r="I63" s="236" t="s">
        <v>18</v>
      </c>
      <c r="J63" s="232" t="s">
        <v>18</v>
      </c>
      <c r="K63" s="237">
        <v>242510063</v>
      </c>
      <c r="L63" s="237" t="s">
        <v>230</v>
      </c>
      <c r="M63" s="234" t="s">
        <v>3275</v>
      </c>
      <c r="N63" s="234" t="s">
        <v>3276</v>
      </c>
      <c r="O63" s="234" t="s">
        <v>231</v>
      </c>
      <c r="P63" s="234" t="s">
        <v>3181</v>
      </c>
      <c r="Q63" s="232" t="s">
        <v>18</v>
      </c>
    </row>
    <row r="64" customHeight="1" spans="1:17">
      <c r="A64" s="232">
        <v>23</v>
      </c>
      <c r="C64" s="233">
        <v>242510064</v>
      </c>
      <c r="D64" s="233" t="s">
        <v>530</v>
      </c>
      <c r="E64" s="234" t="s">
        <v>3277</v>
      </c>
      <c r="F64" s="234" t="s">
        <v>3278</v>
      </c>
      <c r="G64" s="235" t="s">
        <v>531</v>
      </c>
      <c r="H64" s="234" t="s">
        <v>3195</v>
      </c>
      <c r="I64" s="236" t="s">
        <v>23</v>
      </c>
      <c r="J64" s="232" t="s">
        <v>23</v>
      </c>
      <c r="K64" s="237">
        <v>242510064</v>
      </c>
      <c r="L64" s="237" t="s">
        <v>530</v>
      </c>
      <c r="M64" s="234" t="s">
        <v>3277</v>
      </c>
      <c r="N64" s="234" t="s">
        <v>3278</v>
      </c>
      <c r="O64" s="234" t="s">
        <v>531</v>
      </c>
      <c r="P64" s="234" t="s">
        <v>3195</v>
      </c>
      <c r="Q64" s="232" t="s">
        <v>23</v>
      </c>
    </row>
    <row r="65" customHeight="1" spans="1:17">
      <c r="A65" s="232">
        <v>24</v>
      </c>
      <c r="C65" s="233">
        <v>242510065</v>
      </c>
      <c r="D65" s="233" t="s">
        <v>628</v>
      </c>
      <c r="E65" s="234" t="s">
        <v>3279</v>
      </c>
      <c r="F65" s="234" t="s">
        <v>3280</v>
      </c>
      <c r="G65" s="235" t="s">
        <v>629</v>
      </c>
      <c r="H65" s="234" t="s">
        <v>3281</v>
      </c>
      <c r="I65" s="239" t="s">
        <v>18</v>
      </c>
      <c r="J65" s="240" t="s">
        <v>18</v>
      </c>
      <c r="K65" s="237">
        <v>242510065</v>
      </c>
      <c r="L65" s="237" t="s">
        <v>628</v>
      </c>
      <c r="M65" s="234" t="s">
        <v>3279</v>
      </c>
      <c r="N65" s="234" t="s">
        <v>3280</v>
      </c>
      <c r="O65" s="234" t="s">
        <v>629</v>
      </c>
      <c r="P65" s="234" t="s">
        <v>3281</v>
      </c>
      <c r="Q65" s="240" t="s">
        <v>18</v>
      </c>
    </row>
    <row r="66" customHeight="1" spans="1:17">
      <c r="A66" s="232">
        <v>25</v>
      </c>
      <c r="C66" s="233">
        <v>242510066</v>
      </c>
      <c r="D66" s="233" t="s">
        <v>236</v>
      </c>
      <c r="E66" s="234" t="s">
        <v>3282</v>
      </c>
      <c r="F66" s="234" t="s">
        <v>3283</v>
      </c>
      <c r="G66" s="235" t="s">
        <v>237</v>
      </c>
      <c r="H66" s="234" t="s">
        <v>3186</v>
      </c>
      <c r="I66" s="236" t="s">
        <v>18</v>
      </c>
      <c r="J66" s="232" t="s">
        <v>18</v>
      </c>
      <c r="K66" s="237">
        <v>242510066</v>
      </c>
      <c r="L66" s="237" t="s">
        <v>236</v>
      </c>
      <c r="M66" s="234" t="s">
        <v>3282</v>
      </c>
      <c r="N66" s="234" t="s">
        <v>3283</v>
      </c>
      <c r="O66" s="234" t="s">
        <v>237</v>
      </c>
      <c r="P66" s="234" t="s">
        <v>3186</v>
      </c>
      <c r="Q66" s="232" t="s">
        <v>18</v>
      </c>
    </row>
    <row r="67" customHeight="1" spans="1:17">
      <c r="A67" s="232">
        <v>26</v>
      </c>
      <c r="C67" s="233">
        <v>242510067</v>
      </c>
      <c r="D67" s="233" t="s">
        <v>372</v>
      </c>
      <c r="E67" s="234" t="s">
        <v>3284</v>
      </c>
      <c r="F67" s="234" t="s">
        <v>3211</v>
      </c>
      <c r="G67" s="235" t="s">
        <v>373</v>
      </c>
      <c r="H67" s="234" t="s">
        <v>3150</v>
      </c>
      <c r="I67" s="236" t="s">
        <v>18</v>
      </c>
      <c r="J67" s="232" t="s">
        <v>18</v>
      </c>
      <c r="K67" s="237">
        <v>242510067</v>
      </c>
      <c r="L67" s="237" t="s">
        <v>372</v>
      </c>
      <c r="M67" s="234" t="s">
        <v>3284</v>
      </c>
      <c r="N67" s="234" t="s">
        <v>3211</v>
      </c>
      <c r="O67" s="234" t="s">
        <v>373</v>
      </c>
      <c r="P67" s="234" t="s">
        <v>3150</v>
      </c>
      <c r="Q67" s="232" t="s">
        <v>18</v>
      </c>
    </row>
    <row r="68" customHeight="1" spans="1:17">
      <c r="A68" s="232">
        <v>27</v>
      </c>
      <c r="C68" s="233">
        <v>242510068</v>
      </c>
      <c r="D68" s="233" t="s">
        <v>806</v>
      </c>
      <c r="E68" s="234" t="s">
        <v>3285</v>
      </c>
      <c r="F68" s="234" t="s">
        <v>3286</v>
      </c>
      <c r="G68" s="235" t="s">
        <v>807</v>
      </c>
      <c r="H68" s="234" t="s">
        <v>3287</v>
      </c>
      <c r="I68" s="236" t="s">
        <v>18</v>
      </c>
      <c r="J68" s="232" t="s">
        <v>18</v>
      </c>
      <c r="K68" s="237">
        <v>242510068</v>
      </c>
      <c r="L68" s="237" t="s">
        <v>806</v>
      </c>
      <c r="M68" s="234" t="s">
        <v>3285</v>
      </c>
      <c r="N68" s="234" t="s">
        <v>3286</v>
      </c>
      <c r="O68" s="234" t="s">
        <v>807</v>
      </c>
      <c r="P68" s="234" t="s">
        <v>3287</v>
      </c>
      <c r="Q68" s="232" t="s">
        <v>18</v>
      </c>
    </row>
    <row r="69" customHeight="1" spans="1:17">
      <c r="A69" s="232">
        <v>28</v>
      </c>
      <c r="C69" s="233">
        <v>242510069</v>
      </c>
      <c r="D69" s="233" t="s">
        <v>712</v>
      </c>
      <c r="E69" s="241" t="s">
        <v>3288</v>
      </c>
      <c r="F69" s="241" t="s">
        <v>3289</v>
      </c>
      <c r="G69" s="235" t="s">
        <v>713</v>
      </c>
      <c r="H69" s="241" t="s">
        <v>3290</v>
      </c>
      <c r="I69" s="242" t="s">
        <v>18</v>
      </c>
      <c r="J69" s="232" t="s">
        <v>18</v>
      </c>
      <c r="K69" s="237">
        <v>242510069</v>
      </c>
      <c r="L69" s="237" t="s">
        <v>712</v>
      </c>
      <c r="M69" s="234" t="s">
        <v>3288</v>
      </c>
      <c r="N69" s="234" t="s">
        <v>3289</v>
      </c>
      <c r="O69" s="234" t="s">
        <v>713</v>
      </c>
      <c r="P69" s="234" t="s">
        <v>3290</v>
      </c>
      <c r="Q69" s="232" t="s">
        <v>18</v>
      </c>
    </row>
    <row r="70" customHeight="1" spans="1:17">
      <c r="A70" s="232">
        <v>29</v>
      </c>
      <c r="C70" s="233">
        <v>242510070</v>
      </c>
      <c r="D70" s="233" t="s">
        <v>79</v>
      </c>
      <c r="E70" s="234"/>
      <c r="F70" s="234"/>
      <c r="G70" s="235" t="s">
        <v>80</v>
      </c>
      <c r="H70" s="234"/>
      <c r="I70" s="236" t="s">
        <v>23</v>
      </c>
      <c r="J70" s="232" t="s">
        <v>23</v>
      </c>
      <c r="K70" s="237">
        <v>242510070</v>
      </c>
      <c r="L70" s="237" t="s">
        <v>79</v>
      </c>
      <c r="M70" s="234"/>
      <c r="N70" s="234"/>
      <c r="O70" s="234" t="s">
        <v>80</v>
      </c>
      <c r="P70" s="234"/>
      <c r="Q70" s="232" t="s">
        <v>23</v>
      </c>
    </row>
    <row r="71" customHeight="1" spans="1:17">
      <c r="A71" s="232">
        <v>30</v>
      </c>
      <c r="C71" s="233">
        <v>242510071</v>
      </c>
      <c r="D71" s="233" t="s">
        <v>302</v>
      </c>
      <c r="E71" s="234" t="s">
        <v>3291</v>
      </c>
      <c r="F71" s="234" t="s">
        <v>3292</v>
      </c>
      <c r="G71" s="235" t="s">
        <v>303</v>
      </c>
      <c r="H71" s="234" t="s">
        <v>3203</v>
      </c>
      <c r="I71" s="236" t="s">
        <v>18</v>
      </c>
      <c r="J71" s="232" t="s">
        <v>18</v>
      </c>
      <c r="K71" s="237">
        <v>242510071</v>
      </c>
      <c r="L71" s="237" t="s">
        <v>302</v>
      </c>
      <c r="M71" s="234" t="s">
        <v>3291</v>
      </c>
      <c r="N71" s="234" t="s">
        <v>3292</v>
      </c>
      <c r="O71" s="234" t="s">
        <v>303</v>
      </c>
      <c r="P71" s="234" t="s">
        <v>3203</v>
      </c>
      <c r="Q71" s="232" t="s">
        <v>18</v>
      </c>
    </row>
    <row r="72" customHeight="1" spans="1:17">
      <c r="A72" s="232">
        <v>31</v>
      </c>
      <c r="C72" s="233">
        <v>242510072</v>
      </c>
      <c r="D72" s="233" t="s">
        <v>544</v>
      </c>
      <c r="E72" s="234" t="s">
        <v>3293</v>
      </c>
      <c r="F72" s="234" t="s">
        <v>3294</v>
      </c>
      <c r="G72" s="235" t="s">
        <v>545</v>
      </c>
      <c r="H72" s="235" t="s">
        <v>3124</v>
      </c>
      <c r="I72" s="236" t="s">
        <v>18</v>
      </c>
      <c r="J72" s="232" t="s">
        <v>18</v>
      </c>
      <c r="K72" s="237">
        <v>242510072</v>
      </c>
      <c r="L72" s="237" t="s">
        <v>544</v>
      </c>
      <c r="M72" s="234" t="s">
        <v>3293</v>
      </c>
      <c r="N72" s="234" t="s">
        <v>3294</v>
      </c>
      <c r="O72" s="234" t="s">
        <v>545</v>
      </c>
      <c r="P72" s="234" t="s">
        <v>3124</v>
      </c>
      <c r="Q72" s="232" t="s">
        <v>18</v>
      </c>
    </row>
    <row r="73" customHeight="1" spans="1:17">
      <c r="A73" s="232">
        <v>32</v>
      </c>
      <c r="C73" s="233">
        <v>242510073</v>
      </c>
      <c r="D73" s="233" t="s">
        <v>638</v>
      </c>
      <c r="E73" s="234" t="s">
        <v>3295</v>
      </c>
      <c r="F73" s="234" t="s">
        <v>3296</v>
      </c>
      <c r="G73" s="235" t="s">
        <v>639</v>
      </c>
      <c r="H73" s="234" t="s">
        <v>3218</v>
      </c>
      <c r="I73" s="236" t="s">
        <v>23</v>
      </c>
      <c r="J73" s="232" t="s">
        <v>23</v>
      </c>
      <c r="K73" s="237">
        <v>242510073</v>
      </c>
      <c r="L73" s="237" t="s">
        <v>638</v>
      </c>
      <c r="M73" s="234" t="s">
        <v>3295</v>
      </c>
      <c r="N73" s="234" t="s">
        <v>3296</v>
      </c>
      <c r="O73" s="234" t="s">
        <v>639</v>
      </c>
      <c r="P73" s="234" t="s">
        <v>3218</v>
      </c>
      <c r="Q73" s="232" t="s">
        <v>23</v>
      </c>
    </row>
    <row r="74" customHeight="1" spans="1:17">
      <c r="A74" s="232">
        <v>33</v>
      </c>
      <c r="C74" s="233">
        <v>242510074</v>
      </c>
      <c r="D74" s="233" t="s">
        <v>720</v>
      </c>
      <c r="E74" s="234" t="s">
        <v>3297</v>
      </c>
      <c r="F74" s="234" t="s">
        <v>3277</v>
      </c>
      <c r="G74" s="235" t="s">
        <v>721</v>
      </c>
      <c r="H74" s="234" t="s">
        <v>3124</v>
      </c>
      <c r="I74" s="236" t="s">
        <v>18</v>
      </c>
      <c r="J74" s="232" t="s">
        <v>18</v>
      </c>
      <c r="K74" s="237">
        <v>242510074</v>
      </c>
      <c r="L74" s="237" t="s">
        <v>720</v>
      </c>
      <c r="M74" s="234" t="s">
        <v>3297</v>
      </c>
      <c r="N74" s="234" t="s">
        <v>3277</v>
      </c>
      <c r="O74" s="234" t="s">
        <v>721</v>
      </c>
      <c r="P74" s="234" t="s">
        <v>3124</v>
      </c>
      <c r="Q74" s="232" t="s">
        <v>18</v>
      </c>
    </row>
    <row r="75" customHeight="1" spans="1:17">
      <c r="A75" s="232">
        <v>34</v>
      </c>
      <c r="C75" s="233">
        <v>242510075</v>
      </c>
      <c r="D75" s="233" t="s">
        <v>160</v>
      </c>
      <c r="E75" s="234" t="s">
        <v>3298</v>
      </c>
      <c r="F75" s="234" t="s">
        <v>3299</v>
      </c>
      <c r="G75" s="235" t="s">
        <v>161</v>
      </c>
      <c r="H75" s="234" t="s">
        <v>3124</v>
      </c>
      <c r="I75" s="236" t="s">
        <v>18</v>
      </c>
      <c r="J75" s="232" t="s">
        <v>18</v>
      </c>
      <c r="K75" s="237">
        <v>242510075</v>
      </c>
      <c r="L75" s="237" t="s">
        <v>160</v>
      </c>
      <c r="M75" s="234" t="s">
        <v>3298</v>
      </c>
      <c r="N75" s="234" t="s">
        <v>3299</v>
      </c>
      <c r="O75" s="234" t="s">
        <v>161</v>
      </c>
      <c r="P75" s="234" t="s">
        <v>3124</v>
      </c>
      <c r="Q75" s="232" t="s">
        <v>18</v>
      </c>
    </row>
    <row r="76" customHeight="1" spans="1:17">
      <c r="A76" s="232">
        <v>35</v>
      </c>
      <c r="C76" s="233">
        <v>242510076</v>
      </c>
      <c r="D76" s="233" t="s">
        <v>722</v>
      </c>
      <c r="E76" s="234" t="s">
        <v>3300</v>
      </c>
      <c r="F76" s="234" t="s">
        <v>3301</v>
      </c>
      <c r="G76" s="235" t="s">
        <v>723</v>
      </c>
      <c r="H76" s="234" t="s">
        <v>3124</v>
      </c>
      <c r="I76" s="236" t="s">
        <v>23</v>
      </c>
      <c r="J76" s="232" t="s">
        <v>23</v>
      </c>
      <c r="K76" s="237">
        <v>242510076</v>
      </c>
      <c r="L76" s="237" t="s">
        <v>722</v>
      </c>
      <c r="M76" s="234" t="s">
        <v>3300</v>
      </c>
      <c r="N76" s="234" t="s">
        <v>3301</v>
      </c>
      <c r="O76" s="234" t="s">
        <v>723</v>
      </c>
      <c r="P76" s="234" t="s">
        <v>3124</v>
      </c>
      <c r="Q76" s="232" t="s">
        <v>23</v>
      </c>
    </row>
    <row r="77" customHeight="1" spans="1:17">
      <c r="A77" s="232">
        <v>36</v>
      </c>
      <c r="C77" s="233">
        <v>242510077</v>
      </c>
      <c r="D77" s="233" t="s">
        <v>646</v>
      </c>
      <c r="E77" s="234" t="s">
        <v>3302</v>
      </c>
      <c r="F77" s="234" t="s">
        <v>3303</v>
      </c>
      <c r="G77" s="235" t="s">
        <v>647</v>
      </c>
      <c r="H77" s="234" t="s">
        <v>3124</v>
      </c>
      <c r="I77" s="236" t="s">
        <v>18</v>
      </c>
      <c r="J77" s="232" t="s">
        <v>18</v>
      </c>
      <c r="K77" s="237">
        <v>242510077</v>
      </c>
      <c r="L77" s="237" t="s">
        <v>646</v>
      </c>
      <c r="M77" s="234" t="s">
        <v>3302</v>
      </c>
      <c r="N77" s="234" t="s">
        <v>3303</v>
      </c>
      <c r="O77" s="234" t="s">
        <v>647</v>
      </c>
      <c r="P77" s="234" t="s">
        <v>3124</v>
      </c>
      <c r="Q77" s="232" t="s">
        <v>18</v>
      </c>
    </row>
    <row r="78" customHeight="1" spans="1:17">
      <c r="A78" s="232">
        <v>37</v>
      </c>
      <c r="C78" s="233">
        <v>242510078</v>
      </c>
      <c r="D78" s="233" t="s">
        <v>244</v>
      </c>
      <c r="E78" s="234" t="s">
        <v>3304</v>
      </c>
      <c r="F78" s="234" t="s">
        <v>3305</v>
      </c>
      <c r="G78" s="238" t="s">
        <v>245</v>
      </c>
      <c r="H78" s="234" t="s">
        <v>3189</v>
      </c>
      <c r="I78" s="236" t="s">
        <v>18</v>
      </c>
      <c r="J78" s="232" t="s">
        <v>18</v>
      </c>
      <c r="K78" s="237">
        <v>242510078</v>
      </c>
      <c r="L78" s="237" t="s">
        <v>244</v>
      </c>
      <c r="M78" s="234" t="s">
        <v>3306</v>
      </c>
      <c r="N78" s="234" t="s">
        <v>3307</v>
      </c>
      <c r="O78" s="234" t="s">
        <v>245</v>
      </c>
      <c r="P78" s="234" t="s">
        <v>3208</v>
      </c>
      <c r="Q78" s="232" t="s">
        <v>18</v>
      </c>
    </row>
    <row r="79" customHeight="1" spans="1:17">
      <c r="A79" s="232">
        <v>38</v>
      </c>
      <c r="C79" s="233">
        <v>242510079</v>
      </c>
      <c r="D79" s="233" t="s">
        <v>312</v>
      </c>
      <c r="E79" s="234" t="s">
        <v>3308</v>
      </c>
      <c r="F79" s="234" t="s">
        <v>3309</v>
      </c>
      <c r="G79" s="235" t="s">
        <v>313</v>
      </c>
      <c r="H79" s="234" t="s">
        <v>3129</v>
      </c>
      <c r="I79" s="236" t="s">
        <v>18</v>
      </c>
      <c r="J79" s="232" t="s">
        <v>18</v>
      </c>
      <c r="K79" s="237">
        <v>242510079</v>
      </c>
      <c r="L79" s="237" t="s">
        <v>312</v>
      </c>
      <c r="M79" s="234" t="s">
        <v>3308</v>
      </c>
      <c r="N79" s="234" t="s">
        <v>3309</v>
      </c>
      <c r="O79" s="234" t="s">
        <v>313</v>
      </c>
      <c r="P79" s="234" t="s">
        <v>3129</v>
      </c>
      <c r="Q79" s="232" t="s">
        <v>18</v>
      </c>
    </row>
    <row r="80" customHeight="1" spans="1:17">
      <c r="A80" s="232">
        <v>1</v>
      </c>
      <c r="C80" s="233">
        <v>242510080</v>
      </c>
      <c r="D80" s="233" t="s">
        <v>314</v>
      </c>
      <c r="E80" s="234" t="s">
        <v>3310</v>
      </c>
      <c r="F80" s="234" t="s">
        <v>3311</v>
      </c>
      <c r="G80" s="235" t="s">
        <v>315</v>
      </c>
      <c r="H80" s="234" t="s">
        <v>3312</v>
      </c>
      <c r="I80" s="239" t="s">
        <v>23</v>
      </c>
      <c r="J80" s="240" t="s">
        <v>23</v>
      </c>
      <c r="K80" s="243">
        <v>242510080</v>
      </c>
      <c r="L80" s="237" t="s">
        <v>314</v>
      </c>
      <c r="M80" s="234" t="s">
        <v>3310</v>
      </c>
      <c r="N80" s="234" t="s">
        <v>3311</v>
      </c>
      <c r="O80" s="234" t="s">
        <v>315</v>
      </c>
      <c r="P80" s="234" t="s">
        <v>3312</v>
      </c>
      <c r="Q80" s="240" t="s">
        <v>23</v>
      </c>
    </row>
    <row r="81" customHeight="1" spans="1:17">
      <c r="A81" s="232">
        <v>2</v>
      </c>
      <c r="C81" s="233">
        <v>242510081</v>
      </c>
      <c r="D81" s="233" t="s">
        <v>474</v>
      </c>
      <c r="E81" s="234" t="s">
        <v>3313</v>
      </c>
      <c r="F81" s="234" t="s">
        <v>3314</v>
      </c>
      <c r="G81" s="235" t="s">
        <v>475</v>
      </c>
      <c r="H81" s="234" t="s">
        <v>3150</v>
      </c>
      <c r="I81" s="236" t="s">
        <v>23</v>
      </c>
      <c r="J81" s="232" t="s">
        <v>23</v>
      </c>
      <c r="K81" s="237">
        <v>242510081</v>
      </c>
      <c r="L81" s="237" t="s">
        <v>474</v>
      </c>
      <c r="M81" s="234" t="s">
        <v>3313</v>
      </c>
      <c r="N81" s="234" t="s">
        <v>3314</v>
      </c>
      <c r="O81" s="234" t="s">
        <v>475</v>
      </c>
      <c r="P81" s="234" t="s">
        <v>3150</v>
      </c>
      <c r="Q81" s="232" t="s">
        <v>23</v>
      </c>
    </row>
    <row r="82" customHeight="1" spans="1:17">
      <c r="A82" s="232">
        <v>3</v>
      </c>
      <c r="C82" s="233">
        <v>242510082</v>
      </c>
      <c r="D82" s="233" t="s">
        <v>172</v>
      </c>
      <c r="E82" s="234" t="s">
        <v>3315</v>
      </c>
      <c r="F82" s="234" t="s">
        <v>3316</v>
      </c>
      <c r="G82" s="235" t="s">
        <v>173</v>
      </c>
      <c r="H82" s="234" t="s">
        <v>3167</v>
      </c>
      <c r="I82" s="236" t="s">
        <v>18</v>
      </c>
      <c r="J82" s="232" t="s">
        <v>18</v>
      </c>
      <c r="K82" s="237">
        <v>242510082</v>
      </c>
      <c r="L82" s="237" t="s">
        <v>172</v>
      </c>
      <c r="M82" s="234" t="s">
        <v>3315</v>
      </c>
      <c r="N82" s="234" t="s">
        <v>3316</v>
      </c>
      <c r="O82" s="234" t="s">
        <v>173</v>
      </c>
      <c r="P82" s="234" t="s">
        <v>3167</v>
      </c>
      <c r="Q82" s="232" t="s">
        <v>18</v>
      </c>
    </row>
    <row r="83" customHeight="1" spans="1:17">
      <c r="A83" s="232">
        <v>4</v>
      </c>
      <c r="C83" s="233">
        <v>242510083</v>
      </c>
      <c r="D83" s="233" t="s">
        <v>742</v>
      </c>
      <c r="E83" s="234" t="s">
        <v>3317</v>
      </c>
      <c r="F83" s="234" t="s">
        <v>3318</v>
      </c>
      <c r="G83" s="235" t="s">
        <v>743</v>
      </c>
      <c r="H83" s="235" t="s">
        <v>3124</v>
      </c>
      <c r="I83" s="236" t="s">
        <v>23</v>
      </c>
      <c r="J83" s="232" t="s">
        <v>23</v>
      </c>
      <c r="K83" s="237">
        <v>242510083</v>
      </c>
      <c r="L83" s="237" t="s">
        <v>742</v>
      </c>
      <c r="M83" s="234" t="s">
        <v>3317</v>
      </c>
      <c r="N83" s="234" t="s">
        <v>3318</v>
      </c>
      <c r="O83" s="234" t="s">
        <v>743</v>
      </c>
      <c r="P83" s="234" t="s">
        <v>3124</v>
      </c>
      <c r="Q83" s="232" t="s">
        <v>23</v>
      </c>
    </row>
    <row r="84" customHeight="1" spans="1:17">
      <c r="A84" s="232">
        <v>5</v>
      </c>
      <c r="C84" s="233">
        <v>242510084</v>
      </c>
      <c r="D84" s="233" t="s">
        <v>400</v>
      </c>
      <c r="E84" s="234" t="s">
        <v>3319</v>
      </c>
      <c r="F84" s="234" t="s">
        <v>3320</v>
      </c>
      <c r="G84" s="235" t="s">
        <v>401</v>
      </c>
      <c r="H84" s="234" t="s">
        <v>3248</v>
      </c>
      <c r="I84" s="236" t="s">
        <v>18</v>
      </c>
      <c r="J84" s="232" t="s">
        <v>18</v>
      </c>
      <c r="K84" s="237">
        <v>242510084</v>
      </c>
      <c r="L84" s="237" t="s">
        <v>400</v>
      </c>
      <c r="M84" s="234" t="s">
        <v>3319</v>
      </c>
      <c r="N84" s="234" t="s">
        <v>3320</v>
      </c>
      <c r="O84" s="234" t="s">
        <v>401</v>
      </c>
      <c r="P84" s="234" t="s">
        <v>3248</v>
      </c>
      <c r="Q84" s="232" t="s">
        <v>18</v>
      </c>
    </row>
    <row r="85" customHeight="1" spans="1:17">
      <c r="A85" s="232">
        <v>6</v>
      </c>
      <c r="C85" s="233">
        <v>242510085</v>
      </c>
      <c r="D85" s="233" t="s">
        <v>658</v>
      </c>
      <c r="E85" s="234"/>
      <c r="F85" s="234"/>
      <c r="G85" s="235" t="s">
        <v>659</v>
      </c>
      <c r="H85" s="234"/>
      <c r="I85" s="236" t="s">
        <v>18</v>
      </c>
      <c r="J85" s="232" t="s">
        <v>18</v>
      </c>
      <c r="K85" s="237">
        <v>242510085</v>
      </c>
      <c r="L85" s="237" t="s">
        <v>658</v>
      </c>
      <c r="M85" s="234"/>
      <c r="N85" s="234"/>
      <c r="O85" s="234" t="s">
        <v>659</v>
      </c>
      <c r="P85" s="234"/>
      <c r="Q85" s="232" t="s">
        <v>18</v>
      </c>
    </row>
    <row r="86" customHeight="1" spans="1:17">
      <c r="A86" s="232">
        <v>7</v>
      </c>
      <c r="C86" s="233">
        <v>242510086</v>
      </c>
      <c r="D86" s="233" t="s">
        <v>106</v>
      </c>
      <c r="E86" s="234" t="s">
        <v>3321</v>
      </c>
      <c r="F86" s="234" t="s">
        <v>3322</v>
      </c>
      <c r="G86" s="235" t="s">
        <v>107</v>
      </c>
      <c r="H86" s="234" t="s">
        <v>3124</v>
      </c>
      <c r="I86" s="236" t="s">
        <v>18</v>
      </c>
      <c r="J86" s="232" t="s">
        <v>18</v>
      </c>
      <c r="K86" s="237">
        <v>242510086</v>
      </c>
      <c r="L86" s="237" t="s">
        <v>106</v>
      </c>
      <c r="M86" s="234" t="s">
        <v>3321</v>
      </c>
      <c r="N86" s="234" t="s">
        <v>3322</v>
      </c>
      <c r="O86" s="234" t="s">
        <v>107</v>
      </c>
      <c r="P86" s="234" t="s">
        <v>3124</v>
      </c>
      <c r="Q86" s="232" t="s">
        <v>18</v>
      </c>
    </row>
    <row r="87" customHeight="1" spans="1:17">
      <c r="A87" s="232">
        <v>8</v>
      </c>
      <c r="C87" s="233">
        <v>242510087</v>
      </c>
      <c r="D87" s="233" t="s">
        <v>29</v>
      </c>
      <c r="E87" s="234" t="s">
        <v>3323</v>
      </c>
      <c r="F87" s="234" t="s">
        <v>3324</v>
      </c>
      <c r="G87" s="235" t="s">
        <v>30</v>
      </c>
      <c r="H87" s="234" t="s">
        <v>3124</v>
      </c>
      <c r="I87" s="236" t="s">
        <v>18</v>
      </c>
      <c r="J87" s="232" t="s">
        <v>18</v>
      </c>
      <c r="K87" s="237">
        <v>242510087</v>
      </c>
      <c r="L87" s="237" t="s">
        <v>29</v>
      </c>
      <c r="M87" s="234" t="s">
        <v>3323</v>
      </c>
      <c r="N87" s="234" t="s">
        <v>3324</v>
      </c>
      <c r="O87" s="234" t="s">
        <v>30</v>
      </c>
      <c r="P87" s="234" t="s">
        <v>3124</v>
      </c>
      <c r="Q87" s="232" t="s">
        <v>18</v>
      </c>
    </row>
    <row r="88" customHeight="1" spans="1:17">
      <c r="A88" s="232">
        <v>9</v>
      </c>
      <c r="C88" s="233">
        <v>242510088</v>
      </c>
      <c r="D88" s="233" t="s">
        <v>31</v>
      </c>
      <c r="E88" s="234" t="s">
        <v>3325</v>
      </c>
      <c r="F88" s="234" t="s">
        <v>3326</v>
      </c>
      <c r="G88" s="235" t="s">
        <v>32</v>
      </c>
      <c r="H88" s="234" t="s">
        <v>3124</v>
      </c>
      <c r="I88" s="236" t="s">
        <v>23</v>
      </c>
      <c r="J88" s="232" t="s">
        <v>23</v>
      </c>
      <c r="K88" s="237">
        <v>242510088</v>
      </c>
      <c r="L88" s="237" t="s">
        <v>31</v>
      </c>
      <c r="M88" s="234" t="s">
        <v>3325</v>
      </c>
      <c r="N88" s="234" t="s">
        <v>3326</v>
      </c>
      <c r="O88" s="234" t="s">
        <v>32</v>
      </c>
      <c r="P88" s="234" t="s">
        <v>3124</v>
      </c>
      <c r="Q88" s="232" t="s">
        <v>23</v>
      </c>
    </row>
    <row r="89" customHeight="1" spans="1:17">
      <c r="A89" s="232">
        <v>10</v>
      </c>
      <c r="C89" s="233">
        <v>242510089</v>
      </c>
      <c r="D89" s="233" t="s">
        <v>484</v>
      </c>
      <c r="E89" s="234" t="s">
        <v>3327</v>
      </c>
      <c r="F89" s="234" t="s">
        <v>3328</v>
      </c>
      <c r="G89" s="235" t="s">
        <v>485</v>
      </c>
      <c r="H89" s="234" t="s">
        <v>3124</v>
      </c>
      <c r="I89" s="236" t="s">
        <v>18</v>
      </c>
      <c r="J89" s="232" t="s">
        <v>18</v>
      </c>
      <c r="K89" s="237">
        <v>242510089</v>
      </c>
      <c r="L89" s="237" t="s">
        <v>484</v>
      </c>
      <c r="M89" s="234" t="s">
        <v>3327</v>
      </c>
      <c r="N89" s="234" t="s">
        <v>3328</v>
      </c>
      <c r="O89" s="234" t="s">
        <v>485</v>
      </c>
      <c r="P89" s="234" t="s">
        <v>3124</v>
      </c>
      <c r="Q89" s="232" t="s">
        <v>18</v>
      </c>
    </row>
    <row r="90" customHeight="1" spans="1:17">
      <c r="A90" s="232">
        <v>11</v>
      </c>
      <c r="C90" s="233">
        <v>242510090</v>
      </c>
      <c r="D90" s="233" t="s">
        <v>834</v>
      </c>
      <c r="E90" s="234" t="s">
        <v>3137</v>
      </c>
      <c r="F90" s="234" t="s">
        <v>3138</v>
      </c>
      <c r="G90" s="235" t="s">
        <v>835</v>
      </c>
      <c r="H90" s="234" t="s">
        <v>3139</v>
      </c>
      <c r="I90" s="236" t="s">
        <v>18</v>
      </c>
      <c r="J90" s="232" t="s">
        <v>18</v>
      </c>
      <c r="K90" s="237">
        <v>242510090</v>
      </c>
      <c r="L90" s="237" t="s">
        <v>834</v>
      </c>
      <c r="M90" s="234" t="s">
        <v>3137</v>
      </c>
      <c r="N90" s="234" t="s">
        <v>3138</v>
      </c>
      <c r="O90" s="234" t="s">
        <v>835</v>
      </c>
      <c r="P90" s="234" t="s">
        <v>3139</v>
      </c>
      <c r="Q90" s="232" t="s">
        <v>18</v>
      </c>
    </row>
    <row r="91" customHeight="1" spans="1:17">
      <c r="A91" s="232">
        <v>12</v>
      </c>
      <c r="C91" s="233">
        <v>242510091</v>
      </c>
      <c r="D91" s="233" t="s">
        <v>836</v>
      </c>
      <c r="E91" s="234" t="s">
        <v>3329</v>
      </c>
      <c r="F91" s="234" t="s">
        <v>3330</v>
      </c>
      <c r="G91" s="235" t="s">
        <v>837</v>
      </c>
      <c r="H91" s="234" t="s">
        <v>3331</v>
      </c>
      <c r="I91" s="236" t="s">
        <v>18</v>
      </c>
      <c r="J91" s="232" t="s">
        <v>18</v>
      </c>
      <c r="K91" s="237">
        <v>242510091</v>
      </c>
      <c r="L91" s="237" t="s">
        <v>836</v>
      </c>
      <c r="M91" s="234" t="s">
        <v>3329</v>
      </c>
      <c r="N91" s="234" t="s">
        <v>3330</v>
      </c>
      <c r="O91" s="234" t="s">
        <v>837</v>
      </c>
      <c r="P91" s="234" t="s">
        <v>3331</v>
      </c>
      <c r="Q91" s="232" t="s">
        <v>18</v>
      </c>
    </row>
    <row r="92" customHeight="1" spans="1:17">
      <c r="A92" s="232">
        <v>13</v>
      </c>
      <c r="C92" s="233">
        <v>242510092</v>
      </c>
      <c r="D92" s="233" t="s">
        <v>840</v>
      </c>
      <c r="E92" s="234" t="s">
        <v>3332</v>
      </c>
      <c r="F92" s="234" t="s">
        <v>3333</v>
      </c>
      <c r="G92" s="235" t="s">
        <v>841</v>
      </c>
      <c r="H92" s="234" t="s">
        <v>3139</v>
      </c>
      <c r="I92" s="236" t="s">
        <v>23</v>
      </c>
      <c r="J92" s="232" t="s">
        <v>23</v>
      </c>
      <c r="K92" s="237">
        <v>242510092</v>
      </c>
      <c r="L92" s="237" t="s">
        <v>840</v>
      </c>
      <c r="M92" s="234" t="s">
        <v>3332</v>
      </c>
      <c r="N92" s="234" t="s">
        <v>3333</v>
      </c>
      <c r="O92" s="234" t="s">
        <v>841</v>
      </c>
      <c r="P92" s="234" t="s">
        <v>3139</v>
      </c>
      <c r="Q92" s="232" t="s">
        <v>23</v>
      </c>
    </row>
    <row r="93" customHeight="1" spans="1:17">
      <c r="A93" s="232">
        <v>14</v>
      </c>
      <c r="C93" s="233">
        <v>242510093</v>
      </c>
      <c r="D93" s="233" t="s">
        <v>118</v>
      </c>
      <c r="E93" s="234" t="s">
        <v>3334</v>
      </c>
      <c r="F93" s="234" t="s">
        <v>3335</v>
      </c>
      <c r="G93" s="235" t="s">
        <v>119</v>
      </c>
      <c r="H93" s="234" t="s">
        <v>3124</v>
      </c>
      <c r="I93" s="236" t="s">
        <v>23</v>
      </c>
      <c r="J93" s="232" t="s">
        <v>23</v>
      </c>
      <c r="K93" s="237">
        <v>242510093</v>
      </c>
      <c r="L93" s="237" t="s">
        <v>118</v>
      </c>
      <c r="M93" s="234" t="s">
        <v>3334</v>
      </c>
      <c r="N93" s="234" t="s">
        <v>3335</v>
      </c>
      <c r="O93" s="234" t="s">
        <v>119</v>
      </c>
      <c r="P93" s="234" t="s">
        <v>3124</v>
      </c>
      <c r="Q93" s="232" t="s">
        <v>23</v>
      </c>
    </row>
    <row r="94" customHeight="1" spans="1:17">
      <c r="A94" s="232">
        <v>15</v>
      </c>
      <c r="C94" s="233">
        <v>242510094</v>
      </c>
      <c r="D94" s="233" t="s">
        <v>770</v>
      </c>
      <c r="E94" s="234" t="s">
        <v>3336</v>
      </c>
      <c r="F94" s="234" t="s">
        <v>3337</v>
      </c>
      <c r="G94" s="235" t="s">
        <v>771</v>
      </c>
      <c r="H94" s="234" t="s">
        <v>3203</v>
      </c>
      <c r="I94" s="236" t="s">
        <v>18</v>
      </c>
      <c r="J94" s="232" t="s">
        <v>18</v>
      </c>
      <c r="K94" s="237">
        <v>242510094</v>
      </c>
      <c r="L94" s="237" t="s">
        <v>770</v>
      </c>
      <c r="M94" s="234" t="s">
        <v>3336</v>
      </c>
      <c r="N94" s="234" t="s">
        <v>3337</v>
      </c>
      <c r="O94" s="234" t="s">
        <v>771</v>
      </c>
      <c r="P94" s="234" t="s">
        <v>3203</v>
      </c>
      <c r="Q94" s="232" t="s">
        <v>18</v>
      </c>
    </row>
    <row r="95" customHeight="1" spans="1:17">
      <c r="A95" s="232">
        <v>16</v>
      </c>
      <c r="C95" s="233">
        <v>242510095</v>
      </c>
      <c r="D95" s="233" t="s">
        <v>272</v>
      </c>
      <c r="E95" s="234" t="s">
        <v>3338</v>
      </c>
      <c r="F95" s="234" t="s">
        <v>3339</v>
      </c>
      <c r="G95" s="235" t="s">
        <v>273</v>
      </c>
      <c r="H95" s="234" t="s">
        <v>3340</v>
      </c>
      <c r="I95" s="236" t="s">
        <v>18</v>
      </c>
      <c r="J95" s="232" t="s">
        <v>18</v>
      </c>
      <c r="K95" s="237">
        <v>242510095</v>
      </c>
      <c r="L95" s="237" t="s">
        <v>272</v>
      </c>
      <c r="M95" s="234" t="s">
        <v>3338</v>
      </c>
      <c r="N95" s="234" t="s">
        <v>3339</v>
      </c>
      <c r="O95" s="234" t="s">
        <v>273</v>
      </c>
      <c r="P95" s="234" t="s">
        <v>3340</v>
      </c>
      <c r="Q95" s="232" t="s">
        <v>18</v>
      </c>
    </row>
    <row r="96" customHeight="1" spans="1:17">
      <c r="A96" s="232">
        <v>17</v>
      </c>
      <c r="C96" s="233">
        <v>242510096</v>
      </c>
      <c r="D96" s="233" t="s">
        <v>120</v>
      </c>
      <c r="E96" s="234" t="s">
        <v>3341</v>
      </c>
      <c r="F96" s="234" t="s">
        <v>3342</v>
      </c>
      <c r="G96" s="235" t="s">
        <v>121</v>
      </c>
      <c r="H96" s="234" t="s">
        <v>3186</v>
      </c>
      <c r="I96" s="236" t="s">
        <v>18</v>
      </c>
      <c r="J96" s="232" t="s">
        <v>18</v>
      </c>
      <c r="K96" s="237">
        <v>242510096</v>
      </c>
      <c r="L96" s="237" t="s">
        <v>120</v>
      </c>
      <c r="M96" s="234" t="s">
        <v>3341</v>
      </c>
      <c r="N96" s="234" t="s">
        <v>3342</v>
      </c>
      <c r="O96" s="234" t="s">
        <v>121</v>
      </c>
      <c r="P96" s="234" t="s">
        <v>3186</v>
      </c>
      <c r="Q96" s="232" t="s">
        <v>18</v>
      </c>
    </row>
    <row r="97" customHeight="1" spans="1:17">
      <c r="A97" s="232">
        <v>18</v>
      </c>
      <c r="C97" s="233">
        <v>242510097</v>
      </c>
      <c r="D97" s="233" t="s">
        <v>426</v>
      </c>
      <c r="E97" s="234" t="s">
        <v>3343</v>
      </c>
      <c r="F97" s="234" t="s">
        <v>3344</v>
      </c>
      <c r="G97" s="235" t="s">
        <v>427</v>
      </c>
      <c r="H97" s="234" t="s">
        <v>3150</v>
      </c>
      <c r="I97" s="236" t="s">
        <v>18</v>
      </c>
      <c r="J97" s="232" t="s">
        <v>18</v>
      </c>
      <c r="K97" s="237">
        <v>242510097</v>
      </c>
      <c r="L97" s="237" t="s">
        <v>426</v>
      </c>
      <c r="M97" s="234" t="s">
        <v>3343</v>
      </c>
      <c r="N97" s="234" t="s">
        <v>3344</v>
      </c>
      <c r="O97" s="234" t="s">
        <v>427</v>
      </c>
      <c r="P97" s="234" t="s">
        <v>3150</v>
      </c>
      <c r="Q97" s="232" t="s">
        <v>18</v>
      </c>
    </row>
    <row r="98" customHeight="1" spans="1:17">
      <c r="A98" s="232">
        <v>19</v>
      </c>
      <c r="C98" s="233">
        <v>242510098</v>
      </c>
      <c r="D98" s="233" t="s">
        <v>682</v>
      </c>
      <c r="E98" s="234" t="s">
        <v>3345</v>
      </c>
      <c r="F98" s="234" t="s">
        <v>3346</v>
      </c>
      <c r="G98" s="235" t="s">
        <v>683</v>
      </c>
      <c r="H98" s="234" t="s">
        <v>3124</v>
      </c>
      <c r="I98" s="236" t="s">
        <v>18</v>
      </c>
      <c r="J98" s="232" t="s">
        <v>18</v>
      </c>
      <c r="K98" s="237">
        <v>242510098</v>
      </c>
      <c r="L98" s="237" t="s">
        <v>682</v>
      </c>
      <c r="M98" s="234" t="s">
        <v>3345</v>
      </c>
      <c r="N98" s="234" t="s">
        <v>3346</v>
      </c>
      <c r="O98" s="234" t="s">
        <v>683</v>
      </c>
      <c r="P98" s="234" t="s">
        <v>3124</v>
      </c>
      <c r="Q98" s="232" t="s">
        <v>18</v>
      </c>
    </row>
    <row r="99" customHeight="1" spans="1:17">
      <c r="A99" s="232">
        <v>20</v>
      </c>
      <c r="C99" s="233">
        <v>242510099</v>
      </c>
      <c r="D99" s="233" t="s">
        <v>856</v>
      </c>
      <c r="E99" s="234" t="s">
        <v>3170</v>
      </c>
      <c r="F99" s="234" t="s">
        <v>3171</v>
      </c>
      <c r="G99" s="235" t="s">
        <v>857</v>
      </c>
      <c r="H99" s="234" t="s">
        <v>3124</v>
      </c>
      <c r="I99" s="236" t="s">
        <v>23</v>
      </c>
      <c r="J99" s="232" t="s">
        <v>23</v>
      </c>
      <c r="K99" s="237">
        <v>242510099</v>
      </c>
      <c r="L99" s="237" t="s">
        <v>856</v>
      </c>
      <c r="M99" s="234" t="s">
        <v>3170</v>
      </c>
      <c r="N99" s="234" t="s">
        <v>3171</v>
      </c>
      <c r="O99" s="234" t="s">
        <v>857</v>
      </c>
      <c r="P99" s="234" t="s">
        <v>3124</v>
      </c>
      <c r="Q99" s="232" t="s">
        <v>23</v>
      </c>
    </row>
    <row r="100" customHeight="1" spans="1:17">
      <c r="A100" s="232">
        <v>21</v>
      </c>
      <c r="C100" s="233">
        <v>242510100</v>
      </c>
      <c r="D100" s="233" t="s">
        <v>780</v>
      </c>
      <c r="E100" s="234" t="s">
        <v>3347</v>
      </c>
      <c r="F100" s="234" t="s">
        <v>3348</v>
      </c>
      <c r="G100" s="235" t="s">
        <v>781</v>
      </c>
      <c r="H100" s="234" t="s">
        <v>3124</v>
      </c>
      <c r="I100" s="236" t="s">
        <v>18</v>
      </c>
      <c r="J100" s="232" t="s">
        <v>18</v>
      </c>
      <c r="K100" s="237">
        <v>242510100</v>
      </c>
      <c r="L100" s="237" t="s">
        <v>780</v>
      </c>
      <c r="M100" s="234" t="s">
        <v>3347</v>
      </c>
      <c r="N100" s="234" t="s">
        <v>3348</v>
      </c>
      <c r="O100" s="234" t="s">
        <v>781</v>
      </c>
      <c r="P100" s="234" t="s">
        <v>3124</v>
      </c>
      <c r="Q100" s="232" t="s">
        <v>18</v>
      </c>
    </row>
    <row r="101" customHeight="1" spans="1:17">
      <c r="A101" s="232">
        <v>22</v>
      </c>
      <c r="C101" s="233">
        <v>242510101</v>
      </c>
      <c r="D101" s="233" t="s">
        <v>286</v>
      </c>
      <c r="E101" s="234" t="s">
        <v>3349</v>
      </c>
      <c r="F101" s="234" t="s">
        <v>3350</v>
      </c>
      <c r="G101" s="235" t="s">
        <v>287</v>
      </c>
      <c r="H101" s="234" t="s">
        <v>3351</v>
      </c>
      <c r="I101" s="239" t="s">
        <v>23</v>
      </c>
      <c r="J101" s="240" t="s">
        <v>23</v>
      </c>
      <c r="K101" s="237">
        <v>242510101</v>
      </c>
      <c r="L101" s="237" t="s">
        <v>286</v>
      </c>
      <c r="M101" s="234" t="s">
        <v>3349</v>
      </c>
      <c r="N101" s="234" t="s">
        <v>3350</v>
      </c>
      <c r="O101" s="234" t="s">
        <v>287</v>
      </c>
      <c r="P101" s="234" t="s">
        <v>3351</v>
      </c>
      <c r="Q101" s="240" t="s">
        <v>23</v>
      </c>
    </row>
    <row r="102" customHeight="1" spans="1:17">
      <c r="A102" s="232">
        <v>23</v>
      </c>
      <c r="C102" s="233">
        <v>242510102</v>
      </c>
      <c r="D102" s="233" t="s">
        <v>134</v>
      </c>
      <c r="E102" s="234" t="s">
        <v>3352</v>
      </c>
      <c r="F102" s="234" t="s">
        <v>3353</v>
      </c>
      <c r="G102" s="235" t="s">
        <v>135</v>
      </c>
      <c r="H102" s="234" t="s">
        <v>3124</v>
      </c>
      <c r="I102" s="236" t="s">
        <v>18</v>
      </c>
      <c r="J102" s="232" t="s">
        <v>18</v>
      </c>
      <c r="K102" s="237">
        <v>242510102</v>
      </c>
      <c r="L102" s="237" t="s">
        <v>134</v>
      </c>
      <c r="M102" s="234" t="s">
        <v>3352</v>
      </c>
      <c r="N102" s="234" t="s">
        <v>3353</v>
      </c>
      <c r="O102" s="234" t="s">
        <v>135</v>
      </c>
      <c r="P102" s="234" t="s">
        <v>3124</v>
      </c>
      <c r="Q102" s="232" t="s">
        <v>18</v>
      </c>
    </row>
    <row r="103" customHeight="1" spans="1:17">
      <c r="A103" s="232">
        <v>24</v>
      </c>
      <c r="C103" s="233">
        <v>242510103</v>
      </c>
      <c r="D103" s="233" t="s">
        <v>362</v>
      </c>
      <c r="E103" s="234" t="s">
        <v>3354</v>
      </c>
      <c r="F103" s="234" t="s">
        <v>3355</v>
      </c>
      <c r="G103" s="235" t="s">
        <v>363</v>
      </c>
      <c r="H103" s="234" t="s">
        <v>3124</v>
      </c>
      <c r="I103" s="236" t="s">
        <v>23</v>
      </c>
      <c r="J103" s="232" t="s">
        <v>23</v>
      </c>
      <c r="K103" s="237">
        <v>242510103</v>
      </c>
      <c r="L103" s="237" t="s">
        <v>362</v>
      </c>
      <c r="M103" s="234" t="s">
        <v>3354</v>
      </c>
      <c r="N103" s="234" t="s">
        <v>3355</v>
      </c>
      <c r="O103" s="234" t="s">
        <v>363</v>
      </c>
      <c r="P103" s="234" t="s">
        <v>3124</v>
      </c>
      <c r="Q103" s="232" t="s">
        <v>23</v>
      </c>
    </row>
    <row r="104" customHeight="1" spans="1:17">
      <c r="A104" s="232">
        <v>25</v>
      </c>
      <c r="C104" s="233">
        <v>242510104</v>
      </c>
      <c r="D104" s="233" t="s">
        <v>610</v>
      </c>
      <c r="E104" s="234" t="s">
        <v>3182</v>
      </c>
      <c r="F104" s="234" t="s">
        <v>3183</v>
      </c>
      <c r="G104" s="235" t="s">
        <v>611</v>
      </c>
      <c r="H104" s="234" t="s">
        <v>3139</v>
      </c>
      <c r="I104" s="236" t="s">
        <v>23</v>
      </c>
      <c r="J104" s="232" t="s">
        <v>23</v>
      </c>
      <c r="K104" s="237">
        <v>242510104</v>
      </c>
      <c r="L104" s="237" t="s">
        <v>610</v>
      </c>
      <c r="M104" s="234" t="s">
        <v>3182</v>
      </c>
      <c r="N104" s="234" t="s">
        <v>3183</v>
      </c>
      <c r="O104" s="234" t="s">
        <v>611</v>
      </c>
      <c r="P104" s="234" t="s">
        <v>3139</v>
      </c>
      <c r="Q104" s="232" t="s">
        <v>23</v>
      </c>
    </row>
    <row r="105" customHeight="1" spans="1:17">
      <c r="A105" s="232">
        <v>26</v>
      </c>
      <c r="C105" s="233">
        <v>242510105</v>
      </c>
      <c r="D105" s="233" t="s">
        <v>442</v>
      </c>
      <c r="E105" s="234" t="s">
        <v>3356</v>
      </c>
      <c r="F105" s="234" t="s">
        <v>3357</v>
      </c>
      <c r="G105" s="235" t="s">
        <v>443</v>
      </c>
      <c r="H105" s="234" t="s">
        <v>3358</v>
      </c>
      <c r="I105" s="236" t="s">
        <v>23</v>
      </c>
      <c r="J105" s="232" t="s">
        <v>23</v>
      </c>
      <c r="K105" s="237">
        <v>242510105</v>
      </c>
      <c r="L105" s="237" t="s">
        <v>442</v>
      </c>
      <c r="M105" s="234" t="s">
        <v>3356</v>
      </c>
      <c r="N105" s="234" t="s">
        <v>3357</v>
      </c>
      <c r="O105" s="234" t="s">
        <v>443</v>
      </c>
      <c r="P105" s="234" t="s">
        <v>3358</v>
      </c>
      <c r="Q105" s="232" t="s">
        <v>23</v>
      </c>
    </row>
    <row r="106" customHeight="1" spans="1:17">
      <c r="A106" s="232">
        <v>27</v>
      </c>
      <c r="C106" s="233">
        <v>242510106</v>
      </c>
      <c r="D106" s="233" t="s">
        <v>616</v>
      </c>
      <c r="E106" s="234" t="s">
        <v>3359</v>
      </c>
      <c r="F106" s="234" t="s">
        <v>3360</v>
      </c>
      <c r="G106" s="235" t="s">
        <v>617</v>
      </c>
      <c r="H106" s="234" t="s">
        <v>3124</v>
      </c>
      <c r="I106" s="236" t="s">
        <v>23</v>
      </c>
      <c r="J106" s="232" t="s">
        <v>23</v>
      </c>
      <c r="K106" s="237">
        <v>242510106</v>
      </c>
      <c r="L106" s="237" t="s">
        <v>616</v>
      </c>
      <c r="M106" s="234" t="s">
        <v>3359</v>
      </c>
      <c r="N106" s="234" t="s">
        <v>3360</v>
      </c>
      <c r="O106" s="234" t="s">
        <v>617</v>
      </c>
      <c r="P106" s="234" t="s">
        <v>3124</v>
      </c>
      <c r="Q106" s="232" t="s">
        <v>23</v>
      </c>
    </row>
    <row r="107" customHeight="1" spans="1:17">
      <c r="A107" s="232">
        <v>28</v>
      </c>
      <c r="C107" s="233">
        <v>242510107</v>
      </c>
      <c r="D107" s="233" t="s">
        <v>228</v>
      </c>
      <c r="E107" s="234" t="s">
        <v>3361</v>
      </c>
      <c r="F107" s="234" t="s">
        <v>3362</v>
      </c>
      <c r="G107" s="235" t="s">
        <v>229</v>
      </c>
      <c r="H107" s="234" t="s">
        <v>3124</v>
      </c>
      <c r="I107" s="236" t="s">
        <v>18</v>
      </c>
      <c r="J107" s="232" t="s">
        <v>18</v>
      </c>
      <c r="K107" s="237">
        <v>242510107</v>
      </c>
      <c r="L107" s="237" t="s">
        <v>228</v>
      </c>
      <c r="M107" s="234" t="s">
        <v>3361</v>
      </c>
      <c r="N107" s="234" t="s">
        <v>3362</v>
      </c>
      <c r="O107" s="234" t="s">
        <v>229</v>
      </c>
      <c r="P107" s="234" t="s">
        <v>3124</v>
      </c>
      <c r="Q107" s="232" t="s">
        <v>18</v>
      </c>
    </row>
    <row r="108" customHeight="1" spans="1:17">
      <c r="A108" s="232">
        <v>29</v>
      </c>
      <c r="C108" s="233">
        <v>242510108</v>
      </c>
      <c r="D108" s="233" t="s">
        <v>232</v>
      </c>
      <c r="E108" s="234" t="s">
        <v>3363</v>
      </c>
      <c r="F108" s="234" t="s">
        <v>3364</v>
      </c>
      <c r="G108" s="235" t="s">
        <v>233</v>
      </c>
      <c r="H108" s="234" t="s">
        <v>3218</v>
      </c>
      <c r="I108" s="236" t="s">
        <v>18</v>
      </c>
      <c r="J108" s="232" t="s">
        <v>18</v>
      </c>
      <c r="K108" s="237">
        <v>242510108</v>
      </c>
      <c r="L108" s="237" t="s">
        <v>232</v>
      </c>
      <c r="M108" s="234" t="s">
        <v>3363</v>
      </c>
      <c r="N108" s="234" t="s">
        <v>3364</v>
      </c>
      <c r="O108" s="234" t="s">
        <v>233</v>
      </c>
      <c r="P108" s="234" t="s">
        <v>3218</v>
      </c>
      <c r="Q108" s="232" t="s">
        <v>18</v>
      </c>
    </row>
    <row r="109" customHeight="1" spans="1:17">
      <c r="A109" s="232">
        <v>30</v>
      </c>
      <c r="C109" s="233">
        <v>242510109</v>
      </c>
      <c r="D109" s="233" t="s">
        <v>156</v>
      </c>
      <c r="E109" s="234" t="s">
        <v>3365</v>
      </c>
      <c r="F109" s="234" t="s">
        <v>3366</v>
      </c>
      <c r="G109" s="235" t="s">
        <v>157</v>
      </c>
      <c r="H109" s="234" t="s">
        <v>3124</v>
      </c>
      <c r="I109" s="236" t="s">
        <v>23</v>
      </c>
      <c r="J109" s="232" t="s">
        <v>23</v>
      </c>
      <c r="K109" s="237">
        <v>242510109</v>
      </c>
      <c r="L109" s="237" t="s">
        <v>156</v>
      </c>
      <c r="M109" s="234" t="s">
        <v>3365</v>
      </c>
      <c r="N109" s="234" t="s">
        <v>3366</v>
      </c>
      <c r="O109" s="234" t="s">
        <v>157</v>
      </c>
      <c r="P109" s="234" t="s">
        <v>3124</v>
      </c>
      <c r="Q109" s="232" t="s">
        <v>23</v>
      </c>
    </row>
    <row r="110" customHeight="1" spans="1:17">
      <c r="A110" s="232">
        <v>31</v>
      </c>
      <c r="C110" s="233">
        <v>242510110</v>
      </c>
      <c r="D110" s="233" t="s">
        <v>75</v>
      </c>
      <c r="E110" s="234" t="s">
        <v>3367</v>
      </c>
      <c r="F110" s="234" t="s">
        <v>3368</v>
      </c>
      <c r="G110" s="235" t="s">
        <v>76</v>
      </c>
      <c r="H110" s="234" t="s">
        <v>3195</v>
      </c>
      <c r="I110" s="236" t="s">
        <v>18</v>
      </c>
      <c r="J110" s="232" t="s">
        <v>18</v>
      </c>
      <c r="K110" s="237">
        <v>242510110</v>
      </c>
      <c r="L110" s="237" t="s">
        <v>75</v>
      </c>
      <c r="M110" s="234" t="s">
        <v>3367</v>
      </c>
      <c r="N110" s="234" t="s">
        <v>3368</v>
      </c>
      <c r="O110" s="234" t="s">
        <v>76</v>
      </c>
      <c r="P110" s="234" t="s">
        <v>3195</v>
      </c>
      <c r="Q110" s="232" t="s">
        <v>18</v>
      </c>
    </row>
    <row r="111" customHeight="1" spans="1:17">
      <c r="A111" s="232">
        <v>32</v>
      </c>
      <c r="C111" s="233">
        <v>242510111</v>
      </c>
      <c r="D111" s="233" t="s">
        <v>808</v>
      </c>
      <c r="E111" s="234" t="s">
        <v>3369</v>
      </c>
      <c r="F111" s="234" t="s">
        <v>3370</v>
      </c>
      <c r="G111" s="235" t="s">
        <v>809</v>
      </c>
      <c r="H111" s="234" t="s">
        <v>3248</v>
      </c>
      <c r="I111" s="236" t="s">
        <v>18</v>
      </c>
      <c r="J111" s="232" t="s">
        <v>18</v>
      </c>
      <c r="K111" s="237">
        <v>242510111</v>
      </c>
      <c r="L111" s="237" t="s">
        <v>808</v>
      </c>
      <c r="M111" s="234" t="s">
        <v>3369</v>
      </c>
      <c r="N111" s="234" t="s">
        <v>3370</v>
      </c>
      <c r="O111" s="234" t="s">
        <v>809</v>
      </c>
      <c r="P111" s="234" t="s">
        <v>3248</v>
      </c>
      <c r="Q111" s="232" t="s">
        <v>18</v>
      </c>
    </row>
    <row r="112" customHeight="1" spans="1:17">
      <c r="A112" s="232">
        <v>33</v>
      </c>
      <c r="C112" s="233">
        <v>242510112</v>
      </c>
      <c r="D112" s="233" t="s">
        <v>636</v>
      </c>
      <c r="E112" s="234" t="s">
        <v>3371</v>
      </c>
      <c r="F112" s="234" t="s">
        <v>3372</v>
      </c>
      <c r="G112" s="235" t="s">
        <v>637</v>
      </c>
      <c r="H112" s="234" t="s">
        <v>3129</v>
      </c>
      <c r="I112" s="239" t="s">
        <v>18</v>
      </c>
      <c r="J112" s="240" t="s">
        <v>18</v>
      </c>
      <c r="K112" s="237">
        <v>242510112</v>
      </c>
      <c r="L112" s="237" t="s">
        <v>636</v>
      </c>
      <c r="M112" s="234" t="s">
        <v>3371</v>
      </c>
      <c r="N112" s="234" t="s">
        <v>3372</v>
      </c>
      <c r="O112" s="234" t="s">
        <v>637</v>
      </c>
      <c r="P112" s="234" t="s">
        <v>3129</v>
      </c>
      <c r="Q112" s="240" t="s">
        <v>18</v>
      </c>
    </row>
    <row r="113" customHeight="1" spans="1:17">
      <c r="A113" s="232">
        <v>34</v>
      </c>
      <c r="C113" s="233">
        <v>242510113</v>
      </c>
      <c r="D113" s="233" t="s">
        <v>240</v>
      </c>
      <c r="E113" s="234" t="s">
        <v>3373</v>
      </c>
      <c r="F113" s="234" t="s">
        <v>3374</v>
      </c>
      <c r="G113" s="235" t="s">
        <v>241</v>
      </c>
      <c r="H113" s="234" t="s">
        <v>3375</v>
      </c>
      <c r="I113" s="236" t="s">
        <v>18</v>
      </c>
      <c r="J113" s="232" t="s">
        <v>18</v>
      </c>
      <c r="K113" s="237">
        <v>242510113</v>
      </c>
      <c r="L113" s="237" t="s">
        <v>240</v>
      </c>
      <c r="M113" s="234" t="s">
        <v>3373</v>
      </c>
      <c r="N113" s="234" t="s">
        <v>3374</v>
      </c>
      <c r="O113" s="234" t="s">
        <v>241</v>
      </c>
      <c r="P113" s="234" t="s">
        <v>3375</v>
      </c>
      <c r="Q113" s="232" t="s">
        <v>18</v>
      </c>
    </row>
    <row r="114" customHeight="1" spans="1:17">
      <c r="A114" s="232">
        <v>35</v>
      </c>
      <c r="C114" s="233">
        <v>242510114</v>
      </c>
      <c r="D114" s="233" t="s">
        <v>644</v>
      </c>
      <c r="E114" s="234" t="s">
        <v>3376</v>
      </c>
      <c r="F114" s="234" t="s">
        <v>3301</v>
      </c>
      <c r="G114" s="235" t="s">
        <v>645</v>
      </c>
      <c r="H114" s="235" t="s">
        <v>3124</v>
      </c>
      <c r="I114" s="236" t="s">
        <v>23</v>
      </c>
      <c r="J114" s="232" t="s">
        <v>23</v>
      </c>
      <c r="K114" s="237">
        <v>242510114</v>
      </c>
      <c r="L114" s="237" t="s">
        <v>644</v>
      </c>
      <c r="M114" s="234" t="s">
        <v>3376</v>
      </c>
      <c r="N114" s="234" t="s">
        <v>3301</v>
      </c>
      <c r="O114" s="234" t="s">
        <v>645</v>
      </c>
      <c r="P114" s="234" t="s">
        <v>3124</v>
      </c>
      <c r="Q114" s="232" t="s">
        <v>23</v>
      </c>
    </row>
    <row r="115" customHeight="1" spans="1:17">
      <c r="A115" s="232">
        <v>36</v>
      </c>
      <c r="C115" s="233">
        <v>242510115</v>
      </c>
      <c r="D115" s="233" t="s">
        <v>818</v>
      </c>
      <c r="E115" s="234" t="s">
        <v>3377</v>
      </c>
      <c r="F115" s="234" t="s">
        <v>3378</v>
      </c>
      <c r="G115" s="235" t="s">
        <v>819</v>
      </c>
      <c r="H115" s="234" t="s">
        <v>3379</v>
      </c>
      <c r="I115" s="236" t="s">
        <v>23</v>
      </c>
      <c r="J115" s="232" t="s">
        <v>23</v>
      </c>
      <c r="K115" s="237">
        <v>242510115</v>
      </c>
      <c r="L115" s="237" t="s">
        <v>818</v>
      </c>
      <c r="M115" s="234" t="s">
        <v>3377</v>
      </c>
      <c r="N115" s="234" t="s">
        <v>3378</v>
      </c>
      <c r="O115" s="234" t="s">
        <v>819</v>
      </c>
      <c r="P115" s="234" t="s">
        <v>3379</v>
      </c>
      <c r="Q115" s="232" t="s">
        <v>23</v>
      </c>
    </row>
    <row r="116" customHeight="1" spans="1:17">
      <c r="A116" s="232">
        <v>37</v>
      </c>
      <c r="C116" s="233">
        <v>242510116</v>
      </c>
      <c r="D116" s="233" t="s">
        <v>310</v>
      </c>
      <c r="E116" s="234" t="s">
        <v>3380</v>
      </c>
      <c r="F116" s="234" t="s">
        <v>3381</v>
      </c>
      <c r="G116" s="235" t="s">
        <v>311</v>
      </c>
      <c r="H116" s="234" t="s">
        <v>3124</v>
      </c>
      <c r="I116" s="236" t="s">
        <v>18</v>
      </c>
      <c r="J116" s="232" t="s">
        <v>18</v>
      </c>
      <c r="K116" s="237">
        <v>242510116</v>
      </c>
      <c r="L116" s="237" t="s">
        <v>310</v>
      </c>
      <c r="M116" s="234" t="s">
        <v>3380</v>
      </c>
      <c r="N116" s="234" t="s">
        <v>3381</v>
      </c>
      <c r="O116" s="234" t="s">
        <v>311</v>
      </c>
      <c r="P116" s="234" t="s">
        <v>3124</v>
      </c>
      <c r="Q116" s="232" t="s">
        <v>18</v>
      </c>
    </row>
    <row r="117" customHeight="1" spans="1:17">
      <c r="C117" s="233">
        <v>242510117</v>
      </c>
      <c r="D117" s="233" t="s">
        <v>552</v>
      </c>
      <c r="E117" s="234" t="s">
        <v>3382</v>
      </c>
      <c r="F117" s="234" t="s">
        <v>3383</v>
      </c>
      <c r="G117" s="235" t="s">
        <v>553</v>
      </c>
      <c r="H117" s="234" t="s">
        <v>3150</v>
      </c>
      <c r="I117" s="236" t="s">
        <v>18</v>
      </c>
      <c r="J117" s="232" t="s">
        <v>18</v>
      </c>
      <c r="K117" s="237">
        <v>242510117</v>
      </c>
      <c r="L117" s="237" t="s">
        <v>552</v>
      </c>
      <c r="M117" s="234" t="s">
        <v>3382</v>
      </c>
      <c r="N117" s="234" t="s">
        <v>3383</v>
      </c>
      <c r="O117" s="234" t="s">
        <v>553</v>
      </c>
      <c r="P117" s="234" t="s">
        <v>3150</v>
      </c>
      <c r="Q117" s="232" t="s">
        <v>18</v>
      </c>
    </row>
    <row r="118" customHeight="1" spans="1:17">
      <c r="C118" s="233">
        <v>242510118</v>
      </c>
      <c r="D118" s="233" t="s">
        <v>732</v>
      </c>
      <c r="E118" s="234" t="s">
        <v>3384</v>
      </c>
      <c r="F118" s="234" t="s">
        <v>3385</v>
      </c>
      <c r="G118" s="235" t="s">
        <v>733</v>
      </c>
      <c r="H118" s="234" t="s">
        <v>3124</v>
      </c>
      <c r="I118" s="236" t="s">
        <v>18</v>
      </c>
      <c r="J118" s="232" t="s">
        <v>18</v>
      </c>
      <c r="K118" s="237">
        <v>242510118</v>
      </c>
      <c r="L118" s="237" t="s">
        <v>732</v>
      </c>
      <c r="M118" s="234" t="s">
        <v>3384</v>
      </c>
      <c r="N118" s="234" t="s">
        <v>3385</v>
      </c>
      <c r="O118" s="234" t="s">
        <v>733</v>
      </c>
      <c r="P118" s="234" t="s">
        <v>3124</v>
      </c>
      <c r="Q118" s="232" t="s">
        <v>18</v>
      </c>
    </row>
    <row r="119" customHeight="1" spans="1:17">
      <c r="C119" s="233">
        <v>242510119</v>
      </c>
      <c r="D119" s="233" t="s">
        <v>558</v>
      </c>
      <c r="E119" s="234" t="s">
        <v>3304</v>
      </c>
      <c r="F119" s="234" t="s">
        <v>3305</v>
      </c>
      <c r="G119" s="235" t="s">
        <v>559</v>
      </c>
      <c r="H119" s="235" t="s">
        <v>3189</v>
      </c>
      <c r="I119" s="236" t="s">
        <v>18</v>
      </c>
      <c r="J119" s="232" t="s">
        <v>18</v>
      </c>
      <c r="K119" s="237">
        <v>242510119</v>
      </c>
      <c r="L119" s="237" t="s">
        <v>558</v>
      </c>
      <c r="M119" s="234" t="s">
        <v>3304</v>
      </c>
      <c r="N119" s="234" t="s">
        <v>3305</v>
      </c>
      <c r="O119" s="234" t="s">
        <v>559</v>
      </c>
      <c r="P119" s="234" t="s">
        <v>3189</v>
      </c>
      <c r="Q119" s="232" t="s">
        <v>18</v>
      </c>
    </row>
    <row r="120" customHeight="1" spans="1:17">
      <c r="C120" s="233">
        <v>242510120</v>
      </c>
      <c r="D120" s="233" t="s">
        <v>464</v>
      </c>
      <c r="E120" s="234" t="s">
        <v>3386</v>
      </c>
      <c r="F120" s="234" t="s">
        <v>3387</v>
      </c>
      <c r="G120" s="235" t="s">
        <v>465</v>
      </c>
      <c r="H120" s="234" t="s">
        <v>3388</v>
      </c>
      <c r="I120" s="236" t="s">
        <v>18</v>
      </c>
      <c r="J120" s="232" t="s">
        <v>18</v>
      </c>
      <c r="K120" s="243">
        <v>242510120</v>
      </c>
      <c r="L120" s="237" t="s">
        <v>464</v>
      </c>
      <c r="M120" s="234" t="s">
        <v>3386</v>
      </c>
      <c r="N120" s="234" t="s">
        <v>3387</v>
      </c>
      <c r="O120" s="234" t="s">
        <v>465</v>
      </c>
      <c r="P120" s="234" t="s">
        <v>3388</v>
      </c>
      <c r="Q120" s="232" t="s">
        <v>18</v>
      </c>
    </row>
    <row r="121" customHeight="1" spans="1:17">
      <c r="C121" s="233">
        <v>242510121</v>
      </c>
      <c r="D121" s="233" t="s">
        <v>568</v>
      </c>
      <c r="E121" s="234" t="s">
        <v>3389</v>
      </c>
      <c r="F121" s="234" t="s">
        <v>3390</v>
      </c>
      <c r="G121" s="235" t="s">
        <v>569</v>
      </c>
      <c r="H121" s="234" t="s">
        <v>3124</v>
      </c>
      <c r="I121" s="236" t="s">
        <v>23</v>
      </c>
      <c r="J121" s="232" t="s">
        <v>23</v>
      </c>
      <c r="K121" s="237">
        <v>242510121</v>
      </c>
      <c r="L121" s="237" t="s">
        <v>568</v>
      </c>
      <c r="M121" s="234" t="s">
        <v>3389</v>
      </c>
      <c r="N121" s="234" t="s">
        <v>3390</v>
      </c>
      <c r="O121" s="234" t="s">
        <v>569</v>
      </c>
      <c r="P121" s="234" t="s">
        <v>3124</v>
      </c>
      <c r="Q121" s="232" t="s">
        <v>23</v>
      </c>
    </row>
    <row r="122" customHeight="1" spans="1:17">
      <c r="C122" s="233">
        <v>242510122</v>
      </c>
      <c r="D122" s="233" t="s">
        <v>574</v>
      </c>
      <c r="E122" s="234" t="s">
        <v>3391</v>
      </c>
      <c r="F122" s="234" t="s">
        <v>3392</v>
      </c>
      <c r="G122" s="235" t="s">
        <v>575</v>
      </c>
      <c r="H122" s="234" t="s">
        <v>3139</v>
      </c>
      <c r="I122" s="236" t="s">
        <v>18</v>
      </c>
      <c r="J122" s="232" t="s">
        <v>18</v>
      </c>
      <c r="K122" s="237">
        <v>242510122</v>
      </c>
      <c r="L122" s="237" t="s">
        <v>574</v>
      </c>
      <c r="M122" s="234" t="s">
        <v>3391</v>
      </c>
      <c r="N122" s="234" t="s">
        <v>3392</v>
      </c>
      <c r="O122" s="234" t="s">
        <v>575</v>
      </c>
      <c r="P122" s="234" t="s">
        <v>3139</v>
      </c>
      <c r="Q122" s="232" t="s">
        <v>18</v>
      </c>
    </row>
    <row r="123" customHeight="1" spans="1:17">
      <c r="C123" s="233">
        <v>242510123</v>
      </c>
      <c r="D123" s="233" t="s">
        <v>186</v>
      </c>
      <c r="E123" s="234" t="s">
        <v>3393</v>
      </c>
      <c r="F123" s="234" t="s">
        <v>3394</v>
      </c>
      <c r="G123" s="235" t="s">
        <v>187</v>
      </c>
      <c r="H123" s="234" t="s">
        <v>3248</v>
      </c>
      <c r="I123" s="236" t="s">
        <v>18</v>
      </c>
      <c r="J123" s="232" t="s">
        <v>18</v>
      </c>
      <c r="K123" s="237">
        <v>242510123</v>
      </c>
      <c r="L123" s="237" t="s">
        <v>186</v>
      </c>
      <c r="M123" s="234" t="s">
        <v>3393</v>
      </c>
      <c r="N123" s="234" t="s">
        <v>3394</v>
      </c>
      <c r="O123" s="234" t="s">
        <v>187</v>
      </c>
      <c r="P123" s="234" t="s">
        <v>3248</v>
      </c>
      <c r="Q123" s="232" t="s">
        <v>18</v>
      </c>
    </row>
    <row r="124" customHeight="1" spans="1:17">
      <c r="C124" s="233">
        <v>242510124</v>
      </c>
      <c r="D124" s="233" t="s">
        <v>406</v>
      </c>
      <c r="E124" s="234" t="s">
        <v>3395</v>
      </c>
      <c r="F124" s="234" t="s">
        <v>3396</v>
      </c>
      <c r="G124" s="235" t="s">
        <v>407</v>
      </c>
      <c r="H124" s="234" t="s">
        <v>3358</v>
      </c>
      <c r="I124" s="236" t="s">
        <v>18</v>
      </c>
      <c r="J124" s="232" t="s">
        <v>18</v>
      </c>
      <c r="K124" s="237">
        <v>242510124</v>
      </c>
      <c r="L124" s="237" t="s">
        <v>406</v>
      </c>
      <c r="M124" s="234" t="s">
        <v>3395</v>
      </c>
      <c r="N124" s="234" t="s">
        <v>3396</v>
      </c>
      <c r="O124" s="234" t="s">
        <v>407</v>
      </c>
      <c r="P124" s="234" t="s">
        <v>3358</v>
      </c>
      <c r="Q124" s="232" t="s">
        <v>18</v>
      </c>
    </row>
    <row r="125" customHeight="1" spans="1:17">
      <c r="C125" s="233">
        <v>242510125</v>
      </c>
      <c r="D125" s="233" t="s">
        <v>412</v>
      </c>
      <c r="E125" s="234" t="s">
        <v>3397</v>
      </c>
      <c r="F125" s="234" t="s">
        <v>3398</v>
      </c>
      <c r="G125" s="235" t="s">
        <v>413</v>
      </c>
      <c r="H125" s="234" t="s">
        <v>3124</v>
      </c>
      <c r="I125" s="236" t="s">
        <v>18</v>
      </c>
      <c r="J125" s="232" t="s">
        <v>18</v>
      </c>
      <c r="K125" s="237">
        <v>242510125</v>
      </c>
      <c r="L125" s="237" t="s">
        <v>412</v>
      </c>
      <c r="M125" s="234" t="s">
        <v>3397</v>
      </c>
      <c r="N125" s="234" t="s">
        <v>3398</v>
      </c>
      <c r="O125" s="234" t="s">
        <v>413</v>
      </c>
      <c r="P125" s="234" t="s">
        <v>3124</v>
      </c>
      <c r="Q125" s="232" t="s">
        <v>18</v>
      </c>
    </row>
    <row r="126" customHeight="1" spans="1:17">
      <c r="C126" s="233">
        <v>242510126</v>
      </c>
      <c r="D126" s="233" t="s">
        <v>262</v>
      </c>
      <c r="E126" s="234" t="s">
        <v>3399</v>
      </c>
      <c r="F126" s="234" t="s">
        <v>3400</v>
      </c>
      <c r="G126" s="235" t="s">
        <v>263</v>
      </c>
      <c r="H126" s="234" t="s">
        <v>3124</v>
      </c>
      <c r="I126" s="236" t="s">
        <v>23</v>
      </c>
      <c r="J126" s="232" t="s">
        <v>23</v>
      </c>
      <c r="K126" s="237">
        <v>242510126</v>
      </c>
      <c r="L126" s="237" t="s">
        <v>262</v>
      </c>
      <c r="M126" s="234" t="s">
        <v>3399</v>
      </c>
      <c r="N126" s="234" t="s">
        <v>3400</v>
      </c>
      <c r="O126" s="234" t="s">
        <v>263</v>
      </c>
      <c r="P126" s="234" t="s">
        <v>3124</v>
      </c>
      <c r="Q126" s="232" t="s">
        <v>23</v>
      </c>
    </row>
    <row r="127" customHeight="1" spans="1:17">
      <c r="C127" s="233">
        <v>242510127</v>
      </c>
      <c r="D127" s="233" t="s">
        <v>488</v>
      </c>
      <c r="E127" s="234" t="s">
        <v>3401</v>
      </c>
      <c r="F127" s="234" t="s">
        <v>3402</v>
      </c>
      <c r="G127" s="235" t="s">
        <v>489</v>
      </c>
      <c r="H127" s="234" t="s">
        <v>3124</v>
      </c>
      <c r="I127" s="236" t="s">
        <v>18</v>
      </c>
      <c r="J127" s="232" t="s">
        <v>18</v>
      </c>
      <c r="K127" s="237">
        <v>242510127</v>
      </c>
      <c r="L127" s="237" t="s">
        <v>488</v>
      </c>
      <c r="M127" s="234" t="s">
        <v>3401</v>
      </c>
      <c r="N127" s="234" t="s">
        <v>3402</v>
      </c>
      <c r="O127" s="234" t="s">
        <v>489</v>
      </c>
      <c r="P127" s="234" t="s">
        <v>3124</v>
      </c>
      <c r="Q127" s="232" t="s">
        <v>18</v>
      </c>
    </row>
    <row r="128" customHeight="1" spans="1:17">
      <c r="C128" s="233">
        <v>242510128</v>
      </c>
      <c r="D128" s="233" t="s">
        <v>846</v>
      </c>
      <c r="E128" s="234" t="s">
        <v>3403</v>
      </c>
      <c r="F128" s="234" t="s">
        <v>3404</v>
      </c>
      <c r="G128" s="235" t="s">
        <v>847</v>
      </c>
      <c r="H128" s="234" t="s">
        <v>3139</v>
      </c>
      <c r="I128" s="236" t="s">
        <v>23</v>
      </c>
      <c r="J128" s="232" t="s">
        <v>23</v>
      </c>
      <c r="K128" s="237">
        <v>242510128</v>
      </c>
      <c r="L128" s="237" t="s">
        <v>846</v>
      </c>
      <c r="M128" s="234" t="s">
        <v>3403</v>
      </c>
      <c r="N128" s="234" t="s">
        <v>3404</v>
      </c>
      <c r="O128" s="234" t="s">
        <v>847</v>
      </c>
      <c r="P128" s="234" t="s">
        <v>3139</v>
      </c>
      <c r="Q128" s="232" t="s">
        <v>23</v>
      </c>
    </row>
    <row r="129" customHeight="1" spans="3:17">
      <c r="C129" s="233">
        <v>242510129</v>
      </c>
      <c r="D129" s="233" t="s">
        <v>766</v>
      </c>
      <c r="E129" s="234" t="s">
        <v>3405</v>
      </c>
      <c r="F129" s="234" t="s">
        <v>3406</v>
      </c>
      <c r="G129" s="235" t="s">
        <v>767</v>
      </c>
      <c r="H129" s="234" t="s">
        <v>3208</v>
      </c>
      <c r="I129" s="236" t="s">
        <v>23</v>
      </c>
      <c r="J129" s="232" t="s">
        <v>23</v>
      </c>
      <c r="K129" s="237">
        <v>242510129</v>
      </c>
      <c r="L129" s="237" t="s">
        <v>766</v>
      </c>
      <c r="M129" s="234" t="s">
        <v>3405</v>
      </c>
      <c r="N129" s="234" t="s">
        <v>3406</v>
      </c>
      <c r="O129" s="234" t="s">
        <v>767</v>
      </c>
      <c r="P129" s="234" t="s">
        <v>3208</v>
      </c>
      <c r="Q129" s="232" t="s">
        <v>23</v>
      </c>
    </row>
    <row r="130" customHeight="1" spans="3:17">
      <c r="C130" s="233">
        <v>242510130</v>
      </c>
      <c r="D130" s="233" t="s">
        <v>674</v>
      </c>
      <c r="E130" s="234" t="s">
        <v>3407</v>
      </c>
      <c r="F130" s="234" t="s">
        <v>3408</v>
      </c>
      <c r="G130" s="235" t="s">
        <v>675</v>
      </c>
      <c r="H130" s="234" t="s">
        <v>3139</v>
      </c>
      <c r="I130" s="236" t="s">
        <v>18</v>
      </c>
      <c r="J130" s="232" t="s">
        <v>18</v>
      </c>
      <c r="K130" s="237">
        <v>242510130</v>
      </c>
      <c r="L130" s="237" t="s">
        <v>674</v>
      </c>
      <c r="M130" s="234" t="s">
        <v>3407</v>
      </c>
      <c r="N130" s="234" t="s">
        <v>3408</v>
      </c>
      <c r="O130" s="234" t="s">
        <v>675</v>
      </c>
      <c r="P130" s="234" t="s">
        <v>3139</v>
      </c>
      <c r="Q130" s="232" t="s">
        <v>18</v>
      </c>
    </row>
    <row r="131" customHeight="1" spans="3:17">
      <c r="C131" s="233">
        <v>242510131</v>
      </c>
      <c r="D131" s="233" t="s">
        <v>590</v>
      </c>
      <c r="E131" s="234" t="s">
        <v>3409</v>
      </c>
      <c r="F131" s="234" t="s">
        <v>3410</v>
      </c>
      <c r="G131" s="235" t="s">
        <v>591</v>
      </c>
      <c r="H131" s="234" t="s">
        <v>3124</v>
      </c>
      <c r="I131" s="236" t="s">
        <v>23</v>
      </c>
      <c r="J131" s="232" t="s">
        <v>23</v>
      </c>
      <c r="K131" s="237">
        <v>242510131</v>
      </c>
      <c r="L131" s="237" t="s">
        <v>590</v>
      </c>
      <c r="M131" s="234" t="s">
        <v>3409</v>
      </c>
      <c r="N131" s="234" t="s">
        <v>3410</v>
      </c>
      <c r="O131" s="234" t="s">
        <v>591</v>
      </c>
      <c r="P131" s="234" t="s">
        <v>3124</v>
      </c>
      <c r="Q131" s="232" t="s">
        <v>23</v>
      </c>
    </row>
    <row r="132" customHeight="1" spans="3:17">
      <c r="C132" s="233">
        <v>242510132</v>
      </c>
      <c r="D132" s="233" t="s">
        <v>202</v>
      </c>
      <c r="E132" s="234" t="s">
        <v>3411</v>
      </c>
      <c r="F132" s="234" t="s">
        <v>3412</v>
      </c>
      <c r="G132" s="235" t="s">
        <v>203</v>
      </c>
      <c r="H132" s="234" t="s">
        <v>3124</v>
      </c>
      <c r="I132" s="236" t="s">
        <v>18</v>
      </c>
      <c r="J132" s="232" t="s">
        <v>18</v>
      </c>
      <c r="K132" s="237">
        <v>242510132</v>
      </c>
      <c r="L132" s="237" t="s">
        <v>202</v>
      </c>
      <c r="M132" s="234" t="s">
        <v>3411</v>
      </c>
      <c r="N132" s="234" t="s">
        <v>3412</v>
      </c>
      <c r="O132" s="234" t="s">
        <v>203</v>
      </c>
      <c r="P132" s="234" t="s">
        <v>3124</v>
      </c>
      <c r="Q132" s="232" t="s">
        <v>18</v>
      </c>
    </row>
    <row r="133" customHeight="1" spans="3:17">
      <c r="C133" s="233">
        <v>242510133</v>
      </c>
      <c r="D133" s="233" t="s">
        <v>504</v>
      </c>
      <c r="E133" s="234" t="s">
        <v>3413</v>
      </c>
      <c r="F133" s="234" t="s">
        <v>3414</v>
      </c>
      <c r="G133" s="235" t="s">
        <v>505</v>
      </c>
      <c r="H133" s="235" t="s">
        <v>3203</v>
      </c>
      <c r="I133" s="236" t="s">
        <v>18</v>
      </c>
      <c r="J133" s="232" t="s">
        <v>18</v>
      </c>
      <c r="K133" s="237">
        <v>242510133</v>
      </c>
      <c r="L133" s="237" t="s">
        <v>504</v>
      </c>
      <c r="M133" s="234" t="s">
        <v>3413</v>
      </c>
      <c r="N133" s="234" t="s">
        <v>3414</v>
      </c>
      <c r="O133" s="234" t="s">
        <v>505</v>
      </c>
      <c r="P133" s="234" t="s">
        <v>3203</v>
      </c>
      <c r="Q133" s="232" t="s">
        <v>18</v>
      </c>
    </row>
    <row r="134" customHeight="1" spans="3:17">
      <c r="C134" s="233">
        <v>242510134</v>
      </c>
      <c r="D134" s="233" t="s">
        <v>204</v>
      </c>
      <c r="E134" s="234" t="s">
        <v>3415</v>
      </c>
      <c r="F134" s="234" t="s">
        <v>3416</v>
      </c>
      <c r="G134" s="235" t="s">
        <v>205</v>
      </c>
      <c r="H134" s="234" t="s">
        <v>3124</v>
      </c>
      <c r="I134" s="236" t="s">
        <v>18</v>
      </c>
      <c r="J134" s="232" t="s">
        <v>18</v>
      </c>
      <c r="K134" s="237">
        <v>242510134</v>
      </c>
      <c r="L134" s="237" t="s">
        <v>204</v>
      </c>
      <c r="M134" s="234" t="s">
        <v>3415</v>
      </c>
      <c r="N134" s="234" t="s">
        <v>3416</v>
      </c>
      <c r="O134" s="234" t="s">
        <v>205</v>
      </c>
      <c r="P134" s="234" t="s">
        <v>3124</v>
      </c>
      <c r="Q134" s="232" t="s">
        <v>18</v>
      </c>
    </row>
    <row r="135" customHeight="1" spans="3:17">
      <c r="C135" s="233">
        <v>242510135</v>
      </c>
      <c r="D135" s="233" t="s">
        <v>284</v>
      </c>
      <c r="E135" s="234" t="s">
        <v>3417</v>
      </c>
      <c r="F135" s="234" t="s">
        <v>3418</v>
      </c>
      <c r="G135" s="235" t="s">
        <v>285</v>
      </c>
      <c r="H135" s="234" t="s">
        <v>3195</v>
      </c>
      <c r="I135" s="239" t="s">
        <v>23</v>
      </c>
      <c r="J135" s="240" t="s">
        <v>23</v>
      </c>
      <c r="K135" s="237">
        <v>242510135</v>
      </c>
      <c r="L135" s="237" t="s">
        <v>284</v>
      </c>
      <c r="M135" s="234" t="s">
        <v>3417</v>
      </c>
      <c r="N135" s="234" t="s">
        <v>3418</v>
      </c>
      <c r="O135" s="234" t="s">
        <v>285</v>
      </c>
      <c r="P135" s="234" t="s">
        <v>3195</v>
      </c>
      <c r="Q135" s="240" t="s">
        <v>23</v>
      </c>
    </row>
    <row r="136" customHeight="1" spans="3:17">
      <c r="C136" s="233">
        <v>242510136</v>
      </c>
      <c r="D136" s="233" t="s">
        <v>428</v>
      </c>
      <c r="E136" s="234" t="s">
        <v>3419</v>
      </c>
      <c r="F136" s="234" t="s">
        <v>3420</v>
      </c>
      <c r="G136" s="235" t="s">
        <v>429</v>
      </c>
      <c r="H136" s="234" t="s">
        <v>3421</v>
      </c>
      <c r="I136" s="236" t="s">
        <v>23</v>
      </c>
      <c r="J136" s="232" t="s">
        <v>23</v>
      </c>
      <c r="K136" s="237">
        <v>242510136</v>
      </c>
      <c r="L136" s="237" t="s">
        <v>428</v>
      </c>
      <c r="M136" s="234" t="s">
        <v>3419</v>
      </c>
      <c r="N136" s="234" t="s">
        <v>3420</v>
      </c>
      <c r="O136" s="234" t="s">
        <v>429</v>
      </c>
      <c r="P136" s="234" t="s">
        <v>3421</v>
      </c>
      <c r="Q136" s="232" t="s">
        <v>23</v>
      </c>
    </row>
    <row r="137" customHeight="1" spans="3:17">
      <c r="C137" s="233">
        <v>242510137</v>
      </c>
      <c r="D137" s="233" t="s">
        <v>288</v>
      </c>
      <c r="E137" s="234" t="s">
        <v>3422</v>
      </c>
      <c r="F137" s="234" t="s">
        <v>3423</v>
      </c>
      <c r="G137" s="235" t="s">
        <v>289</v>
      </c>
      <c r="H137" s="234" t="s">
        <v>3124</v>
      </c>
      <c r="I137" s="236" t="s">
        <v>18</v>
      </c>
      <c r="J137" s="232" t="s">
        <v>18</v>
      </c>
      <c r="K137" s="237">
        <v>242510137</v>
      </c>
      <c r="L137" s="237" t="s">
        <v>288</v>
      </c>
      <c r="M137" s="234" t="s">
        <v>3422</v>
      </c>
      <c r="N137" s="234" t="s">
        <v>3423</v>
      </c>
      <c r="O137" s="234" t="s">
        <v>289</v>
      </c>
      <c r="P137" s="234" t="s">
        <v>3124</v>
      </c>
      <c r="Q137" s="232" t="s">
        <v>18</v>
      </c>
    </row>
    <row r="138" customHeight="1" spans="3:17">
      <c r="C138" s="233">
        <v>242510138</v>
      </c>
      <c r="D138" s="233" t="s">
        <v>136</v>
      </c>
      <c r="E138" s="234" t="s">
        <v>3424</v>
      </c>
      <c r="F138" s="234" t="s">
        <v>3425</v>
      </c>
      <c r="G138" s="235" t="s">
        <v>137</v>
      </c>
      <c r="H138" s="234" t="s">
        <v>3426</v>
      </c>
      <c r="I138" s="236" t="s">
        <v>18</v>
      </c>
      <c r="J138" s="232" t="s">
        <v>18</v>
      </c>
      <c r="K138" s="237">
        <v>242510138</v>
      </c>
      <c r="L138" s="237" t="s">
        <v>136</v>
      </c>
      <c r="M138" s="234" t="s">
        <v>3424</v>
      </c>
      <c r="N138" s="234" t="s">
        <v>3425</v>
      </c>
      <c r="O138" s="234" t="s">
        <v>137</v>
      </c>
      <c r="P138" s="234" t="s">
        <v>3426</v>
      </c>
      <c r="Q138" s="232" t="s">
        <v>18</v>
      </c>
    </row>
    <row r="139" customHeight="1" spans="3:17">
      <c r="C139" s="233">
        <v>242510139</v>
      </c>
      <c r="D139" s="233" t="s">
        <v>858</v>
      </c>
      <c r="E139" s="234" t="s">
        <v>3427</v>
      </c>
      <c r="F139" s="234" t="s">
        <v>3428</v>
      </c>
      <c r="G139" s="235" t="s">
        <v>859</v>
      </c>
      <c r="H139" s="235" t="s">
        <v>3124</v>
      </c>
      <c r="I139" s="236" t="s">
        <v>23</v>
      </c>
      <c r="J139" s="232" t="s">
        <v>23</v>
      </c>
      <c r="K139" s="237">
        <v>242510139</v>
      </c>
      <c r="L139" s="237" t="s">
        <v>858</v>
      </c>
      <c r="M139" s="234" t="s">
        <v>3427</v>
      </c>
      <c r="N139" s="234" t="s">
        <v>3428</v>
      </c>
      <c r="O139" s="234" t="s">
        <v>859</v>
      </c>
      <c r="P139" s="234" t="s">
        <v>3124</v>
      </c>
      <c r="Q139" s="232" t="s">
        <v>23</v>
      </c>
    </row>
    <row r="140" customHeight="1" spans="3:17">
      <c r="C140" s="233">
        <v>242510140</v>
      </c>
      <c r="D140" s="233" t="s">
        <v>432</v>
      </c>
      <c r="E140" s="234" t="s">
        <v>3429</v>
      </c>
      <c r="F140" s="234" t="s">
        <v>3430</v>
      </c>
      <c r="G140" s="235" t="s">
        <v>433</v>
      </c>
      <c r="H140" s="234" t="s">
        <v>3124</v>
      </c>
      <c r="I140" s="236" t="s">
        <v>18</v>
      </c>
      <c r="J140" s="232" t="s">
        <v>18</v>
      </c>
      <c r="K140" s="237">
        <v>242510140</v>
      </c>
      <c r="L140" s="237" t="s">
        <v>432</v>
      </c>
      <c r="M140" s="234" t="s">
        <v>3429</v>
      </c>
      <c r="N140" s="234" t="s">
        <v>3430</v>
      </c>
      <c r="O140" s="234" t="s">
        <v>433</v>
      </c>
      <c r="P140" s="234" t="s">
        <v>3124</v>
      </c>
      <c r="Q140" s="232" t="s">
        <v>18</v>
      </c>
    </row>
    <row r="141" customHeight="1" spans="3:17">
      <c r="C141" s="233">
        <v>242510141</v>
      </c>
      <c r="D141" s="233" t="s">
        <v>862</v>
      </c>
      <c r="E141" s="234" t="s">
        <v>3431</v>
      </c>
      <c r="F141" s="234" t="s">
        <v>3432</v>
      </c>
      <c r="G141" s="235" t="s">
        <v>863</v>
      </c>
      <c r="H141" s="235" t="s">
        <v>3433</v>
      </c>
      <c r="I141" s="236" t="s">
        <v>18</v>
      </c>
      <c r="J141" s="232" t="s">
        <v>18</v>
      </c>
      <c r="K141" s="237">
        <v>242510141</v>
      </c>
      <c r="L141" s="237" t="s">
        <v>862</v>
      </c>
      <c r="M141" s="234" t="s">
        <v>3431</v>
      </c>
      <c r="N141" s="234" t="s">
        <v>3432</v>
      </c>
      <c r="O141" s="234" t="s">
        <v>863</v>
      </c>
      <c r="P141" s="234" t="s">
        <v>3433</v>
      </c>
      <c r="Q141" s="232" t="s">
        <v>18</v>
      </c>
    </row>
    <row r="142" customHeight="1" spans="3:17">
      <c r="C142" s="233">
        <v>242510142</v>
      </c>
      <c r="D142" s="233" t="s">
        <v>514</v>
      </c>
      <c r="E142" s="234" t="s">
        <v>3434</v>
      </c>
      <c r="F142" s="234" t="s">
        <v>3435</v>
      </c>
      <c r="G142" s="235" t="s">
        <v>515</v>
      </c>
      <c r="H142" s="234" t="s">
        <v>3124</v>
      </c>
      <c r="I142" s="236" t="s">
        <v>23</v>
      </c>
      <c r="J142" s="232" t="s">
        <v>23</v>
      </c>
      <c r="K142" s="237">
        <v>242510142</v>
      </c>
      <c r="L142" s="237" t="s">
        <v>514</v>
      </c>
      <c r="M142" s="234" t="s">
        <v>3434</v>
      </c>
      <c r="N142" s="234" t="s">
        <v>3435</v>
      </c>
      <c r="O142" s="234" t="s">
        <v>515</v>
      </c>
      <c r="P142" s="234" t="s">
        <v>3124</v>
      </c>
      <c r="Q142" s="232" t="s">
        <v>23</v>
      </c>
    </row>
    <row r="143" customHeight="1" spans="3:17">
      <c r="C143" s="233">
        <v>242510143</v>
      </c>
      <c r="D143" s="233" t="s">
        <v>872</v>
      </c>
      <c r="E143" s="234" t="s">
        <v>3436</v>
      </c>
      <c r="F143" s="234" t="s">
        <v>3437</v>
      </c>
      <c r="G143" s="235" t="s">
        <v>873</v>
      </c>
      <c r="H143" s="234" t="s">
        <v>3438</v>
      </c>
      <c r="I143" s="236" t="s">
        <v>23</v>
      </c>
      <c r="J143" s="232" t="s">
        <v>23</v>
      </c>
      <c r="K143" s="237">
        <v>242510143</v>
      </c>
      <c r="L143" s="237" t="s">
        <v>872</v>
      </c>
      <c r="M143" s="234" t="s">
        <v>3436</v>
      </c>
      <c r="N143" s="234" t="s">
        <v>3437</v>
      </c>
      <c r="O143" s="234" t="s">
        <v>873</v>
      </c>
      <c r="P143" s="234" t="s">
        <v>3438</v>
      </c>
      <c r="Q143" s="232" t="s">
        <v>23</v>
      </c>
    </row>
    <row r="144" customHeight="1" spans="3:17">
      <c r="C144" s="233">
        <v>242510144</v>
      </c>
      <c r="D144" s="233" t="s">
        <v>802</v>
      </c>
      <c r="E144" s="234" t="s">
        <v>3439</v>
      </c>
      <c r="F144" s="234" t="s">
        <v>3440</v>
      </c>
      <c r="G144" s="235" t="s">
        <v>803</v>
      </c>
      <c r="H144" s="234" t="s">
        <v>3124</v>
      </c>
      <c r="I144" s="236" t="s">
        <v>18</v>
      </c>
      <c r="J144" s="232" t="s">
        <v>18</v>
      </c>
      <c r="K144" s="237">
        <v>242510144</v>
      </c>
      <c r="L144" s="237" t="s">
        <v>802</v>
      </c>
      <c r="M144" s="234" t="s">
        <v>3439</v>
      </c>
      <c r="N144" s="234" t="s">
        <v>3440</v>
      </c>
      <c r="O144" s="234" t="s">
        <v>803</v>
      </c>
      <c r="P144" s="234" t="s">
        <v>3124</v>
      </c>
      <c r="Q144" s="232" t="s">
        <v>18</v>
      </c>
    </row>
    <row r="145" customHeight="1" spans="3:17">
      <c r="C145" s="233">
        <v>242510145</v>
      </c>
      <c r="D145" s="233" t="s">
        <v>626</v>
      </c>
      <c r="E145" s="234" t="s">
        <v>3441</v>
      </c>
      <c r="F145" s="234" t="s">
        <v>3442</v>
      </c>
      <c r="G145" s="235" t="s">
        <v>627</v>
      </c>
      <c r="H145" s="234" t="s">
        <v>3281</v>
      </c>
      <c r="I145" s="236" t="s">
        <v>23</v>
      </c>
      <c r="J145" s="232" t="s">
        <v>23</v>
      </c>
      <c r="K145" s="237">
        <v>242510145</v>
      </c>
      <c r="L145" s="237" t="s">
        <v>626</v>
      </c>
      <c r="M145" s="234" t="s">
        <v>3441</v>
      </c>
      <c r="N145" s="234" t="s">
        <v>3442</v>
      </c>
      <c r="O145" s="234" t="s">
        <v>627</v>
      </c>
      <c r="P145" s="234" t="s">
        <v>3281</v>
      </c>
      <c r="Q145" s="232" t="s">
        <v>23</v>
      </c>
    </row>
    <row r="146" customHeight="1" spans="3:17">
      <c r="C146" s="233">
        <v>242510146</v>
      </c>
      <c r="D146" s="233" t="s">
        <v>370</v>
      </c>
      <c r="E146" s="234" t="s">
        <v>3443</v>
      </c>
      <c r="F146" s="234" t="s">
        <v>3444</v>
      </c>
      <c r="G146" s="235" t="s">
        <v>371</v>
      </c>
      <c r="H146" s="234" t="s">
        <v>3445</v>
      </c>
      <c r="I146" s="236" t="s">
        <v>18</v>
      </c>
      <c r="J146" s="232" t="s">
        <v>18</v>
      </c>
      <c r="K146" s="237">
        <v>242510146</v>
      </c>
      <c r="L146" s="237" t="s">
        <v>370</v>
      </c>
      <c r="M146" s="234" t="s">
        <v>3443</v>
      </c>
      <c r="N146" s="234" t="s">
        <v>3444</v>
      </c>
      <c r="O146" s="234" t="s">
        <v>371</v>
      </c>
      <c r="P146" s="234" t="s">
        <v>3445</v>
      </c>
      <c r="Q146" s="232" t="s">
        <v>18</v>
      </c>
    </row>
    <row r="147" customHeight="1" spans="3:17">
      <c r="C147" s="233">
        <v>242510147</v>
      </c>
      <c r="D147" s="233" t="s">
        <v>448</v>
      </c>
      <c r="E147" s="234" t="s">
        <v>3446</v>
      </c>
      <c r="F147" s="234" t="s">
        <v>3447</v>
      </c>
      <c r="G147" s="235" t="s">
        <v>449</v>
      </c>
      <c r="H147" s="234" t="s">
        <v>3150</v>
      </c>
      <c r="I147" s="236" t="s">
        <v>23</v>
      </c>
      <c r="J147" s="232" t="s">
        <v>23</v>
      </c>
      <c r="K147" s="237">
        <v>242510147</v>
      </c>
      <c r="L147" s="237" t="s">
        <v>448</v>
      </c>
      <c r="M147" s="234" t="s">
        <v>3446</v>
      </c>
      <c r="N147" s="234" t="s">
        <v>3447</v>
      </c>
      <c r="O147" s="234" t="s">
        <v>449</v>
      </c>
      <c r="P147" s="234" t="s">
        <v>3150</v>
      </c>
      <c r="Q147" s="232" t="s">
        <v>23</v>
      </c>
    </row>
    <row r="148" customHeight="1" spans="3:17">
      <c r="C148" s="233">
        <v>242510148</v>
      </c>
      <c r="D148" s="233" t="s">
        <v>632</v>
      </c>
      <c r="E148" s="234" t="s">
        <v>3448</v>
      </c>
      <c r="F148" s="234" t="s">
        <v>3449</v>
      </c>
      <c r="G148" s="235" t="s">
        <v>633</v>
      </c>
      <c r="H148" s="234" t="s">
        <v>3450</v>
      </c>
      <c r="I148" s="236" t="s">
        <v>18</v>
      </c>
      <c r="J148" s="232" t="s">
        <v>18</v>
      </c>
      <c r="K148" s="237">
        <v>242510148</v>
      </c>
      <c r="L148" s="237" t="s">
        <v>632</v>
      </c>
      <c r="M148" s="234" t="s">
        <v>3448</v>
      </c>
      <c r="N148" s="234" t="s">
        <v>3449</v>
      </c>
      <c r="O148" s="234" t="s">
        <v>633</v>
      </c>
      <c r="P148" s="234" t="s">
        <v>3450</v>
      </c>
      <c r="Q148" s="232" t="s">
        <v>18</v>
      </c>
    </row>
    <row r="149" customHeight="1" spans="3:17">
      <c r="C149" s="233">
        <v>242510149</v>
      </c>
      <c r="D149" s="233" t="s">
        <v>810</v>
      </c>
      <c r="E149" s="234" t="s">
        <v>3451</v>
      </c>
      <c r="F149" s="234" t="s">
        <v>3452</v>
      </c>
      <c r="G149" s="235" t="s">
        <v>811</v>
      </c>
      <c r="H149" s="234" t="s">
        <v>3124</v>
      </c>
      <c r="I149" s="236" t="s">
        <v>23</v>
      </c>
      <c r="J149" s="232" t="s">
        <v>23</v>
      </c>
      <c r="K149" s="237">
        <v>242510149</v>
      </c>
      <c r="L149" s="237" t="s">
        <v>810</v>
      </c>
      <c r="M149" s="234" t="s">
        <v>3451</v>
      </c>
      <c r="N149" s="234" t="s">
        <v>3452</v>
      </c>
      <c r="O149" s="234" t="s">
        <v>811</v>
      </c>
      <c r="P149" s="234" t="s">
        <v>3124</v>
      </c>
      <c r="Q149" s="232" t="s">
        <v>23</v>
      </c>
    </row>
    <row r="150" customHeight="1" spans="3:17">
      <c r="C150" s="233">
        <v>242510150</v>
      </c>
      <c r="D150" s="233" t="s">
        <v>886</v>
      </c>
      <c r="E150" s="234" t="s">
        <v>3453</v>
      </c>
      <c r="F150" s="234" t="s">
        <v>3454</v>
      </c>
      <c r="G150" s="235" t="s">
        <v>887</v>
      </c>
      <c r="H150" s="234" t="s">
        <v>3455</v>
      </c>
      <c r="I150" s="236" t="s">
        <v>18</v>
      </c>
      <c r="J150" s="232" t="s">
        <v>18</v>
      </c>
      <c r="K150" s="237">
        <v>242510150</v>
      </c>
      <c r="L150" s="237" t="s">
        <v>886</v>
      </c>
      <c r="M150" s="234" t="s">
        <v>3453</v>
      </c>
      <c r="N150" s="234" t="s">
        <v>3454</v>
      </c>
      <c r="O150" s="234" t="s">
        <v>887</v>
      </c>
      <c r="P150" s="234" t="s">
        <v>3455</v>
      </c>
      <c r="Q150" s="232" t="s">
        <v>18</v>
      </c>
    </row>
    <row r="151" customHeight="1" spans="3:17">
      <c r="C151" s="233">
        <v>242510151</v>
      </c>
      <c r="D151" s="233" t="s">
        <v>378</v>
      </c>
      <c r="E151" s="234" t="s">
        <v>3456</v>
      </c>
      <c r="F151" s="234" t="s">
        <v>3457</v>
      </c>
      <c r="G151" s="235" t="s">
        <v>379</v>
      </c>
      <c r="H151" s="234" t="s">
        <v>3248</v>
      </c>
      <c r="I151" s="236" t="s">
        <v>18</v>
      </c>
      <c r="J151" s="232" t="s">
        <v>18</v>
      </c>
      <c r="K151" s="237">
        <v>242510151</v>
      </c>
      <c r="L151" s="237" t="s">
        <v>378</v>
      </c>
      <c r="M151" s="234" t="s">
        <v>3456</v>
      </c>
      <c r="N151" s="234" t="s">
        <v>3457</v>
      </c>
      <c r="O151" s="234" t="s">
        <v>379</v>
      </c>
      <c r="P151" s="234" t="s">
        <v>3248</v>
      </c>
      <c r="Q151" s="232" t="s">
        <v>18</v>
      </c>
    </row>
    <row r="152" customHeight="1" spans="3:17">
      <c r="C152" s="233">
        <v>242510152</v>
      </c>
      <c r="D152" s="233" t="s">
        <v>890</v>
      </c>
      <c r="E152" s="234" t="s">
        <v>3458</v>
      </c>
      <c r="F152" s="234" t="s">
        <v>3459</v>
      </c>
      <c r="G152" s="235" t="s">
        <v>891</v>
      </c>
      <c r="H152" s="234" t="s">
        <v>3124</v>
      </c>
      <c r="I152" s="236" t="s">
        <v>18</v>
      </c>
      <c r="J152" s="232" t="s">
        <v>18</v>
      </c>
      <c r="K152" s="237">
        <v>242510152</v>
      </c>
      <c r="L152" s="237" t="s">
        <v>890</v>
      </c>
      <c r="M152" s="234" t="s">
        <v>3458</v>
      </c>
      <c r="N152" s="234" t="s">
        <v>3459</v>
      </c>
      <c r="O152" s="234" t="s">
        <v>891</v>
      </c>
      <c r="P152" s="234" t="s">
        <v>3124</v>
      </c>
      <c r="Q152" s="232" t="s">
        <v>18</v>
      </c>
    </row>
    <row r="153" customHeight="1" spans="3:17">
      <c r="C153" s="233">
        <v>242510153</v>
      </c>
      <c r="D153" s="233" t="s">
        <v>162</v>
      </c>
      <c r="E153" s="234" t="s">
        <v>3460</v>
      </c>
      <c r="F153" s="234" t="s">
        <v>3193</v>
      </c>
      <c r="G153" s="235" t="s">
        <v>163</v>
      </c>
      <c r="H153" s="234" t="s">
        <v>3218</v>
      </c>
      <c r="I153" s="236" t="s">
        <v>18</v>
      </c>
      <c r="J153" s="232" t="s">
        <v>18</v>
      </c>
      <c r="K153" s="237">
        <v>242510153</v>
      </c>
      <c r="L153" s="237" t="s">
        <v>162</v>
      </c>
      <c r="M153" s="234" t="s">
        <v>3460</v>
      </c>
      <c r="N153" s="234" t="s">
        <v>3193</v>
      </c>
      <c r="O153" s="234" t="s">
        <v>163</v>
      </c>
      <c r="P153" s="234" t="s">
        <v>3218</v>
      </c>
      <c r="Q153" s="232" t="s">
        <v>18</v>
      </c>
    </row>
    <row r="154" customHeight="1" spans="3:17">
      <c r="C154" s="233">
        <v>242510154</v>
      </c>
      <c r="D154" s="233" t="s">
        <v>726</v>
      </c>
      <c r="E154" s="234" t="s">
        <v>3461</v>
      </c>
      <c r="F154" s="234" t="s">
        <v>3462</v>
      </c>
      <c r="G154" s="235" t="s">
        <v>727</v>
      </c>
      <c r="H154" s="235" t="s">
        <v>3132</v>
      </c>
      <c r="I154" s="239" t="s">
        <v>18</v>
      </c>
      <c r="J154" s="240" t="s">
        <v>18</v>
      </c>
      <c r="K154" s="237">
        <v>242510154</v>
      </c>
      <c r="L154" s="237" t="s">
        <v>726</v>
      </c>
      <c r="M154" s="234" t="s">
        <v>3461</v>
      </c>
      <c r="N154" s="234" t="s">
        <v>3462</v>
      </c>
      <c r="O154" s="234" t="s">
        <v>727</v>
      </c>
      <c r="P154" s="234" t="s">
        <v>3132</v>
      </c>
      <c r="Q154" s="240" t="s">
        <v>18</v>
      </c>
    </row>
    <row r="155" customHeight="1" spans="3:17">
      <c r="C155" s="233">
        <v>242510155</v>
      </c>
      <c r="D155" s="233" t="s">
        <v>730</v>
      </c>
      <c r="E155" s="234" t="s">
        <v>3463</v>
      </c>
      <c r="F155" s="234" t="s">
        <v>3464</v>
      </c>
      <c r="G155" s="235" t="s">
        <v>731</v>
      </c>
      <c r="H155" s="234" t="s">
        <v>3465</v>
      </c>
      <c r="I155" s="236" t="s">
        <v>23</v>
      </c>
      <c r="J155" s="232" t="s">
        <v>23</v>
      </c>
      <c r="K155" s="237">
        <v>242510155</v>
      </c>
      <c r="L155" s="237" t="s">
        <v>730</v>
      </c>
      <c r="M155" s="234" t="s">
        <v>3463</v>
      </c>
      <c r="N155" s="234" t="s">
        <v>3464</v>
      </c>
      <c r="O155" s="234" t="s">
        <v>731</v>
      </c>
      <c r="P155" s="234" t="s">
        <v>3465</v>
      </c>
      <c r="Q155" s="232" t="s">
        <v>23</v>
      </c>
    </row>
    <row r="156" customHeight="1" spans="3:17">
      <c r="C156" s="233">
        <v>242510156</v>
      </c>
      <c r="D156" s="233" t="s">
        <v>556</v>
      </c>
      <c r="E156" s="234" t="s">
        <v>3466</v>
      </c>
      <c r="F156" s="234" t="s">
        <v>3467</v>
      </c>
      <c r="G156" s="235" t="s">
        <v>557</v>
      </c>
      <c r="H156" s="234" t="s">
        <v>3124</v>
      </c>
      <c r="I156" s="236" t="s">
        <v>23</v>
      </c>
      <c r="J156" s="232" t="s">
        <v>23</v>
      </c>
      <c r="K156" s="237">
        <v>242510156</v>
      </c>
      <c r="L156" s="237" t="s">
        <v>556</v>
      </c>
      <c r="M156" s="234" t="s">
        <v>3466</v>
      </c>
      <c r="N156" s="234" t="s">
        <v>3467</v>
      </c>
      <c r="O156" s="234" t="s">
        <v>557</v>
      </c>
      <c r="P156" s="234" t="s">
        <v>3124</v>
      </c>
      <c r="Q156" s="232" t="s">
        <v>23</v>
      </c>
    </row>
    <row r="157" customHeight="1" spans="3:17">
      <c r="C157" s="233">
        <v>242510157</v>
      </c>
      <c r="D157" s="233" t="s">
        <v>460</v>
      </c>
      <c r="E157" s="234" t="s">
        <v>3468</v>
      </c>
      <c r="F157" s="234" t="s">
        <v>3469</v>
      </c>
      <c r="G157" s="235" t="s">
        <v>461</v>
      </c>
      <c r="H157" s="234" t="s">
        <v>3150</v>
      </c>
      <c r="I157" s="236" t="s">
        <v>18</v>
      </c>
      <c r="J157" s="232" t="s">
        <v>18</v>
      </c>
      <c r="K157" s="237">
        <v>242510157</v>
      </c>
      <c r="L157" s="237" t="s">
        <v>460</v>
      </c>
      <c r="M157" s="234" t="s">
        <v>3468</v>
      </c>
      <c r="N157" s="234" t="s">
        <v>3469</v>
      </c>
      <c r="O157" s="234" t="s">
        <v>461</v>
      </c>
      <c r="P157" s="234" t="s">
        <v>3150</v>
      </c>
      <c r="Q157" s="232" t="s">
        <v>18</v>
      </c>
    </row>
    <row r="158" customHeight="1" spans="3:17">
      <c r="C158" s="233">
        <v>242510158</v>
      </c>
      <c r="D158" s="233" t="s">
        <v>466</v>
      </c>
      <c r="E158" s="234" t="s">
        <v>3470</v>
      </c>
      <c r="F158" s="234" t="s">
        <v>3471</v>
      </c>
      <c r="G158" s="235" t="s">
        <v>467</v>
      </c>
      <c r="H158" s="234" t="s">
        <v>3124</v>
      </c>
      <c r="I158" s="236" t="s">
        <v>18</v>
      </c>
      <c r="J158" s="232" t="s">
        <v>18</v>
      </c>
      <c r="K158" s="237">
        <v>242510158</v>
      </c>
      <c r="L158" s="237" t="s">
        <v>466</v>
      </c>
      <c r="M158" s="234" t="s">
        <v>3470</v>
      </c>
      <c r="N158" s="234" t="s">
        <v>3471</v>
      </c>
      <c r="O158" s="234" t="s">
        <v>467</v>
      </c>
      <c r="P158" s="234" t="s">
        <v>3124</v>
      </c>
      <c r="Q158" s="232" t="s">
        <v>18</v>
      </c>
    </row>
    <row r="159" customHeight="1" spans="3:17">
      <c r="C159" s="233">
        <v>242510159</v>
      </c>
      <c r="D159" s="233" t="s">
        <v>560</v>
      </c>
      <c r="E159" s="234" t="s">
        <v>3472</v>
      </c>
      <c r="F159" s="234" t="s">
        <v>3473</v>
      </c>
      <c r="G159" s="235" t="s">
        <v>561</v>
      </c>
      <c r="H159" s="234" t="s">
        <v>3124</v>
      </c>
      <c r="I159" s="236" t="s">
        <v>23</v>
      </c>
      <c r="J159" s="232" t="s">
        <v>23</v>
      </c>
      <c r="K159" s="237">
        <v>242510159</v>
      </c>
      <c r="L159" s="237" t="s">
        <v>560</v>
      </c>
      <c r="M159" s="234" t="s">
        <v>3472</v>
      </c>
      <c r="N159" s="234" t="s">
        <v>3473</v>
      </c>
      <c r="O159" s="234" t="s">
        <v>561</v>
      </c>
      <c r="P159" s="234" t="s">
        <v>3124</v>
      </c>
      <c r="Q159" s="232" t="s">
        <v>23</v>
      </c>
    </row>
    <row r="160" customHeight="1" spans="3:17">
      <c r="C160" s="233">
        <v>242510160</v>
      </c>
      <c r="D160" s="233" t="s">
        <v>318</v>
      </c>
      <c r="E160" s="234" t="s">
        <v>3474</v>
      </c>
      <c r="F160" s="234" t="s">
        <v>3475</v>
      </c>
      <c r="G160" s="235" t="s">
        <v>319</v>
      </c>
      <c r="H160" s="234" t="s">
        <v>3124</v>
      </c>
      <c r="I160" s="236" t="s">
        <v>18</v>
      </c>
      <c r="J160" s="232" t="s">
        <v>18</v>
      </c>
      <c r="K160" s="243">
        <v>242510160</v>
      </c>
      <c r="L160" s="237" t="s">
        <v>318</v>
      </c>
      <c r="M160" s="234" t="s">
        <v>3474</v>
      </c>
      <c r="N160" s="234" t="s">
        <v>3475</v>
      </c>
      <c r="O160" s="234" t="s">
        <v>319</v>
      </c>
      <c r="P160" s="234" t="s">
        <v>3124</v>
      </c>
      <c r="Q160" s="232" t="s">
        <v>18</v>
      </c>
    </row>
    <row r="161" customHeight="1" spans="3:17">
      <c r="C161" s="233">
        <v>242510161</v>
      </c>
      <c r="D161" s="233" t="s">
        <v>174</v>
      </c>
      <c r="E161" s="234" t="s">
        <v>3476</v>
      </c>
      <c r="F161" s="234" t="s">
        <v>3477</v>
      </c>
      <c r="G161" s="235" t="s">
        <v>175</v>
      </c>
      <c r="H161" s="234" t="s">
        <v>3208</v>
      </c>
      <c r="I161" s="236" t="s">
        <v>18</v>
      </c>
      <c r="J161" s="232" t="s">
        <v>18</v>
      </c>
      <c r="K161" s="237">
        <v>242510161</v>
      </c>
      <c r="L161" s="237" t="s">
        <v>174</v>
      </c>
      <c r="M161" s="234" t="s">
        <v>3476</v>
      </c>
      <c r="N161" s="234" t="s">
        <v>3477</v>
      </c>
      <c r="O161" s="234" t="s">
        <v>175</v>
      </c>
      <c r="P161" s="234" t="s">
        <v>3208</v>
      </c>
      <c r="Q161" s="232" t="s">
        <v>18</v>
      </c>
    </row>
    <row r="162" customHeight="1" spans="3:17">
      <c r="C162" s="233">
        <v>242510162</v>
      </c>
      <c r="D162" s="233" t="s">
        <v>16</v>
      </c>
      <c r="E162" s="234" t="s">
        <v>3478</v>
      </c>
      <c r="F162" s="234" t="s">
        <v>3479</v>
      </c>
      <c r="G162" s="235" t="s">
        <v>17</v>
      </c>
      <c r="H162" s="234" t="s">
        <v>3124</v>
      </c>
      <c r="I162" s="236" t="s">
        <v>18</v>
      </c>
      <c r="J162" s="232" t="s">
        <v>18</v>
      </c>
      <c r="K162" s="237">
        <v>242510162</v>
      </c>
      <c r="L162" s="237" t="s">
        <v>16</v>
      </c>
      <c r="M162" s="234" t="s">
        <v>3478</v>
      </c>
      <c r="N162" s="234" t="s">
        <v>3479</v>
      </c>
      <c r="O162" s="234" t="s">
        <v>17</v>
      </c>
      <c r="P162" s="234" t="s">
        <v>3124</v>
      </c>
      <c r="Q162" s="232" t="s">
        <v>18</v>
      </c>
    </row>
    <row r="163" customHeight="1" spans="3:17">
      <c r="C163" s="233">
        <v>242510163</v>
      </c>
      <c r="D163" s="233" t="s">
        <v>826</v>
      </c>
      <c r="E163" s="234" t="s">
        <v>3480</v>
      </c>
      <c r="F163" s="234" t="s">
        <v>3481</v>
      </c>
      <c r="G163" s="235" t="s">
        <v>827</v>
      </c>
      <c r="H163" s="234" t="s">
        <v>3124</v>
      </c>
      <c r="I163" s="236" t="s">
        <v>23</v>
      </c>
      <c r="J163" s="232" t="s">
        <v>23</v>
      </c>
      <c r="K163" s="237">
        <v>242510163</v>
      </c>
      <c r="L163" s="237" t="s">
        <v>826</v>
      </c>
      <c r="M163" s="234" t="s">
        <v>3480</v>
      </c>
      <c r="N163" s="234" t="s">
        <v>3481</v>
      </c>
      <c r="O163" s="234" t="s">
        <v>827</v>
      </c>
      <c r="P163" s="234" t="s">
        <v>3124</v>
      </c>
      <c r="Q163" s="232" t="s">
        <v>23</v>
      </c>
    </row>
    <row r="164" customHeight="1" spans="3:17">
      <c r="C164" s="233">
        <v>242510164</v>
      </c>
      <c r="D164" s="233" t="s">
        <v>102</v>
      </c>
      <c r="E164" s="234" t="s">
        <v>3482</v>
      </c>
      <c r="F164" s="234" t="s">
        <v>3483</v>
      </c>
      <c r="G164" s="235" t="s">
        <v>103</v>
      </c>
      <c r="H164" s="234" t="s">
        <v>3484</v>
      </c>
      <c r="I164" s="236" t="s">
        <v>18</v>
      </c>
      <c r="J164" s="232" t="s">
        <v>18</v>
      </c>
      <c r="K164" s="237">
        <v>242510164</v>
      </c>
      <c r="L164" s="237" t="s">
        <v>102</v>
      </c>
      <c r="M164" s="234" t="s">
        <v>3482</v>
      </c>
      <c r="N164" s="234" t="s">
        <v>3483</v>
      </c>
      <c r="O164" s="234" t="s">
        <v>103</v>
      </c>
      <c r="P164" s="234" t="s">
        <v>3484</v>
      </c>
      <c r="Q164" s="232" t="s">
        <v>18</v>
      </c>
    </row>
    <row r="165" customHeight="1" spans="3:17">
      <c r="C165" s="233">
        <v>242510165</v>
      </c>
      <c r="D165" s="233" t="s">
        <v>572</v>
      </c>
      <c r="E165" s="234" t="s">
        <v>3485</v>
      </c>
      <c r="F165" s="234" t="s">
        <v>3486</v>
      </c>
      <c r="G165" s="235" t="s">
        <v>573</v>
      </c>
      <c r="H165" s="234" t="s">
        <v>3487</v>
      </c>
      <c r="I165" s="236" t="s">
        <v>18</v>
      </c>
      <c r="J165" s="232" t="s">
        <v>18</v>
      </c>
      <c r="K165" s="237">
        <v>242510165</v>
      </c>
      <c r="L165" s="237" t="s">
        <v>572</v>
      </c>
      <c r="M165" s="234" t="s">
        <v>3485</v>
      </c>
      <c r="N165" s="234" t="s">
        <v>3486</v>
      </c>
      <c r="O165" s="234" t="s">
        <v>573</v>
      </c>
      <c r="P165" s="234" t="s">
        <v>3487</v>
      </c>
      <c r="Q165" s="232" t="s">
        <v>18</v>
      </c>
    </row>
    <row r="166" customHeight="1" spans="3:17">
      <c r="C166" s="233">
        <v>242510166</v>
      </c>
      <c r="D166" s="233" t="s">
        <v>104</v>
      </c>
      <c r="E166" s="234" t="s">
        <v>3488</v>
      </c>
      <c r="F166" s="234" t="s">
        <v>3489</v>
      </c>
      <c r="G166" s="235" t="s">
        <v>105</v>
      </c>
      <c r="H166" s="234" t="s">
        <v>3248</v>
      </c>
      <c r="I166" s="236" t="s">
        <v>18</v>
      </c>
      <c r="J166" s="232" t="s">
        <v>18</v>
      </c>
      <c r="K166" s="237">
        <v>242510166</v>
      </c>
      <c r="L166" s="237" t="s">
        <v>104</v>
      </c>
      <c r="M166" s="234" t="s">
        <v>3488</v>
      </c>
      <c r="N166" s="234" t="s">
        <v>3489</v>
      </c>
      <c r="O166" s="234" t="s">
        <v>105</v>
      </c>
      <c r="P166" s="234" t="s">
        <v>3248</v>
      </c>
      <c r="Q166" s="232" t="s">
        <v>18</v>
      </c>
    </row>
    <row r="167" customHeight="1" spans="3:17">
      <c r="C167" s="233">
        <v>242510167</v>
      </c>
      <c r="D167" s="233" t="s">
        <v>190</v>
      </c>
      <c r="E167" s="234" t="s">
        <v>3329</v>
      </c>
      <c r="F167" s="234" t="s">
        <v>3330</v>
      </c>
      <c r="G167" s="238" t="s">
        <v>191</v>
      </c>
      <c r="H167" s="234" t="s">
        <v>3331</v>
      </c>
      <c r="I167" s="236" t="s">
        <v>18</v>
      </c>
      <c r="J167" s="232" t="s">
        <v>18</v>
      </c>
      <c r="K167" s="237">
        <v>242510167</v>
      </c>
      <c r="L167" s="237" t="s">
        <v>190</v>
      </c>
      <c r="M167" s="234" t="s">
        <v>3490</v>
      </c>
      <c r="N167" s="234" t="s">
        <v>3491</v>
      </c>
      <c r="O167" s="234" t="s">
        <v>191</v>
      </c>
      <c r="P167" s="234" t="s">
        <v>3124</v>
      </c>
      <c r="Q167" s="232" t="s">
        <v>18</v>
      </c>
    </row>
    <row r="168" customHeight="1" spans="3:17">
      <c r="C168" s="233">
        <v>242510168</v>
      </c>
      <c r="D168" s="233" t="s">
        <v>33</v>
      </c>
      <c r="E168" s="234" t="s">
        <v>3492</v>
      </c>
      <c r="F168" s="234" t="s">
        <v>3493</v>
      </c>
      <c r="G168" s="235" t="s">
        <v>34</v>
      </c>
      <c r="H168" s="234" t="s">
        <v>3124</v>
      </c>
      <c r="I168" s="236" t="s">
        <v>23</v>
      </c>
      <c r="J168" s="232" t="s">
        <v>23</v>
      </c>
      <c r="K168" s="237">
        <v>242510168</v>
      </c>
      <c r="L168" s="237" t="s">
        <v>33</v>
      </c>
      <c r="M168" s="234" t="s">
        <v>3492</v>
      </c>
      <c r="N168" s="234" t="s">
        <v>3493</v>
      </c>
      <c r="O168" s="234" t="s">
        <v>34</v>
      </c>
      <c r="P168" s="234" t="s">
        <v>3124</v>
      </c>
      <c r="Q168" s="232" t="s">
        <v>23</v>
      </c>
    </row>
    <row r="169" customHeight="1" spans="3:17">
      <c r="C169" s="233">
        <v>242510169</v>
      </c>
      <c r="D169" s="233" t="s">
        <v>35</v>
      </c>
      <c r="E169" s="234" t="s">
        <v>3494</v>
      </c>
      <c r="F169" s="234" t="s">
        <v>3495</v>
      </c>
      <c r="G169" s="235" t="s">
        <v>36</v>
      </c>
      <c r="H169" s="234" t="s">
        <v>3496</v>
      </c>
      <c r="I169" s="236" t="s">
        <v>23</v>
      </c>
      <c r="J169" s="232" t="s">
        <v>23</v>
      </c>
      <c r="K169" s="237">
        <v>242510169</v>
      </c>
      <c r="L169" s="237" t="s">
        <v>35</v>
      </c>
      <c r="M169" s="234" t="s">
        <v>3494</v>
      </c>
      <c r="N169" s="234" t="s">
        <v>3495</v>
      </c>
      <c r="O169" s="234" t="s">
        <v>36</v>
      </c>
      <c r="P169" s="234" t="s">
        <v>3496</v>
      </c>
      <c r="Q169" s="232" t="s">
        <v>23</v>
      </c>
    </row>
    <row r="170" customHeight="1" spans="3:17">
      <c r="C170" s="233">
        <v>242510170</v>
      </c>
      <c r="D170" s="233" t="s">
        <v>264</v>
      </c>
      <c r="E170" s="234" t="s">
        <v>3497</v>
      </c>
      <c r="F170" s="234" t="s">
        <v>3498</v>
      </c>
      <c r="G170" s="235" t="s">
        <v>265</v>
      </c>
      <c r="H170" s="234" t="s">
        <v>3124</v>
      </c>
      <c r="I170" s="236" t="s">
        <v>18</v>
      </c>
      <c r="J170" s="232" t="s">
        <v>18</v>
      </c>
      <c r="K170" s="237">
        <v>242510170</v>
      </c>
      <c r="L170" s="237" t="s">
        <v>264</v>
      </c>
      <c r="M170" s="234" t="s">
        <v>3497</v>
      </c>
      <c r="N170" s="234" t="s">
        <v>3498</v>
      </c>
      <c r="O170" s="234" t="s">
        <v>265</v>
      </c>
      <c r="P170" s="234" t="s">
        <v>3124</v>
      </c>
      <c r="Q170" s="232" t="s">
        <v>18</v>
      </c>
    </row>
    <row r="171" customHeight="1" spans="3:17">
      <c r="C171" s="233">
        <v>242510171</v>
      </c>
      <c r="D171" s="233" t="s">
        <v>764</v>
      </c>
      <c r="E171" s="234" t="s">
        <v>3499</v>
      </c>
      <c r="F171" s="234" t="s">
        <v>3500</v>
      </c>
      <c r="G171" s="235" t="s">
        <v>765</v>
      </c>
      <c r="H171" s="234" t="s">
        <v>3501</v>
      </c>
      <c r="I171" s="236" t="s">
        <v>23</v>
      </c>
      <c r="J171" s="232" t="s">
        <v>23</v>
      </c>
      <c r="K171" s="237">
        <v>242510171</v>
      </c>
      <c r="L171" s="237" t="s">
        <v>764</v>
      </c>
      <c r="M171" s="234" t="s">
        <v>3499</v>
      </c>
      <c r="N171" s="234" t="s">
        <v>3500</v>
      </c>
      <c r="O171" s="234" t="s">
        <v>765</v>
      </c>
      <c r="P171" s="234" t="s">
        <v>3501</v>
      </c>
      <c r="Q171" s="232" t="s">
        <v>23</v>
      </c>
    </row>
    <row r="172" customHeight="1" spans="3:17">
      <c r="C172" s="233">
        <v>242510172</v>
      </c>
      <c r="D172" s="233" t="s">
        <v>494</v>
      </c>
      <c r="E172" s="234" t="s">
        <v>3502</v>
      </c>
      <c r="F172" s="234" t="s">
        <v>3503</v>
      </c>
      <c r="G172" s="235" t="s">
        <v>495</v>
      </c>
      <c r="H172" s="235" t="s">
        <v>3504</v>
      </c>
      <c r="I172" s="236" t="s">
        <v>23</v>
      </c>
      <c r="J172" s="232" t="s">
        <v>23</v>
      </c>
      <c r="K172" s="237">
        <v>242510172</v>
      </c>
      <c r="L172" s="237" t="s">
        <v>494</v>
      </c>
      <c r="M172" s="234" t="s">
        <v>3502</v>
      </c>
      <c r="N172" s="234" t="s">
        <v>3503</v>
      </c>
      <c r="O172" s="234" t="s">
        <v>495</v>
      </c>
      <c r="P172" s="234" t="s">
        <v>3504</v>
      </c>
      <c r="Q172" s="232" t="s">
        <v>23</v>
      </c>
    </row>
    <row r="173" customHeight="1" spans="3:17">
      <c r="C173" s="233">
        <v>242510173</v>
      </c>
      <c r="D173" s="233" t="s">
        <v>774</v>
      </c>
      <c r="E173" s="234" t="s">
        <v>3505</v>
      </c>
      <c r="F173" s="234" t="s">
        <v>3506</v>
      </c>
      <c r="G173" s="235" t="s">
        <v>775</v>
      </c>
      <c r="H173" s="234" t="s">
        <v>3181</v>
      </c>
      <c r="I173" s="239" t="s">
        <v>23</v>
      </c>
      <c r="J173" s="240" t="s">
        <v>23</v>
      </c>
      <c r="K173" s="237">
        <v>242510173</v>
      </c>
      <c r="L173" s="237" t="s">
        <v>774</v>
      </c>
      <c r="M173" s="234" t="s">
        <v>3505</v>
      </c>
      <c r="N173" s="234" t="s">
        <v>3506</v>
      </c>
      <c r="O173" s="234" t="s">
        <v>775</v>
      </c>
      <c r="P173" s="234" t="s">
        <v>3181</v>
      </c>
      <c r="Q173" s="240" t="s">
        <v>23</v>
      </c>
    </row>
    <row r="174" customHeight="1" spans="3:17">
      <c r="C174" s="233">
        <v>242510174</v>
      </c>
      <c r="D174" s="233" t="s">
        <v>592</v>
      </c>
      <c r="E174" s="234" t="s">
        <v>3507</v>
      </c>
      <c r="F174" s="234" t="s">
        <v>3508</v>
      </c>
      <c r="G174" s="235" t="s">
        <v>593</v>
      </c>
      <c r="H174" s="235" t="s">
        <v>3124</v>
      </c>
      <c r="I174" s="236" t="s">
        <v>23</v>
      </c>
      <c r="J174" s="232" t="s">
        <v>23</v>
      </c>
      <c r="K174" s="237">
        <v>242510174</v>
      </c>
      <c r="L174" s="237" t="s">
        <v>592</v>
      </c>
      <c r="M174" s="234" t="s">
        <v>3507</v>
      </c>
      <c r="N174" s="234" t="s">
        <v>3508</v>
      </c>
      <c r="O174" s="234" t="s">
        <v>593</v>
      </c>
      <c r="P174" s="234" t="s">
        <v>3124</v>
      </c>
      <c r="Q174" s="232" t="s">
        <v>23</v>
      </c>
    </row>
    <row r="175" customHeight="1" spans="3:17">
      <c r="C175" s="233">
        <v>242510175</v>
      </c>
      <c r="D175" s="233" t="s">
        <v>52</v>
      </c>
      <c r="E175" s="234" t="s">
        <v>3509</v>
      </c>
      <c r="F175" s="234" t="s">
        <v>3510</v>
      </c>
      <c r="G175" s="235" t="s">
        <v>53</v>
      </c>
      <c r="H175" s="234" t="s">
        <v>3421</v>
      </c>
      <c r="I175" s="236" t="s">
        <v>18</v>
      </c>
      <c r="J175" s="232" t="s">
        <v>18</v>
      </c>
      <c r="K175" s="237">
        <v>242510175</v>
      </c>
      <c r="L175" s="237" t="s">
        <v>52</v>
      </c>
      <c r="M175" s="234" t="s">
        <v>3509</v>
      </c>
      <c r="N175" s="234" t="s">
        <v>3510</v>
      </c>
      <c r="O175" s="234" t="s">
        <v>53</v>
      </c>
      <c r="P175" s="234" t="s">
        <v>3421</v>
      </c>
      <c r="Q175" s="232" t="s">
        <v>18</v>
      </c>
    </row>
    <row r="176" customHeight="1" spans="3:17">
      <c r="C176" s="233">
        <v>242510176</v>
      </c>
      <c r="D176" s="233" t="s">
        <v>508</v>
      </c>
      <c r="E176" s="234" t="s">
        <v>3511</v>
      </c>
      <c r="F176" s="234" t="s">
        <v>3512</v>
      </c>
      <c r="G176" s="235" t="s">
        <v>509</v>
      </c>
      <c r="H176" s="235" t="s">
        <v>3513</v>
      </c>
      <c r="I176" s="236" t="s">
        <v>18</v>
      </c>
      <c r="J176" s="232" t="s">
        <v>18</v>
      </c>
      <c r="K176" s="237">
        <v>242510176</v>
      </c>
      <c r="L176" s="237" t="s">
        <v>508</v>
      </c>
      <c r="M176" s="234" t="s">
        <v>3511</v>
      </c>
      <c r="N176" s="234" t="s">
        <v>3512</v>
      </c>
      <c r="O176" s="234" t="s">
        <v>509</v>
      </c>
      <c r="P176" s="234" t="s">
        <v>3513</v>
      </c>
      <c r="Q176" s="232" t="s">
        <v>18</v>
      </c>
    </row>
    <row r="177" customHeight="1" spans="1:17">
      <c r="C177" s="233">
        <v>242510177</v>
      </c>
      <c r="D177" s="233" t="s">
        <v>510</v>
      </c>
      <c r="E177" s="234" t="s">
        <v>3514</v>
      </c>
      <c r="F177" s="234" t="s">
        <v>3515</v>
      </c>
      <c r="G177" s="235" t="s">
        <v>511</v>
      </c>
      <c r="H177" s="234" t="s">
        <v>3124</v>
      </c>
      <c r="I177" s="236" t="s">
        <v>18</v>
      </c>
      <c r="J177" s="232" t="s">
        <v>18</v>
      </c>
      <c r="K177" s="237">
        <v>242510177</v>
      </c>
      <c r="L177" s="237" t="s">
        <v>510</v>
      </c>
      <c r="M177" s="234" t="s">
        <v>3514</v>
      </c>
      <c r="N177" s="234" t="s">
        <v>3515</v>
      </c>
      <c r="O177" s="234" t="s">
        <v>511</v>
      </c>
      <c r="P177" s="234" t="s">
        <v>3124</v>
      </c>
      <c r="Q177" s="232" t="s">
        <v>18</v>
      </c>
    </row>
    <row r="178" customHeight="1" spans="1:17">
      <c r="C178" s="233">
        <v>242510178</v>
      </c>
      <c r="D178" s="233" t="s">
        <v>600</v>
      </c>
      <c r="E178" s="234" t="s">
        <v>3516</v>
      </c>
      <c r="F178" s="234" t="s">
        <v>3517</v>
      </c>
      <c r="G178" s="235" t="s">
        <v>601</v>
      </c>
      <c r="H178" s="234" t="s">
        <v>3518</v>
      </c>
      <c r="I178" s="236" t="s">
        <v>18</v>
      </c>
      <c r="J178" s="232" t="s">
        <v>18</v>
      </c>
      <c r="K178" s="237">
        <v>242510178</v>
      </c>
      <c r="L178" s="237" t="s">
        <v>600</v>
      </c>
      <c r="M178" s="234" t="s">
        <v>3516</v>
      </c>
      <c r="N178" s="234" t="s">
        <v>3517</v>
      </c>
      <c r="O178" s="234" t="s">
        <v>601</v>
      </c>
      <c r="P178" s="234" t="s">
        <v>3518</v>
      </c>
      <c r="Q178" s="232" t="s">
        <v>18</v>
      </c>
    </row>
    <row r="179" customHeight="1" spans="1:17">
      <c r="C179" s="233">
        <v>242510179</v>
      </c>
      <c r="D179" s="233" t="s">
        <v>602</v>
      </c>
      <c r="E179" s="234" t="s">
        <v>3519</v>
      </c>
      <c r="F179" s="234" t="s">
        <v>3520</v>
      </c>
      <c r="G179" s="235" t="s">
        <v>603</v>
      </c>
      <c r="H179" s="234" t="s">
        <v>3124</v>
      </c>
      <c r="I179" s="236" t="s">
        <v>18</v>
      </c>
      <c r="J179" s="232" t="s">
        <v>18</v>
      </c>
      <c r="K179" s="237">
        <v>242510179</v>
      </c>
      <c r="L179" s="237" t="s">
        <v>602</v>
      </c>
      <c r="M179" s="234" t="s">
        <v>3519</v>
      </c>
      <c r="N179" s="234" t="s">
        <v>3520</v>
      </c>
      <c r="O179" s="234" t="s">
        <v>603</v>
      </c>
      <c r="P179" s="234" t="s">
        <v>3124</v>
      </c>
      <c r="Q179" s="232" t="s">
        <v>18</v>
      </c>
    </row>
    <row r="180" customHeight="1" spans="1:17">
      <c r="C180" s="233">
        <v>242510180</v>
      </c>
      <c r="D180" s="233" t="s">
        <v>794</v>
      </c>
      <c r="E180" s="234" t="s">
        <v>3521</v>
      </c>
      <c r="F180" s="234" t="s">
        <v>3522</v>
      </c>
      <c r="G180" s="235" t="s">
        <v>795</v>
      </c>
      <c r="H180" s="234" t="s">
        <v>3203</v>
      </c>
      <c r="I180" s="236" t="s">
        <v>18</v>
      </c>
      <c r="J180" s="232" t="s">
        <v>18</v>
      </c>
      <c r="K180" s="237">
        <v>242510180</v>
      </c>
      <c r="L180" s="237" t="s">
        <v>794</v>
      </c>
      <c r="M180" s="234" t="s">
        <v>3521</v>
      </c>
      <c r="N180" s="234" t="s">
        <v>3522</v>
      </c>
      <c r="O180" s="234" t="s">
        <v>795</v>
      </c>
      <c r="P180" s="234" t="s">
        <v>3203</v>
      </c>
      <c r="Q180" s="232" t="s">
        <v>18</v>
      </c>
    </row>
    <row r="181" customHeight="1" spans="1:17">
      <c r="C181" s="233">
        <v>242510181</v>
      </c>
      <c r="D181" s="233" t="s">
        <v>860</v>
      </c>
      <c r="E181" s="234" t="s">
        <v>3523</v>
      </c>
      <c r="F181" s="234" t="s">
        <v>3524</v>
      </c>
      <c r="G181" s="235" t="s">
        <v>861</v>
      </c>
      <c r="H181" s="234" t="s">
        <v>3525</v>
      </c>
      <c r="I181" s="239" t="s">
        <v>18</v>
      </c>
      <c r="J181" s="240" t="s">
        <v>18</v>
      </c>
      <c r="K181" s="237">
        <v>242510181</v>
      </c>
      <c r="L181" s="237" t="s">
        <v>860</v>
      </c>
      <c r="M181" s="234" t="s">
        <v>3523</v>
      </c>
      <c r="N181" s="234" t="s">
        <v>3524</v>
      </c>
      <c r="O181" s="234" t="s">
        <v>861</v>
      </c>
      <c r="P181" s="234" t="s">
        <v>3525</v>
      </c>
      <c r="Q181" s="240" t="s">
        <v>18</v>
      </c>
    </row>
    <row r="182" s="228" customFormat="1" customHeight="1" spans="1:17">
      <c r="A182" s="244"/>
      <c r="C182" s="245">
        <v>242510182</v>
      </c>
      <c r="D182" s="245" t="s">
        <v>216</v>
      </c>
      <c r="E182" s="246" t="s">
        <v>3356</v>
      </c>
      <c r="F182" s="246" t="s">
        <v>3357</v>
      </c>
      <c r="G182" s="247" t="s">
        <v>217</v>
      </c>
      <c r="H182" s="246" t="s">
        <v>3358</v>
      </c>
      <c r="I182" s="248" t="s">
        <v>23</v>
      </c>
      <c r="J182" s="249" t="s">
        <v>18</v>
      </c>
      <c r="K182" s="250">
        <v>242510182</v>
      </c>
      <c r="L182" s="250" t="s">
        <v>216</v>
      </c>
      <c r="M182" s="246" t="s">
        <v>3526</v>
      </c>
      <c r="N182" s="246" t="s">
        <v>3527</v>
      </c>
      <c r="O182" s="246" t="s">
        <v>217</v>
      </c>
      <c r="P182" s="246" t="s">
        <v>3124</v>
      </c>
      <c r="Q182" s="249" t="s">
        <v>18</v>
      </c>
    </row>
    <row r="183" customHeight="1" spans="1:17">
      <c r="C183" s="233">
        <v>242510183</v>
      </c>
      <c r="D183" s="233" t="s">
        <v>218</v>
      </c>
      <c r="E183" s="234" t="s">
        <v>3359</v>
      </c>
      <c r="F183" s="234" t="s">
        <v>3360</v>
      </c>
      <c r="G183" s="238" t="s">
        <v>219</v>
      </c>
      <c r="H183" s="234" t="s">
        <v>3124</v>
      </c>
      <c r="I183" s="236" t="s">
        <v>23</v>
      </c>
      <c r="J183" s="232" t="s">
        <v>23</v>
      </c>
      <c r="K183" s="237">
        <v>242510183</v>
      </c>
      <c r="L183" s="237" t="s">
        <v>218</v>
      </c>
      <c r="M183" s="234" t="s">
        <v>3528</v>
      </c>
      <c r="N183" s="234" t="s">
        <v>3529</v>
      </c>
      <c r="O183" s="234" t="s">
        <v>219</v>
      </c>
      <c r="P183" s="234" t="s">
        <v>3124</v>
      </c>
      <c r="Q183" s="232" t="s">
        <v>23</v>
      </c>
    </row>
    <row r="184" customHeight="1" spans="1:17">
      <c r="C184" s="233">
        <v>242510184</v>
      </c>
      <c r="D184" s="233" t="s">
        <v>694</v>
      </c>
      <c r="E184" s="234" t="s">
        <v>3530</v>
      </c>
      <c r="F184" s="234" t="s">
        <v>3531</v>
      </c>
      <c r="G184" s="235" t="s">
        <v>695</v>
      </c>
      <c r="H184" s="234" t="s">
        <v>3124</v>
      </c>
      <c r="I184" s="236" t="s">
        <v>23</v>
      </c>
      <c r="J184" s="232" t="s">
        <v>23</v>
      </c>
      <c r="K184" s="237">
        <v>242510184</v>
      </c>
      <c r="L184" s="237" t="s">
        <v>694</v>
      </c>
      <c r="M184" s="234" t="s">
        <v>3530</v>
      </c>
      <c r="N184" s="234" t="s">
        <v>3531</v>
      </c>
      <c r="O184" s="234" t="s">
        <v>695</v>
      </c>
      <c r="P184" s="234" t="s">
        <v>3124</v>
      </c>
      <c r="Q184" s="232" t="s">
        <v>23</v>
      </c>
    </row>
    <row r="185" customHeight="1" spans="1:17">
      <c r="C185" s="233">
        <v>242510185</v>
      </c>
      <c r="D185" s="233" t="s">
        <v>140</v>
      </c>
      <c r="E185" s="234" t="s">
        <v>3532</v>
      </c>
      <c r="F185" s="234" t="s">
        <v>3533</v>
      </c>
      <c r="G185" s="235" t="s">
        <v>141</v>
      </c>
      <c r="H185" s="234" t="s">
        <v>3534</v>
      </c>
      <c r="I185" s="236" t="s">
        <v>23</v>
      </c>
      <c r="J185" s="232" t="s">
        <v>23</v>
      </c>
      <c r="K185" s="237">
        <v>242510185</v>
      </c>
      <c r="L185" s="237" t="s">
        <v>140</v>
      </c>
      <c r="M185" s="234" t="s">
        <v>3532</v>
      </c>
      <c r="N185" s="234" t="s">
        <v>3533</v>
      </c>
      <c r="O185" s="234" t="s">
        <v>141</v>
      </c>
      <c r="P185" s="234" t="s">
        <v>3534</v>
      </c>
      <c r="Q185" s="232" t="s">
        <v>23</v>
      </c>
    </row>
    <row r="186" customHeight="1" spans="1:17">
      <c r="C186" s="233">
        <v>242510186</v>
      </c>
      <c r="D186" s="233" t="s">
        <v>522</v>
      </c>
      <c r="E186" s="234" t="s">
        <v>3535</v>
      </c>
      <c r="F186" s="234" t="s">
        <v>3536</v>
      </c>
      <c r="G186" s="235" t="s">
        <v>523</v>
      </c>
      <c r="H186" s="234" t="s">
        <v>3124</v>
      </c>
      <c r="I186" s="236" t="s">
        <v>23</v>
      </c>
      <c r="J186" s="232" t="s">
        <v>23</v>
      </c>
      <c r="K186" s="237">
        <v>242510186</v>
      </c>
      <c r="L186" s="237" t="s">
        <v>522</v>
      </c>
      <c r="M186" s="234" t="s">
        <v>3535</v>
      </c>
      <c r="N186" s="234" t="s">
        <v>3536</v>
      </c>
      <c r="O186" s="234" t="s">
        <v>523</v>
      </c>
      <c r="P186" s="234" t="s">
        <v>3124</v>
      </c>
      <c r="Q186" s="232" t="s">
        <v>23</v>
      </c>
    </row>
    <row r="187" customHeight="1" spans="1:17">
      <c r="C187" s="233">
        <v>242510187</v>
      </c>
      <c r="D187" s="233" t="s">
        <v>704</v>
      </c>
      <c r="E187" s="234" t="s">
        <v>3537</v>
      </c>
      <c r="F187" s="234" t="s">
        <v>3538</v>
      </c>
      <c r="G187" s="235" t="s">
        <v>705</v>
      </c>
      <c r="H187" s="234" t="s">
        <v>3248</v>
      </c>
      <c r="I187" s="236" t="s">
        <v>18</v>
      </c>
      <c r="J187" s="232" t="s">
        <v>18</v>
      </c>
      <c r="K187" s="237">
        <v>242510187</v>
      </c>
      <c r="L187" s="237" t="s">
        <v>704</v>
      </c>
      <c r="M187" s="234" t="s">
        <v>3537</v>
      </c>
      <c r="N187" s="234" t="s">
        <v>3538</v>
      </c>
      <c r="O187" s="234" t="s">
        <v>705</v>
      </c>
      <c r="P187" s="234" t="s">
        <v>3248</v>
      </c>
      <c r="Q187" s="232" t="s">
        <v>18</v>
      </c>
    </row>
    <row r="188" customHeight="1" spans="1:17">
      <c r="C188" s="233">
        <v>242510188</v>
      </c>
      <c r="D188" s="233" t="s">
        <v>296</v>
      </c>
      <c r="E188" s="234" t="s">
        <v>3539</v>
      </c>
      <c r="F188" s="234" t="s">
        <v>3540</v>
      </c>
      <c r="G188" s="235" t="s">
        <v>297</v>
      </c>
      <c r="H188" s="234" t="s">
        <v>3358</v>
      </c>
      <c r="I188" s="236" t="s">
        <v>18</v>
      </c>
      <c r="J188" s="232" t="s">
        <v>18</v>
      </c>
      <c r="K188" s="237">
        <v>242510188</v>
      </c>
      <c r="L188" s="237" t="s">
        <v>296</v>
      </c>
      <c r="M188" s="234" t="s">
        <v>3539</v>
      </c>
      <c r="N188" s="234" t="s">
        <v>3540</v>
      </c>
      <c r="O188" s="234" t="s">
        <v>297</v>
      </c>
      <c r="P188" s="234" t="s">
        <v>3358</v>
      </c>
      <c r="Q188" s="232" t="s">
        <v>18</v>
      </c>
    </row>
    <row r="189" customHeight="1" spans="1:17">
      <c r="C189" s="233">
        <v>242510189</v>
      </c>
      <c r="D189" s="233" t="s">
        <v>880</v>
      </c>
      <c r="E189" s="234" t="s">
        <v>3541</v>
      </c>
      <c r="F189" s="234" t="s">
        <v>3542</v>
      </c>
      <c r="G189" s="235" t="s">
        <v>881</v>
      </c>
      <c r="H189" s="234" t="s">
        <v>3124</v>
      </c>
      <c r="I189" s="236" t="s">
        <v>18</v>
      </c>
      <c r="J189" s="232" t="s">
        <v>18</v>
      </c>
      <c r="K189" s="237">
        <v>242510189</v>
      </c>
      <c r="L189" s="237" t="s">
        <v>880</v>
      </c>
      <c r="M189" s="234" t="s">
        <v>3541</v>
      </c>
      <c r="N189" s="234" t="s">
        <v>3542</v>
      </c>
      <c r="O189" s="234" t="s">
        <v>881</v>
      </c>
      <c r="P189" s="234" t="s">
        <v>3124</v>
      </c>
      <c r="Q189" s="232" t="s">
        <v>18</v>
      </c>
    </row>
    <row r="190" customHeight="1" spans="1:17">
      <c r="C190" s="233">
        <v>242510190</v>
      </c>
      <c r="D190" s="233" t="s">
        <v>710</v>
      </c>
      <c r="E190" s="234" t="s">
        <v>3543</v>
      </c>
      <c r="F190" s="234" t="s">
        <v>3544</v>
      </c>
      <c r="G190" s="235" t="s">
        <v>711</v>
      </c>
      <c r="H190" s="234" t="s">
        <v>3545</v>
      </c>
      <c r="I190" s="236" t="s">
        <v>23</v>
      </c>
      <c r="J190" s="232" t="s">
        <v>23</v>
      </c>
      <c r="K190" s="237">
        <v>242510190</v>
      </c>
      <c r="L190" s="237" t="s">
        <v>710</v>
      </c>
      <c r="M190" s="234" t="s">
        <v>3543</v>
      </c>
      <c r="N190" s="234" t="s">
        <v>3544</v>
      </c>
      <c r="O190" s="234" t="s">
        <v>711</v>
      </c>
      <c r="P190" s="234" t="s">
        <v>3545</v>
      </c>
      <c r="Q190" s="232" t="s">
        <v>23</v>
      </c>
    </row>
    <row r="191" customHeight="1" spans="1:17">
      <c r="C191" s="233">
        <v>242510191</v>
      </c>
      <c r="D191" s="233" t="s">
        <v>81</v>
      </c>
      <c r="E191" s="234" t="s">
        <v>3546</v>
      </c>
      <c r="F191" s="234" t="s">
        <v>3547</v>
      </c>
      <c r="G191" s="235" t="s">
        <v>82</v>
      </c>
      <c r="H191" s="234" t="s">
        <v>3150</v>
      </c>
      <c r="I191" s="236" t="s">
        <v>23</v>
      </c>
      <c r="J191" s="232" t="s">
        <v>23</v>
      </c>
      <c r="K191" s="237">
        <v>242510191</v>
      </c>
      <c r="L191" s="237" t="s">
        <v>81</v>
      </c>
      <c r="M191" s="234" t="s">
        <v>3546</v>
      </c>
      <c r="N191" s="234" t="s">
        <v>3547</v>
      </c>
      <c r="O191" s="234" t="s">
        <v>82</v>
      </c>
      <c r="P191" s="234" t="s">
        <v>3150</v>
      </c>
      <c r="Q191" s="232" t="s">
        <v>23</v>
      </c>
    </row>
    <row r="192" customHeight="1" spans="1:17">
      <c r="C192" s="233">
        <v>242510192</v>
      </c>
      <c r="D192" s="233" t="s">
        <v>546</v>
      </c>
      <c r="E192" s="234" t="s">
        <v>3548</v>
      </c>
      <c r="F192" s="234" t="s">
        <v>3549</v>
      </c>
      <c r="G192" s="235" t="s">
        <v>547</v>
      </c>
      <c r="H192" s="234" t="s">
        <v>3124</v>
      </c>
      <c r="I192" s="236" t="s">
        <v>23</v>
      </c>
      <c r="J192" s="232" t="s">
        <v>23</v>
      </c>
      <c r="K192" s="237">
        <v>242510192</v>
      </c>
      <c r="L192" s="237" t="s">
        <v>546</v>
      </c>
      <c r="M192" s="234" t="s">
        <v>3548</v>
      </c>
      <c r="N192" s="234" t="s">
        <v>3549</v>
      </c>
      <c r="O192" s="234" t="s">
        <v>547</v>
      </c>
      <c r="P192" s="234" t="s">
        <v>3124</v>
      </c>
      <c r="Q192" s="232" t="s">
        <v>23</v>
      </c>
    </row>
    <row r="193" customHeight="1" spans="3:17">
      <c r="C193" s="233">
        <v>242510193</v>
      </c>
      <c r="D193" s="233" t="s">
        <v>820</v>
      </c>
      <c r="E193" s="234" t="s">
        <v>3550</v>
      </c>
      <c r="F193" s="234" t="s">
        <v>3551</v>
      </c>
      <c r="G193" s="235" t="s">
        <v>821</v>
      </c>
      <c r="H193" s="234" t="s">
        <v>3139</v>
      </c>
      <c r="I193" s="236" t="s">
        <v>18</v>
      </c>
      <c r="J193" s="232" t="s">
        <v>18</v>
      </c>
      <c r="K193" s="237">
        <v>242510193</v>
      </c>
      <c r="L193" s="237" t="s">
        <v>820</v>
      </c>
      <c r="M193" s="234" t="s">
        <v>3550</v>
      </c>
      <c r="N193" s="234" t="s">
        <v>3551</v>
      </c>
      <c r="O193" s="234" t="s">
        <v>821</v>
      </c>
      <c r="P193" s="234" t="s">
        <v>3139</v>
      </c>
      <c r="Q193" s="232" t="s">
        <v>18</v>
      </c>
    </row>
    <row r="194" customHeight="1" spans="3:17">
      <c r="C194" s="233">
        <v>242510194</v>
      </c>
      <c r="D194" s="233" t="s">
        <v>648</v>
      </c>
      <c r="E194" s="234" t="s">
        <v>3552</v>
      </c>
      <c r="F194" s="234" t="s">
        <v>3553</v>
      </c>
      <c r="G194" s="235" t="s">
        <v>649</v>
      </c>
      <c r="H194" s="234" t="s">
        <v>3248</v>
      </c>
      <c r="I194" s="236" t="s">
        <v>18</v>
      </c>
      <c r="J194" s="232" t="s">
        <v>18</v>
      </c>
      <c r="K194" s="237">
        <v>242510194</v>
      </c>
      <c r="L194" s="237" t="s">
        <v>648</v>
      </c>
      <c r="M194" s="234" t="s">
        <v>3552</v>
      </c>
      <c r="N194" s="234" t="s">
        <v>3553</v>
      </c>
      <c r="O194" s="234" t="s">
        <v>649</v>
      </c>
      <c r="P194" s="234" t="s">
        <v>3248</v>
      </c>
      <c r="Q194" s="232" t="s">
        <v>18</v>
      </c>
    </row>
    <row r="195" customHeight="1" spans="3:17">
      <c r="C195" s="233">
        <v>242510195</v>
      </c>
      <c r="D195" s="233" t="s">
        <v>892</v>
      </c>
      <c r="E195" s="234" t="s">
        <v>3554</v>
      </c>
      <c r="F195" s="234" t="s">
        <v>3555</v>
      </c>
      <c r="G195" s="235" t="s">
        <v>893</v>
      </c>
      <c r="H195" s="234" t="s">
        <v>3124</v>
      </c>
      <c r="I195" s="236" t="s">
        <v>18</v>
      </c>
      <c r="J195" s="232" t="s">
        <v>18</v>
      </c>
      <c r="K195" s="237">
        <v>242510195</v>
      </c>
      <c r="L195" s="237" t="s">
        <v>892</v>
      </c>
      <c r="M195" s="234" t="s">
        <v>3554</v>
      </c>
      <c r="N195" s="234" t="s">
        <v>3555</v>
      </c>
      <c r="O195" s="234" t="s">
        <v>893</v>
      </c>
      <c r="P195" s="234" t="s">
        <v>3124</v>
      </c>
      <c r="Q195" s="232" t="s">
        <v>18</v>
      </c>
    </row>
    <row r="196" customHeight="1" spans="3:17">
      <c r="C196" s="233">
        <v>242510196</v>
      </c>
      <c r="D196" s="233" t="s">
        <v>164</v>
      </c>
      <c r="E196" s="234" t="s">
        <v>3556</v>
      </c>
      <c r="F196" s="234" t="s">
        <v>3557</v>
      </c>
      <c r="G196" s="235" t="s">
        <v>165</v>
      </c>
      <c r="H196" s="234" t="s">
        <v>3558</v>
      </c>
      <c r="I196" s="236" t="s">
        <v>18</v>
      </c>
      <c r="J196" s="232" t="s">
        <v>18</v>
      </c>
      <c r="K196" s="237">
        <v>242510196</v>
      </c>
      <c r="L196" s="237" t="s">
        <v>164</v>
      </c>
      <c r="M196" s="234" t="s">
        <v>3556</v>
      </c>
      <c r="N196" s="234" t="s">
        <v>3557</v>
      </c>
      <c r="O196" s="234" t="s">
        <v>165</v>
      </c>
      <c r="P196" s="234" t="s">
        <v>3558</v>
      </c>
      <c r="Q196" s="232" t="s">
        <v>18</v>
      </c>
    </row>
    <row r="197" customHeight="1" spans="3:17">
      <c r="C197" s="233">
        <v>242510197</v>
      </c>
      <c r="D197" s="233" t="s">
        <v>468</v>
      </c>
      <c r="E197" s="234" t="s">
        <v>3559</v>
      </c>
      <c r="F197" s="234" t="s">
        <v>3560</v>
      </c>
      <c r="G197" s="235" t="s">
        <v>469</v>
      </c>
      <c r="H197" s="234" t="s">
        <v>3150</v>
      </c>
      <c r="I197" s="236" t="s">
        <v>18</v>
      </c>
      <c r="J197" s="232" t="s">
        <v>18</v>
      </c>
      <c r="K197" s="237">
        <v>242510197</v>
      </c>
      <c r="L197" s="237" t="s">
        <v>468</v>
      </c>
      <c r="M197" s="234" t="s">
        <v>3559</v>
      </c>
      <c r="N197" s="234" t="s">
        <v>3560</v>
      </c>
      <c r="O197" s="234" t="s">
        <v>469</v>
      </c>
      <c r="P197" s="234" t="s">
        <v>3150</v>
      </c>
      <c r="Q197" s="232" t="s">
        <v>18</v>
      </c>
    </row>
    <row r="198" customHeight="1" spans="3:17">
      <c r="C198" s="233">
        <v>242510198</v>
      </c>
      <c r="D198" s="233" t="s">
        <v>652</v>
      </c>
      <c r="E198" s="234" t="s">
        <v>3561</v>
      </c>
      <c r="F198" s="234" t="s">
        <v>3562</v>
      </c>
      <c r="G198" s="235" t="s">
        <v>653</v>
      </c>
      <c r="H198" s="234" t="s">
        <v>3563</v>
      </c>
      <c r="I198" s="236" t="s">
        <v>23</v>
      </c>
      <c r="J198" s="232" t="s">
        <v>23</v>
      </c>
      <c r="K198" s="237">
        <v>242510198</v>
      </c>
      <c r="L198" s="237" t="s">
        <v>652</v>
      </c>
      <c r="M198" s="234" t="s">
        <v>3561</v>
      </c>
      <c r="N198" s="234" t="s">
        <v>3562</v>
      </c>
      <c r="O198" s="234" t="s">
        <v>653</v>
      </c>
      <c r="P198" s="234" t="s">
        <v>3563</v>
      </c>
      <c r="Q198" s="232" t="s">
        <v>23</v>
      </c>
    </row>
    <row r="199" customHeight="1" spans="3:17">
      <c r="C199" s="233">
        <v>242510199</v>
      </c>
      <c r="D199" s="233" t="s">
        <v>562</v>
      </c>
      <c r="E199" s="234" t="s">
        <v>3564</v>
      </c>
      <c r="F199" s="234" t="s">
        <v>3565</v>
      </c>
      <c r="G199" s="235" t="s">
        <v>563</v>
      </c>
      <c r="H199" s="235" t="s">
        <v>3124</v>
      </c>
      <c r="I199" s="236" t="s">
        <v>23</v>
      </c>
      <c r="J199" s="232" t="s">
        <v>23</v>
      </c>
      <c r="K199" s="237">
        <v>242510199</v>
      </c>
      <c r="L199" s="237" t="s">
        <v>562</v>
      </c>
      <c r="M199" s="234" t="s">
        <v>3564</v>
      </c>
      <c r="N199" s="234" t="s">
        <v>3565</v>
      </c>
      <c r="O199" s="234" t="s">
        <v>563</v>
      </c>
      <c r="P199" s="234" t="s">
        <v>3124</v>
      </c>
      <c r="Q199" s="232" t="s">
        <v>23</v>
      </c>
    </row>
    <row r="200" customHeight="1" spans="3:17">
      <c r="C200" s="233">
        <v>242510200</v>
      </c>
      <c r="D200" s="233" t="s">
        <v>322</v>
      </c>
      <c r="E200" s="234" t="s">
        <v>3566</v>
      </c>
      <c r="F200" s="234" t="s">
        <v>3567</v>
      </c>
      <c r="G200" s="235" t="s">
        <v>323</v>
      </c>
      <c r="H200" s="234" t="s">
        <v>3124</v>
      </c>
      <c r="I200" s="236" t="s">
        <v>18</v>
      </c>
      <c r="J200" s="232" t="s">
        <v>18</v>
      </c>
      <c r="K200" s="243">
        <v>242510200</v>
      </c>
      <c r="L200" s="237" t="s">
        <v>322</v>
      </c>
      <c r="M200" s="234" t="s">
        <v>3566</v>
      </c>
      <c r="N200" s="234" t="s">
        <v>3567</v>
      </c>
      <c r="O200" s="234" t="s">
        <v>323</v>
      </c>
      <c r="P200" s="234" t="s">
        <v>3124</v>
      </c>
      <c r="Q200" s="232" t="s">
        <v>18</v>
      </c>
    </row>
    <row r="201" customHeight="1" spans="3:17">
      <c r="C201" s="233">
        <v>242510201</v>
      </c>
      <c r="D201" s="233" t="s">
        <v>566</v>
      </c>
      <c r="E201" s="234" t="s">
        <v>3568</v>
      </c>
      <c r="F201" s="234" t="s">
        <v>3569</v>
      </c>
      <c r="G201" s="235" t="s">
        <v>567</v>
      </c>
      <c r="H201" s="234" t="s">
        <v>3563</v>
      </c>
      <c r="I201" s="236" t="s">
        <v>23</v>
      </c>
      <c r="J201" s="232" t="s">
        <v>23</v>
      </c>
      <c r="K201" s="237">
        <v>242510201</v>
      </c>
      <c r="L201" s="237" t="s">
        <v>566</v>
      </c>
      <c r="M201" s="234" t="s">
        <v>3568</v>
      </c>
      <c r="N201" s="234" t="s">
        <v>3569</v>
      </c>
      <c r="O201" s="234" t="s">
        <v>567</v>
      </c>
      <c r="P201" s="234" t="s">
        <v>3563</v>
      </c>
      <c r="Q201" s="232" t="s">
        <v>23</v>
      </c>
    </row>
    <row r="202" customHeight="1" spans="3:17">
      <c r="C202" s="233">
        <v>242510202</v>
      </c>
      <c r="D202" s="233" t="s">
        <v>744</v>
      </c>
      <c r="E202" s="234" t="s">
        <v>3570</v>
      </c>
      <c r="F202" s="234" t="s">
        <v>3571</v>
      </c>
      <c r="G202" s="235" t="s">
        <v>745</v>
      </c>
      <c r="H202" s="234" t="s">
        <v>3124</v>
      </c>
      <c r="I202" s="236" t="s">
        <v>23</v>
      </c>
      <c r="J202" s="232" t="s">
        <v>23</v>
      </c>
      <c r="K202" s="237">
        <v>242510202</v>
      </c>
      <c r="L202" s="237" t="s">
        <v>744</v>
      </c>
      <c r="M202" s="234" t="s">
        <v>3570</v>
      </c>
      <c r="N202" s="234" t="s">
        <v>3571</v>
      </c>
      <c r="O202" s="234" t="s">
        <v>745</v>
      </c>
      <c r="P202" s="234" t="s">
        <v>3124</v>
      </c>
      <c r="Q202" s="232" t="s">
        <v>23</v>
      </c>
    </row>
    <row r="203" customHeight="1" spans="3:17">
      <c r="C203" s="233">
        <v>242510203</v>
      </c>
      <c r="D203" s="233" t="s">
        <v>478</v>
      </c>
      <c r="E203" s="234" t="s">
        <v>3572</v>
      </c>
      <c r="F203" s="234" t="s">
        <v>3573</v>
      </c>
      <c r="G203" s="235" t="s">
        <v>479</v>
      </c>
      <c r="H203" s="234" t="s">
        <v>3124</v>
      </c>
      <c r="I203" s="236" t="s">
        <v>18</v>
      </c>
      <c r="J203" s="232" t="s">
        <v>18</v>
      </c>
      <c r="K203" s="237">
        <v>242510203</v>
      </c>
      <c r="L203" s="237" t="s">
        <v>478</v>
      </c>
      <c r="M203" s="234" t="s">
        <v>3572</v>
      </c>
      <c r="N203" s="234" t="s">
        <v>3573</v>
      </c>
      <c r="O203" s="234" t="s">
        <v>479</v>
      </c>
      <c r="P203" s="234" t="s">
        <v>3124</v>
      </c>
      <c r="Q203" s="232" t="s">
        <v>18</v>
      </c>
    </row>
    <row r="204" customHeight="1" spans="3:17">
      <c r="C204" s="233">
        <v>242510204</v>
      </c>
      <c r="D204" s="233" t="s">
        <v>332</v>
      </c>
      <c r="E204" s="234" t="s">
        <v>3574</v>
      </c>
      <c r="F204" s="234" t="s">
        <v>3575</v>
      </c>
      <c r="G204" s="235" t="s">
        <v>333</v>
      </c>
      <c r="H204" s="234" t="s">
        <v>3150</v>
      </c>
      <c r="I204" s="236" t="s">
        <v>18</v>
      </c>
      <c r="J204" s="232" t="s">
        <v>18</v>
      </c>
      <c r="K204" s="237">
        <v>242510204</v>
      </c>
      <c r="L204" s="237" t="s">
        <v>332</v>
      </c>
      <c r="M204" s="234" t="s">
        <v>3574</v>
      </c>
      <c r="N204" s="234" t="s">
        <v>3575</v>
      </c>
      <c r="O204" s="234" t="s">
        <v>333</v>
      </c>
      <c r="P204" s="234" t="s">
        <v>3150</v>
      </c>
      <c r="Q204" s="232" t="s">
        <v>18</v>
      </c>
    </row>
    <row r="205" customHeight="1" spans="3:17">
      <c r="C205" s="233">
        <v>242510205</v>
      </c>
      <c r="D205" s="233" t="s">
        <v>660</v>
      </c>
      <c r="E205" s="234" t="s">
        <v>3576</v>
      </c>
      <c r="F205" s="234" t="s">
        <v>3577</v>
      </c>
      <c r="G205" s="235" t="s">
        <v>661</v>
      </c>
      <c r="H205" s="235" t="s">
        <v>3124</v>
      </c>
      <c r="I205" s="236" t="s">
        <v>23</v>
      </c>
      <c r="J205" s="232" t="s">
        <v>23</v>
      </c>
      <c r="K205" s="237">
        <v>242510205</v>
      </c>
      <c r="L205" s="237" t="s">
        <v>660</v>
      </c>
      <c r="M205" s="234" t="s">
        <v>3576</v>
      </c>
      <c r="N205" s="234" t="s">
        <v>3577</v>
      </c>
      <c r="O205" s="234" t="s">
        <v>661</v>
      </c>
      <c r="P205" s="234" t="s">
        <v>3124</v>
      </c>
      <c r="Q205" s="232" t="s">
        <v>23</v>
      </c>
    </row>
    <row r="206" customHeight="1" spans="3:17">
      <c r="C206" s="233">
        <v>242510206</v>
      </c>
      <c r="D206" s="233" t="s">
        <v>178</v>
      </c>
      <c r="E206" s="234" t="s">
        <v>3578</v>
      </c>
      <c r="F206" s="234" t="s">
        <v>3579</v>
      </c>
      <c r="G206" s="235" t="s">
        <v>179</v>
      </c>
      <c r="H206" s="234" t="s">
        <v>3124</v>
      </c>
      <c r="I206" s="236" t="s">
        <v>18</v>
      </c>
      <c r="J206" s="232" t="s">
        <v>18</v>
      </c>
      <c r="K206" s="237">
        <v>242510206</v>
      </c>
      <c r="L206" s="237" t="s">
        <v>178</v>
      </c>
      <c r="M206" s="234" t="s">
        <v>3578</v>
      </c>
      <c r="N206" s="234" t="s">
        <v>3579</v>
      </c>
      <c r="O206" s="234" t="s">
        <v>179</v>
      </c>
      <c r="P206" s="234" t="s">
        <v>3124</v>
      </c>
      <c r="Q206" s="232" t="s">
        <v>18</v>
      </c>
    </row>
    <row r="207" customHeight="1" spans="3:17">
      <c r="C207" s="233">
        <v>242510207</v>
      </c>
      <c r="D207" s="233" t="s">
        <v>404</v>
      </c>
      <c r="E207" s="234" t="s">
        <v>3580</v>
      </c>
      <c r="F207" s="234" t="s">
        <v>3581</v>
      </c>
      <c r="G207" s="235" t="s">
        <v>405</v>
      </c>
      <c r="H207" s="234" t="s">
        <v>3142</v>
      </c>
      <c r="I207" s="236" t="s">
        <v>18</v>
      </c>
      <c r="J207" s="232" t="s">
        <v>18</v>
      </c>
      <c r="K207" s="237">
        <v>242510207</v>
      </c>
      <c r="L207" s="237" t="s">
        <v>404</v>
      </c>
      <c r="M207" s="234" t="s">
        <v>3580</v>
      </c>
      <c r="N207" s="234" t="s">
        <v>3581</v>
      </c>
      <c r="O207" s="234" t="s">
        <v>405</v>
      </c>
      <c r="P207" s="234" t="s">
        <v>3142</v>
      </c>
      <c r="Q207" s="232" t="s">
        <v>18</v>
      </c>
    </row>
    <row r="208" customHeight="1" spans="3:17">
      <c r="C208" s="233">
        <v>242510208</v>
      </c>
      <c r="D208" s="233" t="s">
        <v>486</v>
      </c>
      <c r="E208" s="234" t="s">
        <v>3582</v>
      </c>
      <c r="F208" s="234" t="s">
        <v>3583</v>
      </c>
      <c r="G208" s="235" t="s">
        <v>487</v>
      </c>
      <c r="H208" s="234" t="s">
        <v>3124</v>
      </c>
      <c r="I208" s="236" t="s">
        <v>23</v>
      </c>
      <c r="J208" s="232" t="s">
        <v>23</v>
      </c>
      <c r="K208" s="237">
        <v>242510208</v>
      </c>
      <c r="L208" s="237" t="s">
        <v>486</v>
      </c>
      <c r="M208" s="234" t="s">
        <v>3582</v>
      </c>
      <c r="N208" s="234" t="s">
        <v>3583</v>
      </c>
      <c r="O208" s="234" t="s">
        <v>487</v>
      </c>
      <c r="P208" s="234" t="s">
        <v>3124</v>
      </c>
      <c r="Q208" s="232" t="s">
        <v>23</v>
      </c>
    </row>
    <row r="209" customHeight="1" spans="3:17">
      <c r="C209" s="233">
        <v>242510209</v>
      </c>
      <c r="D209" s="233" t="s">
        <v>416</v>
      </c>
      <c r="E209" s="234" t="s">
        <v>3584</v>
      </c>
      <c r="F209" s="234" t="s">
        <v>3585</v>
      </c>
      <c r="G209" s="235" t="s">
        <v>417</v>
      </c>
      <c r="H209" s="234" t="s">
        <v>3124</v>
      </c>
      <c r="I209" s="236" t="s">
        <v>18</v>
      </c>
      <c r="J209" s="232" t="s">
        <v>18</v>
      </c>
      <c r="K209" s="237">
        <v>242510209</v>
      </c>
      <c r="L209" s="237" t="s">
        <v>416</v>
      </c>
      <c r="M209" s="234" t="s">
        <v>3584</v>
      </c>
      <c r="N209" s="234" t="s">
        <v>3585</v>
      </c>
      <c r="O209" s="234" t="s">
        <v>417</v>
      </c>
      <c r="P209" s="234" t="s">
        <v>3124</v>
      </c>
      <c r="Q209" s="232" t="s">
        <v>18</v>
      </c>
    </row>
    <row r="210" customHeight="1" spans="3:17">
      <c r="C210" s="233">
        <v>242510210</v>
      </c>
      <c r="D210" s="233" t="s">
        <v>192</v>
      </c>
      <c r="E210" s="234" t="s">
        <v>3586</v>
      </c>
      <c r="F210" s="234" t="s">
        <v>3587</v>
      </c>
      <c r="G210" s="235" t="s">
        <v>193</v>
      </c>
      <c r="H210" s="234" t="s">
        <v>3208</v>
      </c>
      <c r="I210" s="236" t="s">
        <v>18</v>
      </c>
      <c r="J210" s="232" t="s">
        <v>18</v>
      </c>
      <c r="K210" s="237">
        <v>242510210</v>
      </c>
      <c r="L210" s="237" t="s">
        <v>192</v>
      </c>
      <c r="M210" s="234" t="s">
        <v>3586</v>
      </c>
      <c r="N210" s="234" t="s">
        <v>3587</v>
      </c>
      <c r="O210" s="234" t="s">
        <v>193</v>
      </c>
      <c r="P210" s="234" t="s">
        <v>3208</v>
      </c>
      <c r="Q210" s="232" t="s">
        <v>18</v>
      </c>
    </row>
    <row r="211" customHeight="1" spans="3:17">
      <c r="C211" s="233">
        <v>242510211</v>
      </c>
      <c r="D211" s="233" t="s">
        <v>40</v>
      </c>
      <c r="E211" s="234" t="s">
        <v>3588</v>
      </c>
      <c r="F211" s="234" t="s">
        <v>3589</v>
      </c>
      <c r="G211" s="235" t="s">
        <v>41</v>
      </c>
      <c r="H211" s="234" t="s">
        <v>3590</v>
      </c>
      <c r="I211" s="236" t="s">
        <v>18</v>
      </c>
      <c r="J211" s="232" t="s">
        <v>18</v>
      </c>
      <c r="K211" s="237">
        <v>242510211</v>
      </c>
      <c r="L211" s="237" t="s">
        <v>40</v>
      </c>
      <c r="M211" s="234" t="s">
        <v>3588</v>
      </c>
      <c r="N211" s="234" t="s">
        <v>3589</v>
      </c>
      <c r="O211" s="234" t="s">
        <v>41</v>
      </c>
      <c r="P211" s="234" t="s">
        <v>3590</v>
      </c>
      <c r="Q211" s="232" t="s">
        <v>18</v>
      </c>
    </row>
    <row r="212" customHeight="1" spans="3:17">
      <c r="C212" s="233">
        <v>242510212</v>
      </c>
      <c r="D212" s="233" t="s">
        <v>44</v>
      </c>
      <c r="E212" s="234" t="s">
        <v>3591</v>
      </c>
      <c r="F212" s="234" t="s">
        <v>3592</v>
      </c>
      <c r="G212" s="235" t="s">
        <v>45</v>
      </c>
      <c r="H212" s="234" t="s">
        <v>3186</v>
      </c>
      <c r="I212" s="236" t="s">
        <v>23</v>
      </c>
      <c r="J212" s="232" t="s">
        <v>23</v>
      </c>
      <c r="K212" s="237">
        <v>242510212</v>
      </c>
      <c r="L212" s="237" t="s">
        <v>44</v>
      </c>
      <c r="M212" s="234" t="s">
        <v>3591</v>
      </c>
      <c r="N212" s="234" t="s">
        <v>3592</v>
      </c>
      <c r="O212" s="234" t="s">
        <v>45</v>
      </c>
      <c r="P212" s="234" t="s">
        <v>3186</v>
      </c>
      <c r="Q212" s="232" t="s">
        <v>23</v>
      </c>
    </row>
    <row r="213" customHeight="1" spans="3:17">
      <c r="C213" s="233">
        <v>242510213</v>
      </c>
      <c r="D213" s="233" t="s">
        <v>3593</v>
      </c>
      <c r="E213" s="234" t="s">
        <v>3594</v>
      </c>
      <c r="F213" s="234" t="s">
        <v>3595</v>
      </c>
      <c r="G213" s="235" t="s">
        <v>3596</v>
      </c>
      <c r="H213" s="234" t="s">
        <v>3597</v>
      </c>
      <c r="I213" s="236" t="s">
        <v>23</v>
      </c>
      <c r="J213" s="232" t="s">
        <v>23</v>
      </c>
      <c r="K213" s="237">
        <v>242510213</v>
      </c>
      <c r="L213" s="237" t="s">
        <v>3593</v>
      </c>
      <c r="M213" s="234" t="s">
        <v>3594</v>
      </c>
      <c r="N213" s="234" t="s">
        <v>3595</v>
      </c>
      <c r="O213" s="234" t="s">
        <v>3596</v>
      </c>
      <c r="P213" s="234" t="s">
        <v>3597</v>
      </c>
      <c r="Q213" s="232" t="s">
        <v>23</v>
      </c>
    </row>
    <row r="214" customHeight="1" spans="3:17">
      <c r="C214" s="233">
        <v>242510214</v>
      </c>
      <c r="D214" s="233" t="s">
        <v>274</v>
      </c>
      <c r="E214" s="234" t="s">
        <v>3598</v>
      </c>
      <c r="F214" s="234" t="s">
        <v>3599</v>
      </c>
      <c r="G214" s="235" t="s">
        <v>275</v>
      </c>
      <c r="H214" s="234" t="s">
        <v>3484</v>
      </c>
      <c r="I214" s="236" t="s">
        <v>23</v>
      </c>
      <c r="J214" s="232" t="s">
        <v>23</v>
      </c>
      <c r="K214" s="237">
        <v>242510214</v>
      </c>
      <c r="L214" s="237" t="s">
        <v>274</v>
      </c>
      <c r="M214" s="234" t="s">
        <v>3598</v>
      </c>
      <c r="N214" s="234" t="s">
        <v>3599</v>
      </c>
      <c r="O214" s="234" t="s">
        <v>275</v>
      </c>
      <c r="P214" s="234" t="s">
        <v>3484</v>
      </c>
      <c r="Q214" s="232" t="s">
        <v>23</v>
      </c>
    </row>
    <row r="215" customHeight="1" spans="3:17">
      <c r="C215" s="251">
        <v>242510215</v>
      </c>
      <c r="D215" s="233" t="s">
        <v>276</v>
      </c>
      <c r="E215" s="234" t="s">
        <v>3600</v>
      </c>
      <c r="F215" s="234" t="s">
        <v>3601</v>
      </c>
      <c r="G215" s="235" t="s">
        <v>277</v>
      </c>
      <c r="H215" s="234" t="s">
        <v>3124</v>
      </c>
      <c r="I215" s="236" t="s">
        <v>18</v>
      </c>
      <c r="J215" s="232" t="s">
        <v>18</v>
      </c>
      <c r="K215" s="237">
        <v>242510215</v>
      </c>
      <c r="L215" s="237" t="s">
        <v>276</v>
      </c>
      <c r="M215" s="234" t="s">
        <v>3600</v>
      </c>
      <c r="N215" s="234" t="s">
        <v>3601</v>
      </c>
      <c r="O215" s="234" t="s">
        <v>277</v>
      </c>
      <c r="P215" s="234" t="s">
        <v>3124</v>
      </c>
      <c r="Q215" s="232" t="s">
        <v>18</v>
      </c>
    </row>
    <row r="216" customHeight="1" spans="3:17">
      <c r="C216" s="233">
        <v>242510216</v>
      </c>
      <c r="D216" s="233" t="s">
        <v>48</v>
      </c>
      <c r="E216" s="234" t="s">
        <v>3602</v>
      </c>
      <c r="F216" s="234" t="s">
        <v>3603</v>
      </c>
      <c r="G216" s="235" t="s">
        <v>49</v>
      </c>
      <c r="H216" s="234" t="s">
        <v>3248</v>
      </c>
      <c r="I216" s="236" t="s">
        <v>18</v>
      </c>
      <c r="J216" s="232" t="s">
        <v>18</v>
      </c>
      <c r="K216" s="237">
        <v>242510216</v>
      </c>
      <c r="L216" s="237" t="s">
        <v>48</v>
      </c>
      <c r="M216" s="234" t="s">
        <v>3602</v>
      </c>
      <c r="N216" s="234" t="s">
        <v>3603</v>
      </c>
      <c r="O216" s="234" t="s">
        <v>49</v>
      </c>
      <c r="P216" s="234" t="s">
        <v>3248</v>
      </c>
      <c r="Q216" s="232" t="s">
        <v>18</v>
      </c>
    </row>
    <row r="217" customHeight="1" spans="3:17">
      <c r="C217" s="251">
        <v>242510217</v>
      </c>
      <c r="D217" s="233" t="s">
        <v>678</v>
      </c>
      <c r="E217" s="234" t="s">
        <v>3604</v>
      </c>
      <c r="F217" s="234" t="s">
        <v>3605</v>
      </c>
      <c r="G217" s="235" t="s">
        <v>679</v>
      </c>
      <c r="H217" s="234" t="s">
        <v>3124</v>
      </c>
      <c r="I217" s="236" t="s">
        <v>23</v>
      </c>
      <c r="J217" s="232" t="s">
        <v>23</v>
      </c>
      <c r="K217" s="237">
        <v>242510217</v>
      </c>
      <c r="L217" s="237" t="s">
        <v>678</v>
      </c>
      <c r="M217" s="234" t="s">
        <v>3604</v>
      </c>
      <c r="N217" s="234" t="s">
        <v>3605</v>
      </c>
      <c r="O217" s="234" t="s">
        <v>679</v>
      </c>
      <c r="P217" s="234" t="s">
        <v>3124</v>
      </c>
      <c r="Q217" s="232" t="s">
        <v>23</v>
      </c>
    </row>
    <row r="218" customHeight="1" spans="3:17">
      <c r="C218" s="251">
        <v>242510218</v>
      </c>
      <c r="D218" s="233" t="s">
        <v>684</v>
      </c>
      <c r="E218" s="234" t="s">
        <v>3606</v>
      </c>
      <c r="F218" s="234" t="s">
        <v>3607</v>
      </c>
      <c r="G218" s="235" t="s">
        <v>685</v>
      </c>
      <c r="H218" s="235" t="s">
        <v>3563</v>
      </c>
      <c r="I218" s="236" t="s">
        <v>18</v>
      </c>
      <c r="J218" s="232" t="s">
        <v>18</v>
      </c>
      <c r="K218" s="237">
        <v>242510218</v>
      </c>
      <c r="L218" s="237" t="s">
        <v>684</v>
      </c>
      <c r="M218" s="234" t="s">
        <v>3606</v>
      </c>
      <c r="N218" s="234" t="s">
        <v>3607</v>
      </c>
      <c r="O218" s="234" t="s">
        <v>685</v>
      </c>
      <c r="P218" s="234" t="s">
        <v>3563</v>
      </c>
      <c r="Q218" s="232" t="s">
        <v>18</v>
      </c>
    </row>
    <row r="219" customHeight="1" spans="3:17">
      <c r="C219" s="233">
        <v>242510219</v>
      </c>
      <c r="D219" s="233" t="s">
        <v>54</v>
      </c>
      <c r="E219" s="234" t="s">
        <v>3608</v>
      </c>
      <c r="F219" s="234" t="s">
        <v>3609</v>
      </c>
      <c r="G219" s="235" t="s">
        <v>55</v>
      </c>
      <c r="H219" s="234" t="s">
        <v>3484</v>
      </c>
      <c r="I219" s="236" t="s">
        <v>18</v>
      </c>
      <c r="J219" s="232" t="s">
        <v>18</v>
      </c>
      <c r="K219" s="237">
        <v>242510219</v>
      </c>
      <c r="L219" s="237" t="s">
        <v>54</v>
      </c>
      <c r="M219" s="234" t="s">
        <v>3608</v>
      </c>
      <c r="N219" s="234" t="s">
        <v>3609</v>
      </c>
      <c r="O219" s="234" t="s">
        <v>55</v>
      </c>
      <c r="P219" s="234" t="s">
        <v>3484</v>
      </c>
      <c r="Q219" s="232" t="s">
        <v>18</v>
      </c>
    </row>
    <row r="220" customHeight="1" spans="3:17">
      <c r="C220" s="233">
        <v>242510220</v>
      </c>
      <c r="D220" s="233" t="s">
        <v>358</v>
      </c>
      <c r="E220" s="234" t="s">
        <v>3610</v>
      </c>
      <c r="F220" s="234" t="s">
        <v>3611</v>
      </c>
      <c r="G220" s="235" t="s">
        <v>359</v>
      </c>
      <c r="H220" s="234" t="s">
        <v>3124</v>
      </c>
      <c r="I220" s="236" t="s">
        <v>18</v>
      </c>
      <c r="J220" s="232" t="s">
        <v>18</v>
      </c>
      <c r="K220" s="237">
        <v>242510220</v>
      </c>
      <c r="L220" s="237" t="s">
        <v>358</v>
      </c>
      <c r="M220" s="234" t="s">
        <v>3610</v>
      </c>
      <c r="N220" s="234" t="s">
        <v>3611</v>
      </c>
      <c r="O220" s="234" t="s">
        <v>359</v>
      </c>
      <c r="P220" s="234" t="s">
        <v>3124</v>
      </c>
      <c r="Q220" s="232" t="s">
        <v>18</v>
      </c>
    </row>
    <row r="221" customHeight="1" spans="3:17">
      <c r="C221" s="233">
        <v>242510221</v>
      </c>
      <c r="D221" s="233" t="s">
        <v>212</v>
      </c>
      <c r="E221" s="234" t="s">
        <v>3612</v>
      </c>
      <c r="F221" s="234" t="s">
        <v>3613</v>
      </c>
      <c r="G221" s="235" t="s">
        <v>213</v>
      </c>
      <c r="H221" s="234" t="s">
        <v>3124</v>
      </c>
      <c r="I221" s="236" t="s">
        <v>18</v>
      </c>
      <c r="J221" s="232" t="s">
        <v>18</v>
      </c>
      <c r="K221" s="237">
        <v>242510221</v>
      </c>
      <c r="L221" s="237" t="s">
        <v>212</v>
      </c>
      <c r="M221" s="234" t="s">
        <v>3612</v>
      </c>
      <c r="N221" s="234" t="s">
        <v>3613</v>
      </c>
      <c r="O221" s="234" t="s">
        <v>213</v>
      </c>
      <c r="P221" s="234" t="s">
        <v>3124</v>
      </c>
      <c r="Q221" s="232" t="s">
        <v>18</v>
      </c>
    </row>
    <row r="222" customHeight="1" spans="3:17">
      <c r="C222" s="233">
        <v>242510222</v>
      </c>
      <c r="D222" s="233" t="s">
        <v>434</v>
      </c>
      <c r="E222" s="234" t="s">
        <v>3614</v>
      </c>
      <c r="F222" s="234" t="s">
        <v>3615</v>
      </c>
      <c r="G222" s="235" t="s">
        <v>435</v>
      </c>
      <c r="H222" s="234" t="s">
        <v>3203</v>
      </c>
      <c r="I222" s="236" t="s">
        <v>18</v>
      </c>
      <c r="J222" s="232" t="s">
        <v>18</v>
      </c>
      <c r="K222" s="237">
        <v>242510222</v>
      </c>
      <c r="L222" s="237" t="s">
        <v>434</v>
      </c>
      <c r="M222" s="234" t="s">
        <v>3614</v>
      </c>
      <c r="N222" s="234" t="s">
        <v>3615</v>
      </c>
      <c r="O222" s="234" t="s">
        <v>435</v>
      </c>
      <c r="P222" s="234" t="s">
        <v>3203</v>
      </c>
      <c r="Q222" s="232" t="s">
        <v>18</v>
      </c>
    </row>
    <row r="223" customHeight="1" spans="3:17">
      <c r="C223" s="233">
        <v>242510223</v>
      </c>
      <c r="D223" s="233" t="s">
        <v>800</v>
      </c>
      <c r="E223" s="234" t="s">
        <v>3616</v>
      </c>
      <c r="F223" s="234" t="s">
        <v>3617</v>
      </c>
      <c r="G223" s="252" t="s">
        <v>801</v>
      </c>
      <c r="H223" s="234" t="s">
        <v>3124</v>
      </c>
      <c r="I223" s="236" t="s">
        <v>23</v>
      </c>
      <c r="J223" s="232" t="s">
        <v>23</v>
      </c>
      <c r="K223" s="237">
        <v>242510223</v>
      </c>
      <c r="L223" s="237" t="s">
        <v>800</v>
      </c>
      <c r="M223" s="234" t="s">
        <v>3616</v>
      </c>
      <c r="N223" s="234" t="s">
        <v>3617</v>
      </c>
      <c r="O223" s="234" t="s">
        <v>801</v>
      </c>
      <c r="P223" s="234" t="s">
        <v>3124</v>
      </c>
      <c r="Q223" s="232" t="s">
        <v>23</v>
      </c>
    </row>
    <row r="224" customHeight="1" spans="3:17">
      <c r="C224" s="233">
        <v>242510224</v>
      </c>
      <c r="D224" s="233" t="s">
        <v>866</v>
      </c>
      <c r="E224" s="234" t="s">
        <v>3618</v>
      </c>
      <c r="F224" s="234" t="s">
        <v>3619</v>
      </c>
      <c r="G224" s="235" t="s">
        <v>867</v>
      </c>
      <c r="H224" s="234" t="s">
        <v>3124</v>
      </c>
      <c r="I224" s="236" t="s">
        <v>23</v>
      </c>
      <c r="J224" s="232" t="s">
        <v>23</v>
      </c>
      <c r="K224" s="237">
        <v>242510224</v>
      </c>
      <c r="L224" s="237" t="s">
        <v>866</v>
      </c>
      <c r="M224" s="234" t="s">
        <v>3618</v>
      </c>
      <c r="N224" s="234" t="s">
        <v>3619</v>
      </c>
      <c r="O224" s="234" t="s">
        <v>867</v>
      </c>
      <c r="P224" s="234" t="s">
        <v>3124</v>
      </c>
      <c r="Q224" s="232" t="s">
        <v>23</v>
      </c>
    </row>
    <row r="225" customHeight="1" spans="3:17">
      <c r="C225" s="233">
        <v>242510225</v>
      </c>
      <c r="D225" s="233" t="s">
        <v>606</v>
      </c>
      <c r="E225" s="234" t="s">
        <v>3620</v>
      </c>
      <c r="F225" s="234" t="s">
        <v>3621</v>
      </c>
      <c r="G225" s="235" t="s">
        <v>607</v>
      </c>
      <c r="H225" s="234" t="s">
        <v>3622</v>
      </c>
      <c r="I225" s="236" t="s">
        <v>23</v>
      </c>
      <c r="J225" s="232" t="s">
        <v>23</v>
      </c>
      <c r="K225" s="237">
        <v>242510225</v>
      </c>
      <c r="L225" s="237" t="s">
        <v>606</v>
      </c>
      <c r="M225" s="234" t="s">
        <v>3620</v>
      </c>
      <c r="N225" s="234" t="s">
        <v>3621</v>
      </c>
      <c r="O225" s="234" t="s">
        <v>607</v>
      </c>
      <c r="P225" s="234" t="s">
        <v>3622</v>
      </c>
      <c r="Q225" s="232" t="s">
        <v>23</v>
      </c>
    </row>
    <row r="226" customHeight="1" spans="3:17">
      <c r="C226" s="233">
        <v>242510226</v>
      </c>
      <c r="D226" s="233" t="s">
        <v>224</v>
      </c>
      <c r="E226" s="234" t="s">
        <v>3623</v>
      </c>
      <c r="F226" s="234" t="s">
        <v>3624</v>
      </c>
      <c r="G226" s="235" t="s">
        <v>225</v>
      </c>
      <c r="H226" s="234" t="s">
        <v>3124</v>
      </c>
      <c r="I226" s="236" t="s">
        <v>23</v>
      </c>
      <c r="J226" s="232" t="s">
        <v>23</v>
      </c>
      <c r="K226" s="237">
        <v>242510226</v>
      </c>
      <c r="L226" s="237" t="s">
        <v>224</v>
      </c>
      <c r="M226" s="234" t="s">
        <v>3623</v>
      </c>
      <c r="N226" s="234" t="s">
        <v>3624</v>
      </c>
      <c r="O226" s="234" t="s">
        <v>225</v>
      </c>
      <c r="P226" s="234" t="s">
        <v>3124</v>
      </c>
      <c r="Q226" s="232" t="s">
        <v>23</v>
      </c>
    </row>
    <row r="227" customHeight="1" spans="3:17">
      <c r="C227" s="233">
        <v>242510227</v>
      </c>
      <c r="D227" s="233" t="s">
        <v>142</v>
      </c>
      <c r="E227" s="234" t="s">
        <v>3625</v>
      </c>
      <c r="F227" s="234" t="s">
        <v>3626</v>
      </c>
      <c r="G227" s="235" t="s">
        <v>143</v>
      </c>
      <c r="H227" s="234" t="s">
        <v>3563</v>
      </c>
      <c r="I227" s="236" t="s">
        <v>18</v>
      </c>
      <c r="J227" s="232" t="s">
        <v>18</v>
      </c>
      <c r="K227" s="237">
        <v>242510227</v>
      </c>
      <c r="L227" s="237" t="s">
        <v>142</v>
      </c>
      <c r="M227" s="234" t="s">
        <v>3625</v>
      </c>
      <c r="N227" s="234" t="s">
        <v>3626</v>
      </c>
      <c r="O227" s="234" t="s">
        <v>143</v>
      </c>
      <c r="P227" s="234" t="s">
        <v>3563</v>
      </c>
      <c r="Q227" s="232" t="s">
        <v>18</v>
      </c>
    </row>
    <row r="228" customHeight="1" spans="3:17">
      <c r="C228" s="233">
        <v>242510228</v>
      </c>
      <c r="D228" s="233" t="s">
        <v>144</v>
      </c>
      <c r="E228" s="234" t="s">
        <v>3627</v>
      </c>
      <c r="F228" s="234" t="s">
        <v>3628</v>
      </c>
      <c r="G228" s="235" t="s">
        <v>145</v>
      </c>
      <c r="H228" s="234" t="s">
        <v>3181</v>
      </c>
      <c r="I228" s="239" t="s">
        <v>18</v>
      </c>
      <c r="J228" s="240" t="s">
        <v>18</v>
      </c>
      <c r="K228" s="237">
        <v>242510228</v>
      </c>
      <c r="L228" s="237" t="s">
        <v>144</v>
      </c>
      <c r="M228" s="234" t="s">
        <v>3627</v>
      </c>
      <c r="N228" s="234" t="s">
        <v>3628</v>
      </c>
      <c r="O228" s="234" t="s">
        <v>145</v>
      </c>
      <c r="P228" s="234" t="s">
        <v>3181</v>
      </c>
      <c r="Q228" s="240" t="s">
        <v>18</v>
      </c>
    </row>
    <row r="229" customHeight="1" spans="3:17">
      <c r="C229" s="233">
        <v>242510229</v>
      </c>
      <c r="D229" s="233" t="s">
        <v>366</v>
      </c>
      <c r="E229" s="234" t="s">
        <v>3629</v>
      </c>
      <c r="F229" s="234" t="s">
        <v>3630</v>
      </c>
      <c r="G229" s="235" t="s">
        <v>367</v>
      </c>
      <c r="H229" s="234" t="s">
        <v>3124</v>
      </c>
      <c r="I229" s="236" t="s">
        <v>18</v>
      </c>
      <c r="J229" s="232" t="s">
        <v>18</v>
      </c>
      <c r="K229" s="237">
        <v>242510229</v>
      </c>
      <c r="L229" s="237" t="s">
        <v>366</v>
      </c>
      <c r="M229" s="234" t="s">
        <v>3629</v>
      </c>
      <c r="N229" s="234" t="s">
        <v>3630</v>
      </c>
      <c r="O229" s="234" t="s">
        <v>367</v>
      </c>
      <c r="P229" s="234" t="s">
        <v>3124</v>
      </c>
      <c r="Q229" s="232" t="s">
        <v>18</v>
      </c>
    </row>
    <row r="230" customHeight="1" spans="3:17">
      <c r="C230" s="233">
        <v>242510230</v>
      </c>
      <c r="D230" s="233" t="s">
        <v>73</v>
      </c>
      <c r="E230" s="234" t="s">
        <v>3631</v>
      </c>
      <c r="F230" s="234" t="s">
        <v>3632</v>
      </c>
      <c r="G230" s="235" t="s">
        <v>74</v>
      </c>
      <c r="H230" s="234" t="s">
        <v>3421</v>
      </c>
      <c r="I230" s="236" t="s">
        <v>18</v>
      </c>
      <c r="J230" s="232" t="s">
        <v>18</v>
      </c>
      <c r="K230" s="237">
        <v>242510230</v>
      </c>
      <c r="L230" s="237" t="s">
        <v>73</v>
      </c>
      <c r="M230" s="234" t="s">
        <v>3631</v>
      </c>
      <c r="N230" s="234" t="s">
        <v>3632</v>
      </c>
      <c r="O230" s="234" t="s">
        <v>74</v>
      </c>
      <c r="P230" s="234" t="s">
        <v>3421</v>
      </c>
      <c r="Q230" s="232" t="s">
        <v>18</v>
      </c>
    </row>
    <row r="231" customHeight="1" spans="3:17">
      <c r="C231" s="233">
        <v>242510231</v>
      </c>
      <c r="D231" s="233" t="s">
        <v>882</v>
      </c>
      <c r="E231" s="234" t="s">
        <v>3633</v>
      </c>
      <c r="F231" s="234" t="s">
        <v>3634</v>
      </c>
      <c r="G231" s="235" t="s">
        <v>883</v>
      </c>
      <c r="H231" s="234" t="s">
        <v>3635</v>
      </c>
      <c r="I231" s="236" t="s">
        <v>23</v>
      </c>
      <c r="J231" s="232" t="s">
        <v>23</v>
      </c>
      <c r="K231" s="237">
        <v>242510231</v>
      </c>
      <c r="L231" s="237" t="s">
        <v>882</v>
      </c>
      <c r="M231" s="234" t="s">
        <v>3633</v>
      </c>
      <c r="N231" s="234" t="s">
        <v>3634</v>
      </c>
      <c r="O231" s="234" t="s">
        <v>883</v>
      </c>
      <c r="P231" s="234" t="s">
        <v>3635</v>
      </c>
      <c r="Q231" s="232" t="s">
        <v>23</v>
      </c>
    </row>
    <row r="232" customHeight="1" spans="3:17">
      <c r="C232" s="233">
        <v>242510232</v>
      </c>
      <c r="D232" s="233" t="s">
        <v>77</v>
      </c>
      <c r="E232" s="234" t="s">
        <v>3636</v>
      </c>
      <c r="F232" s="234" t="s">
        <v>3637</v>
      </c>
      <c r="G232" s="235" t="s">
        <v>78</v>
      </c>
      <c r="H232" s="234" t="s">
        <v>3124</v>
      </c>
      <c r="I232" s="236" t="s">
        <v>18</v>
      </c>
      <c r="J232" s="232" t="s">
        <v>18</v>
      </c>
      <c r="K232" s="237">
        <v>242510232</v>
      </c>
      <c r="L232" s="237" t="s">
        <v>77</v>
      </c>
      <c r="M232" s="234" t="s">
        <v>3636</v>
      </c>
      <c r="N232" s="234" t="s">
        <v>3637</v>
      </c>
      <c r="O232" s="234" t="s">
        <v>78</v>
      </c>
      <c r="P232" s="234" t="s">
        <v>3124</v>
      </c>
      <c r="Q232" s="232" t="s">
        <v>18</v>
      </c>
    </row>
    <row r="233" customHeight="1" spans="3:17">
      <c r="C233" s="233">
        <v>242510233</v>
      </c>
      <c r="D233" s="233" t="s">
        <v>716</v>
      </c>
      <c r="E233" s="234" t="s">
        <v>3638</v>
      </c>
      <c r="F233" s="234" t="s">
        <v>3639</v>
      </c>
      <c r="G233" s="235" t="s">
        <v>717</v>
      </c>
      <c r="H233" s="234" t="s">
        <v>3124</v>
      </c>
      <c r="I233" s="239" t="s">
        <v>23</v>
      </c>
      <c r="J233" s="240" t="s">
        <v>23</v>
      </c>
      <c r="K233" s="237">
        <v>242510233</v>
      </c>
      <c r="L233" s="237" t="s">
        <v>716</v>
      </c>
      <c r="M233" s="234" t="s">
        <v>3638</v>
      </c>
      <c r="N233" s="234" t="s">
        <v>3639</v>
      </c>
      <c r="O233" s="234" t="s">
        <v>717</v>
      </c>
      <c r="P233" s="234" t="s">
        <v>3124</v>
      </c>
      <c r="Q233" s="240" t="s">
        <v>23</v>
      </c>
    </row>
    <row r="234" customHeight="1" spans="3:17">
      <c r="C234" s="233">
        <v>242510234</v>
      </c>
      <c r="D234" s="233" t="s">
        <v>306</v>
      </c>
      <c r="E234" s="234" t="s">
        <v>3640</v>
      </c>
      <c r="F234" s="234" t="s">
        <v>3641</v>
      </c>
      <c r="G234" s="235" t="s">
        <v>307</v>
      </c>
      <c r="H234" s="234" t="s">
        <v>3124</v>
      </c>
      <c r="I234" s="236" t="s">
        <v>23</v>
      </c>
      <c r="J234" s="232" t="s">
        <v>23</v>
      </c>
      <c r="K234" s="237">
        <v>242510234</v>
      </c>
      <c r="L234" s="237" t="s">
        <v>306</v>
      </c>
      <c r="M234" s="234" t="s">
        <v>3640</v>
      </c>
      <c r="N234" s="234" t="s">
        <v>3641</v>
      </c>
      <c r="O234" s="234" t="s">
        <v>307</v>
      </c>
      <c r="P234" s="234" t="s">
        <v>3124</v>
      </c>
      <c r="Q234" s="232" t="s">
        <v>23</v>
      </c>
    </row>
    <row r="235" customHeight="1" spans="3:17">
      <c r="C235" s="233">
        <v>242510235</v>
      </c>
      <c r="D235" s="233" t="s">
        <v>380</v>
      </c>
      <c r="E235" s="234" t="s">
        <v>3642</v>
      </c>
      <c r="F235" s="234" t="s">
        <v>3643</v>
      </c>
      <c r="G235" s="235" t="s">
        <v>381</v>
      </c>
      <c r="H235" s="234" t="s">
        <v>3590</v>
      </c>
      <c r="I235" s="236" t="s">
        <v>18</v>
      </c>
      <c r="J235" s="232" t="s">
        <v>18</v>
      </c>
      <c r="K235" s="237">
        <v>242510235</v>
      </c>
      <c r="L235" s="237" t="s">
        <v>380</v>
      </c>
      <c r="M235" s="234" t="s">
        <v>3642</v>
      </c>
      <c r="N235" s="234" t="s">
        <v>3643</v>
      </c>
      <c r="O235" s="234" t="s">
        <v>381</v>
      </c>
      <c r="P235" s="234" t="s">
        <v>3590</v>
      </c>
      <c r="Q235" s="232" t="s">
        <v>18</v>
      </c>
    </row>
    <row r="236" customHeight="1" spans="3:17">
      <c r="C236" s="233">
        <v>242510236</v>
      </c>
      <c r="D236" s="233" t="s">
        <v>456</v>
      </c>
      <c r="E236" s="234" t="s">
        <v>3644</v>
      </c>
      <c r="F236" s="234" t="s">
        <v>3645</v>
      </c>
      <c r="G236" s="235" t="s">
        <v>457</v>
      </c>
      <c r="H236" s="234" t="s">
        <v>3124</v>
      </c>
      <c r="I236" s="236" t="s">
        <v>18</v>
      </c>
      <c r="J236" s="232" t="s">
        <v>18</v>
      </c>
      <c r="K236" s="237">
        <v>242510236</v>
      </c>
      <c r="L236" s="237" t="s">
        <v>456</v>
      </c>
      <c r="M236" s="234" t="s">
        <v>3644</v>
      </c>
      <c r="N236" s="234" t="s">
        <v>3645</v>
      </c>
      <c r="O236" s="234" t="s">
        <v>457</v>
      </c>
      <c r="P236" s="234" t="s">
        <v>3124</v>
      </c>
      <c r="Q236" s="232" t="s">
        <v>18</v>
      </c>
    </row>
    <row r="237" customHeight="1" spans="3:17">
      <c r="C237" s="233">
        <v>242510237</v>
      </c>
      <c r="D237" s="233" t="s">
        <v>166</v>
      </c>
      <c r="E237" s="234" t="s">
        <v>3646</v>
      </c>
      <c r="F237" s="234" t="s">
        <v>3647</v>
      </c>
      <c r="G237" s="235" t="s">
        <v>167</v>
      </c>
      <c r="H237" s="234" t="s">
        <v>3648</v>
      </c>
      <c r="I237" s="236" t="s">
        <v>18</v>
      </c>
      <c r="J237" s="232" t="s">
        <v>18</v>
      </c>
      <c r="K237" s="237">
        <v>242510237</v>
      </c>
      <c r="L237" s="237" t="s">
        <v>166</v>
      </c>
      <c r="M237" s="234" t="s">
        <v>3646</v>
      </c>
      <c r="N237" s="234" t="s">
        <v>3647</v>
      </c>
      <c r="O237" s="234" t="s">
        <v>167</v>
      </c>
      <c r="P237" s="234" t="s">
        <v>3648</v>
      </c>
      <c r="Q237" s="232" t="s">
        <v>18</v>
      </c>
    </row>
    <row r="238" customHeight="1" spans="3:17">
      <c r="C238" s="233">
        <v>242510238</v>
      </c>
      <c r="D238" s="233" t="s">
        <v>87</v>
      </c>
      <c r="E238" s="234" t="s">
        <v>3649</v>
      </c>
      <c r="F238" s="234" t="s">
        <v>3650</v>
      </c>
      <c r="G238" s="235" t="s">
        <v>88</v>
      </c>
      <c r="H238" s="234" t="s">
        <v>3358</v>
      </c>
      <c r="I238" s="236" t="s">
        <v>18</v>
      </c>
      <c r="J238" s="232" t="s">
        <v>18</v>
      </c>
      <c r="K238" s="243">
        <v>242510238</v>
      </c>
      <c r="L238" s="237" t="s">
        <v>87</v>
      </c>
      <c r="M238" s="234" t="s">
        <v>3649</v>
      </c>
      <c r="N238" s="234" t="s">
        <v>3650</v>
      </c>
      <c r="O238" s="234" t="s">
        <v>88</v>
      </c>
      <c r="P238" s="234" t="s">
        <v>3358</v>
      </c>
      <c r="Q238" s="232" t="s">
        <v>18</v>
      </c>
    </row>
    <row r="239" customHeight="1" spans="3:17">
      <c r="C239" s="233">
        <v>242510239</v>
      </c>
      <c r="D239" s="233" t="s">
        <v>170</v>
      </c>
      <c r="E239" s="234" t="s">
        <v>3651</v>
      </c>
      <c r="F239" s="234" t="s">
        <v>3652</v>
      </c>
      <c r="G239" s="235" t="s">
        <v>171</v>
      </c>
      <c r="H239" s="234" t="s">
        <v>3203</v>
      </c>
      <c r="I239" s="236" t="s">
        <v>23</v>
      </c>
      <c r="J239" s="232" t="s">
        <v>23</v>
      </c>
      <c r="K239" s="237">
        <v>242510239</v>
      </c>
      <c r="L239" s="237" t="s">
        <v>170</v>
      </c>
      <c r="M239" s="234" t="s">
        <v>3651</v>
      </c>
      <c r="N239" s="234" t="s">
        <v>3652</v>
      </c>
      <c r="O239" s="234" t="s">
        <v>171</v>
      </c>
      <c r="P239" s="234" t="s">
        <v>3203</v>
      </c>
      <c r="Q239" s="232" t="s">
        <v>23</v>
      </c>
    </row>
    <row r="240" customHeight="1" spans="3:17">
      <c r="C240" s="233">
        <v>242510240</v>
      </c>
      <c r="D240" s="233" t="s">
        <v>330</v>
      </c>
      <c r="E240" s="234" t="s">
        <v>3653</v>
      </c>
      <c r="F240" s="234" t="s">
        <v>3654</v>
      </c>
      <c r="G240" s="235" t="s">
        <v>331</v>
      </c>
      <c r="H240" s="234" t="s">
        <v>3622</v>
      </c>
      <c r="I240" s="236" t="s">
        <v>18</v>
      </c>
      <c r="J240" s="232" t="s">
        <v>18</v>
      </c>
      <c r="K240" s="237">
        <v>242510240</v>
      </c>
      <c r="L240" s="237" t="s">
        <v>330</v>
      </c>
      <c r="M240" s="234" t="s">
        <v>3653</v>
      </c>
      <c r="N240" s="234" t="s">
        <v>3654</v>
      </c>
      <c r="O240" s="234" t="s">
        <v>331</v>
      </c>
      <c r="P240" s="234" t="s">
        <v>3622</v>
      </c>
      <c r="Q240" s="232" t="s">
        <v>18</v>
      </c>
    </row>
    <row r="241" customHeight="1" spans="3:17">
      <c r="C241" s="233">
        <v>242510241</v>
      </c>
      <c r="D241" s="233" t="s">
        <v>476</v>
      </c>
      <c r="E241" s="234" t="s">
        <v>3655</v>
      </c>
      <c r="F241" s="234" t="s">
        <v>3656</v>
      </c>
      <c r="G241" s="235" t="s">
        <v>477</v>
      </c>
      <c r="H241" s="234" t="s">
        <v>3124</v>
      </c>
      <c r="I241" s="236" t="s">
        <v>23</v>
      </c>
      <c r="J241" s="232" t="s">
        <v>23</v>
      </c>
      <c r="K241" s="237">
        <v>242510241</v>
      </c>
      <c r="L241" s="237" t="s">
        <v>476</v>
      </c>
      <c r="M241" s="234" t="s">
        <v>3655</v>
      </c>
      <c r="N241" s="234" t="s">
        <v>3656</v>
      </c>
      <c r="O241" s="234" t="s">
        <v>477</v>
      </c>
      <c r="P241" s="234" t="s">
        <v>3124</v>
      </c>
      <c r="Q241" s="232" t="s">
        <v>23</v>
      </c>
    </row>
    <row r="242" customHeight="1" spans="3:17">
      <c r="C242" s="233">
        <v>242510242</v>
      </c>
      <c r="D242" s="233" t="s">
        <v>176</v>
      </c>
      <c r="E242" s="234" t="s">
        <v>3657</v>
      </c>
      <c r="F242" s="234" t="s">
        <v>3658</v>
      </c>
      <c r="G242" s="235" t="s">
        <v>177</v>
      </c>
      <c r="H242" s="234" t="s">
        <v>3659</v>
      </c>
      <c r="I242" s="236" t="s">
        <v>23</v>
      </c>
      <c r="J242" s="232" t="s">
        <v>23</v>
      </c>
      <c r="K242" s="237">
        <v>242510242</v>
      </c>
      <c r="L242" s="237" t="s">
        <v>176</v>
      </c>
      <c r="M242" s="234" t="s">
        <v>3657</v>
      </c>
      <c r="N242" s="234" t="s">
        <v>3658</v>
      </c>
      <c r="O242" s="234" t="s">
        <v>177</v>
      </c>
      <c r="P242" s="234" t="s">
        <v>3659</v>
      </c>
      <c r="Q242" s="232" t="s">
        <v>23</v>
      </c>
    </row>
    <row r="243" customHeight="1" spans="3:17">
      <c r="C243" s="233">
        <v>242510243</v>
      </c>
      <c r="D243" s="233" t="s">
        <v>336</v>
      </c>
      <c r="E243" s="234" t="s">
        <v>3660</v>
      </c>
      <c r="F243" s="234" t="s">
        <v>3661</v>
      </c>
      <c r="G243" s="235" t="s">
        <v>337</v>
      </c>
      <c r="H243" s="234" t="s">
        <v>3124</v>
      </c>
      <c r="I243" s="236" t="s">
        <v>18</v>
      </c>
      <c r="J243" s="232" t="s">
        <v>18</v>
      </c>
      <c r="K243" s="237">
        <v>242510243</v>
      </c>
      <c r="L243" s="237" t="s">
        <v>336</v>
      </c>
      <c r="M243" s="234" t="s">
        <v>3660</v>
      </c>
      <c r="N243" s="234" t="s">
        <v>3661</v>
      </c>
      <c r="O243" s="234" t="s">
        <v>337</v>
      </c>
      <c r="P243" s="234" t="s">
        <v>3124</v>
      </c>
      <c r="Q243" s="232" t="s">
        <v>18</v>
      </c>
    </row>
    <row r="244" customHeight="1" spans="3:17">
      <c r="C244" s="233">
        <v>242510244</v>
      </c>
      <c r="D244" s="233" t="s">
        <v>180</v>
      </c>
      <c r="E244" s="234" t="s">
        <v>3662</v>
      </c>
      <c r="F244" s="234"/>
      <c r="G244" s="235" t="s">
        <v>181</v>
      </c>
      <c r="H244" s="234" t="s">
        <v>3150</v>
      </c>
      <c r="I244" s="236" t="s">
        <v>18</v>
      </c>
      <c r="J244" s="232" t="s">
        <v>18</v>
      </c>
      <c r="K244" s="237">
        <v>242510244</v>
      </c>
      <c r="L244" s="237" t="s">
        <v>180</v>
      </c>
      <c r="M244" s="234" t="s">
        <v>3662</v>
      </c>
      <c r="N244" s="234"/>
      <c r="O244" s="234" t="s">
        <v>181</v>
      </c>
      <c r="P244" s="234" t="s">
        <v>3150</v>
      </c>
      <c r="Q244" s="232" t="s">
        <v>18</v>
      </c>
    </row>
    <row r="245" customHeight="1" spans="3:17">
      <c r="C245" s="233">
        <v>242510245</v>
      </c>
      <c r="D245" s="233" t="s">
        <v>748</v>
      </c>
      <c r="E245" s="234" t="s">
        <v>3663</v>
      </c>
      <c r="F245" s="234" t="s">
        <v>3664</v>
      </c>
      <c r="G245" s="235" t="s">
        <v>749</v>
      </c>
      <c r="H245" s="235" t="s">
        <v>3124</v>
      </c>
      <c r="I245" s="236" t="s">
        <v>23</v>
      </c>
      <c r="J245" s="232" t="s">
        <v>23</v>
      </c>
      <c r="K245" s="237">
        <v>242510245</v>
      </c>
      <c r="L245" s="237" t="s">
        <v>748</v>
      </c>
      <c r="M245" s="234" t="s">
        <v>3663</v>
      </c>
      <c r="N245" s="234" t="s">
        <v>3664</v>
      </c>
      <c r="O245" s="234" t="s">
        <v>749</v>
      </c>
      <c r="P245" s="234" t="s">
        <v>3124</v>
      </c>
      <c r="Q245" s="232" t="s">
        <v>23</v>
      </c>
    </row>
    <row r="246" customHeight="1" spans="3:17">
      <c r="C246" s="233">
        <v>242510246</v>
      </c>
      <c r="D246" s="233" t="s">
        <v>21</v>
      </c>
      <c r="E246" s="234" t="s">
        <v>3665</v>
      </c>
      <c r="F246" s="234" t="s">
        <v>3666</v>
      </c>
      <c r="G246" s="235" t="s">
        <v>22</v>
      </c>
      <c r="H246" s="234" t="s">
        <v>3124</v>
      </c>
      <c r="I246" s="236" t="s">
        <v>23</v>
      </c>
      <c r="J246" s="232" t="s">
        <v>23</v>
      </c>
      <c r="K246" s="237">
        <v>242510246</v>
      </c>
      <c r="L246" s="237" t="s">
        <v>21</v>
      </c>
      <c r="M246" s="234" t="s">
        <v>3665</v>
      </c>
      <c r="N246" s="234" t="s">
        <v>3666</v>
      </c>
      <c r="O246" s="234" t="s">
        <v>22</v>
      </c>
      <c r="P246" s="234" t="s">
        <v>3124</v>
      </c>
      <c r="Q246" s="232" t="s">
        <v>23</v>
      </c>
    </row>
    <row r="247" customHeight="1" spans="3:17">
      <c r="C247" s="233">
        <v>242510247</v>
      </c>
      <c r="D247" s="233" t="s">
        <v>402</v>
      </c>
      <c r="E247" s="234" t="s">
        <v>3667</v>
      </c>
      <c r="F247" s="234" t="s">
        <v>3668</v>
      </c>
      <c r="G247" s="235" t="s">
        <v>403</v>
      </c>
      <c r="H247" s="234" t="s">
        <v>3124</v>
      </c>
      <c r="I247" s="236" t="s">
        <v>18</v>
      </c>
      <c r="J247" s="232" t="s">
        <v>18</v>
      </c>
      <c r="K247" s="237">
        <v>242510247</v>
      </c>
      <c r="L247" s="237" t="s">
        <v>402</v>
      </c>
      <c r="M247" s="234" t="s">
        <v>3667</v>
      </c>
      <c r="N247" s="234" t="s">
        <v>3668</v>
      </c>
      <c r="O247" s="234" t="s">
        <v>403</v>
      </c>
      <c r="P247" s="234" t="s">
        <v>3124</v>
      </c>
      <c r="Q247" s="232" t="s">
        <v>18</v>
      </c>
    </row>
    <row r="248" customHeight="1" spans="3:17">
      <c r="C248" s="233">
        <v>242510248</v>
      </c>
      <c r="D248" s="233" t="s">
        <v>414</v>
      </c>
      <c r="E248" s="234" t="s">
        <v>3669</v>
      </c>
      <c r="F248" s="234" t="s">
        <v>3670</v>
      </c>
      <c r="G248" s="235" t="s">
        <v>415</v>
      </c>
      <c r="H248" s="234" t="s">
        <v>3124</v>
      </c>
      <c r="I248" s="236" t="s">
        <v>23</v>
      </c>
      <c r="J248" s="232" t="s">
        <v>23</v>
      </c>
      <c r="K248" s="237">
        <v>242510248</v>
      </c>
      <c r="L248" s="237" t="s">
        <v>414</v>
      </c>
      <c r="M248" s="234" t="s">
        <v>3669</v>
      </c>
      <c r="N248" s="234" t="s">
        <v>3670</v>
      </c>
      <c r="O248" s="234" t="s">
        <v>415</v>
      </c>
      <c r="P248" s="234" t="s">
        <v>3124</v>
      </c>
      <c r="Q248" s="232" t="s">
        <v>23</v>
      </c>
    </row>
    <row r="249" customHeight="1" spans="3:17">
      <c r="C249" s="233">
        <v>242510249</v>
      </c>
      <c r="D249" s="233" t="s">
        <v>760</v>
      </c>
      <c r="E249" s="234" t="s">
        <v>3671</v>
      </c>
      <c r="F249" s="234" t="s">
        <v>3672</v>
      </c>
      <c r="G249" s="235" t="s">
        <v>761</v>
      </c>
      <c r="H249" s="234" t="s">
        <v>3124</v>
      </c>
      <c r="I249" s="236" t="s">
        <v>18</v>
      </c>
      <c r="J249" s="232" t="s">
        <v>18</v>
      </c>
      <c r="K249" s="237">
        <v>242510249</v>
      </c>
      <c r="L249" s="237" t="s">
        <v>760</v>
      </c>
      <c r="M249" s="234" t="s">
        <v>3671</v>
      </c>
      <c r="N249" s="234" t="s">
        <v>3672</v>
      </c>
      <c r="O249" s="234" t="s">
        <v>761</v>
      </c>
      <c r="P249" s="234" t="s">
        <v>3124</v>
      </c>
      <c r="Q249" s="232" t="s">
        <v>18</v>
      </c>
    </row>
    <row r="250" customHeight="1" spans="3:17">
      <c r="C250" s="233">
        <v>242510250</v>
      </c>
      <c r="D250" s="233" t="s">
        <v>588</v>
      </c>
      <c r="E250" s="234" t="s">
        <v>3673</v>
      </c>
      <c r="F250" s="234" t="s">
        <v>3674</v>
      </c>
      <c r="G250" s="235" t="s">
        <v>589</v>
      </c>
      <c r="H250" s="235" t="s">
        <v>3563</v>
      </c>
      <c r="I250" s="236" t="s">
        <v>23</v>
      </c>
      <c r="J250" s="232" t="s">
        <v>23</v>
      </c>
      <c r="K250" s="237">
        <v>242510250</v>
      </c>
      <c r="L250" s="237" t="s">
        <v>588</v>
      </c>
      <c r="M250" s="234" t="s">
        <v>3673</v>
      </c>
      <c r="N250" s="234" t="s">
        <v>3674</v>
      </c>
      <c r="O250" s="234" t="s">
        <v>589</v>
      </c>
      <c r="P250" s="234" t="s">
        <v>3563</v>
      </c>
      <c r="Q250" s="232" t="s">
        <v>23</v>
      </c>
    </row>
    <row r="251" customHeight="1" spans="3:17">
      <c r="C251" s="233">
        <v>242510251</v>
      </c>
      <c r="D251" s="233" t="s">
        <v>772</v>
      </c>
      <c r="E251" s="234" t="s">
        <v>3675</v>
      </c>
      <c r="F251" s="234" t="s">
        <v>3676</v>
      </c>
      <c r="G251" s="235" t="s">
        <v>773</v>
      </c>
      <c r="H251" s="234" t="s">
        <v>3677</v>
      </c>
      <c r="I251" s="236" t="s">
        <v>18</v>
      </c>
      <c r="J251" s="232" t="s">
        <v>18</v>
      </c>
      <c r="K251" s="237">
        <v>242510251</v>
      </c>
      <c r="L251" s="237" t="s">
        <v>772</v>
      </c>
      <c r="M251" s="234" t="s">
        <v>3675</v>
      </c>
      <c r="N251" s="234" t="s">
        <v>3676</v>
      </c>
      <c r="O251" s="234" t="s">
        <v>773</v>
      </c>
      <c r="P251" s="234" t="s">
        <v>3677</v>
      </c>
      <c r="Q251" s="232" t="s">
        <v>18</v>
      </c>
    </row>
    <row r="252" ht="13.6" spans="3:17">
      <c r="C252" s="233">
        <v>242510252</v>
      </c>
      <c r="D252" s="233" t="s">
        <v>196</v>
      </c>
      <c r="E252" s="234" t="s">
        <v>3678</v>
      </c>
      <c r="F252" s="234" t="s">
        <v>3679</v>
      </c>
      <c r="G252" s="235" t="s">
        <v>197</v>
      </c>
      <c r="H252" s="234" t="s">
        <v>3186</v>
      </c>
      <c r="I252" s="236" t="s">
        <v>18</v>
      </c>
      <c r="J252" s="232" t="s">
        <v>18</v>
      </c>
      <c r="K252" s="237">
        <v>242510252</v>
      </c>
      <c r="L252" s="237" t="s">
        <v>196</v>
      </c>
      <c r="M252" s="234" t="s">
        <v>3678</v>
      </c>
      <c r="N252" s="234" t="s">
        <v>3679</v>
      </c>
      <c r="O252" s="234" t="s">
        <v>197</v>
      </c>
      <c r="P252" s="234" t="s">
        <v>3186</v>
      </c>
      <c r="Q252" s="232" t="s">
        <v>18</v>
      </c>
    </row>
    <row r="253" customHeight="1" spans="3:17">
      <c r="C253" s="233">
        <v>242510253</v>
      </c>
      <c r="D253" s="233" t="s">
        <v>852</v>
      </c>
      <c r="E253" s="234" t="s">
        <v>3680</v>
      </c>
      <c r="F253" s="234" t="s">
        <v>3681</v>
      </c>
      <c r="G253" s="235" t="s">
        <v>853</v>
      </c>
      <c r="H253" s="234" t="s">
        <v>3124</v>
      </c>
      <c r="I253" s="236" t="s">
        <v>23</v>
      </c>
      <c r="J253" s="232" t="s">
        <v>23</v>
      </c>
      <c r="K253" s="237">
        <v>242510253</v>
      </c>
      <c r="L253" s="237" t="s">
        <v>852</v>
      </c>
      <c r="M253" s="234" t="s">
        <v>3680</v>
      </c>
      <c r="N253" s="234" t="s">
        <v>3681</v>
      </c>
      <c r="O253" s="234" t="s">
        <v>853</v>
      </c>
      <c r="P253" s="234" t="s">
        <v>3124</v>
      </c>
      <c r="Q253" s="232" t="s">
        <v>23</v>
      </c>
    </row>
    <row r="254" customHeight="1" spans="3:17">
      <c r="C254" s="251">
        <v>242510254</v>
      </c>
      <c r="D254" s="233" t="s">
        <v>596</v>
      </c>
      <c r="E254" s="234" t="s">
        <v>3682</v>
      </c>
      <c r="F254" s="234" t="s">
        <v>3683</v>
      </c>
      <c r="G254" s="235" t="s">
        <v>597</v>
      </c>
      <c r="H254" s="234" t="s">
        <v>3208</v>
      </c>
      <c r="I254" s="236" t="s">
        <v>18</v>
      </c>
      <c r="J254" s="232" t="s">
        <v>18</v>
      </c>
      <c r="K254" s="237">
        <v>242510254</v>
      </c>
      <c r="L254" s="237" t="s">
        <v>596</v>
      </c>
      <c r="M254" s="234" t="s">
        <v>3682</v>
      </c>
      <c r="N254" s="234" t="s">
        <v>3683</v>
      </c>
      <c r="O254" s="234" t="s">
        <v>597</v>
      </c>
      <c r="P254" s="234" t="s">
        <v>3208</v>
      </c>
      <c r="Q254" s="232" t="s">
        <v>18</v>
      </c>
    </row>
    <row r="255" ht="13.6" spans="3:17">
      <c r="C255" s="233">
        <v>242510255</v>
      </c>
      <c r="D255" s="233" t="s">
        <v>782</v>
      </c>
      <c r="E255" s="234" t="s">
        <v>3684</v>
      </c>
      <c r="F255" s="234" t="s">
        <v>3685</v>
      </c>
      <c r="G255" s="235" t="s">
        <v>783</v>
      </c>
      <c r="H255" s="235" t="s">
        <v>3124</v>
      </c>
      <c r="I255" s="236" t="s">
        <v>18</v>
      </c>
      <c r="J255" s="232" t="s">
        <v>18</v>
      </c>
      <c r="K255" s="237">
        <v>242510255</v>
      </c>
      <c r="L255" s="237" t="s">
        <v>782</v>
      </c>
      <c r="M255" s="234" t="s">
        <v>3684</v>
      </c>
      <c r="N255" s="234" t="s">
        <v>3685</v>
      </c>
      <c r="O255" s="234" t="s">
        <v>783</v>
      </c>
      <c r="P255" s="234" t="s">
        <v>3124</v>
      </c>
      <c r="Q255" s="232" t="s">
        <v>18</v>
      </c>
    </row>
    <row r="256" customHeight="1" spans="3:17">
      <c r="C256" s="233">
        <v>242510256</v>
      </c>
      <c r="D256" s="233" t="s">
        <v>126</v>
      </c>
      <c r="E256" s="234" t="s">
        <v>3686</v>
      </c>
      <c r="F256" s="234" t="s">
        <v>3687</v>
      </c>
      <c r="G256" s="235" t="s">
        <v>127</v>
      </c>
      <c r="H256" s="234" t="s">
        <v>3659</v>
      </c>
      <c r="I256" s="236" t="s">
        <v>18</v>
      </c>
      <c r="J256" s="232" t="s">
        <v>18</v>
      </c>
      <c r="K256" s="237">
        <v>242510256</v>
      </c>
      <c r="L256" s="237" t="s">
        <v>126</v>
      </c>
      <c r="M256" s="234" t="s">
        <v>3686</v>
      </c>
      <c r="N256" s="234" t="s">
        <v>3687</v>
      </c>
      <c r="O256" s="234" t="s">
        <v>127</v>
      </c>
      <c r="P256" s="234" t="s">
        <v>3659</v>
      </c>
      <c r="Q256" s="232" t="s">
        <v>18</v>
      </c>
    </row>
    <row r="257" customHeight="1" spans="3:17">
      <c r="C257" s="233">
        <v>242510257</v>
      </c>
      <c r="D257" s="233" t="s">
        <v>688</v>
      </c>
      <c r="E257" s="234" t="s">
        <v>3688</v>
      </c>
      <c r="F257" s="234" t="s">
        <v>3689</v>
      </c>
      <c r="G257" s="235" t="s">
        <v>689</v>
      </c>
      <c r="H257" s="234" t="s">
        <v>3563</v>
      </c>
      <c r="I257" s="236" t="s">
        <v>18</v>
      </c>
      <c r="J257" s="232" t="s">
        <v>18</v>
      </c>
      <c r="K257" s="237">
        <v>242510257</v>
      </c>
      <c r="L257" s="237" t="s">
        <v>688</v>
      </c>
      <c r="M257" s="234" t="s">
        <v>3688</v>
      </c>
      <c r="N257" s="234" t="s">
        <v>3689</v>
      </c>
      <c r="O257" s="234" t="s">
        <v>689</v>
      </c>
      <c r="P257" s="234" t="s">
        <v>3563</v>
      </c>
      <c r="Q257" s="232" t="s">
        <v>18</v>
      </c>
    </row>
    <row r="258" customHeight="1" spans="3:17">
      <c r="C258" s="233">
        <v>242510258</v>
      </c>
      <c r="D258" s="233" t="s">
        <v>208</v>
      </c>
      <c r="E258" s="234" t="s">
        <v>3690</v>
      </c>
      <c r="F258" s="234" t="s">
        <v>3691</v>
      </c>
      <c r="G258" s="235" t="s">
        <v>3692</v>
      </c>
      <c r="H258" s="234" t="s">
        <v>3124</v>
      </c>
      <c r="I258" s="236" t="s">
        <v>18</v>
      </c>
      <c r="J258" s="232" t="s">
        <v>18</v>
      </c>
      <c r="K258" s="237">
        <v>242510258</v>
      </c>
      <c r="L258" s="237" t="s">
        <v>208</v>
      </c>
      <c r="M258" s="234" t="s">
        <v>3690</v>
      </c>
      <c r="N258" s="234" t="s">
        <v>3691</v>
      </c>
      <c r="O258" s="234" t="s">
        <v>3692</v>
      </c>
      <c r="P258" s="234" t="s">
        <v>3124</v>
      </c>
      <c r="Q258" s="232" t="s">
        <v>18</v>
      </c>
    </row>
    <row r="259" customHeight="1" spans="3:17">
      <c r="C259" s="233">
        <v>242510259</v>
      </c>
      <c r="D259" s="233" t="s">
        <v>222</v>
      </c>
      <c r="E259" s="234" t="s">
        <v>3693</v>
      </c>
      <c r="F259" s="234" t="s">
        <v>3694</v>
      </c>
      <c r="G259" s="235" t="s">
        <v>223</v>
      </c>
      <c r="H259" s="234" t="s">
        <v>3186</v>
      </c>
      <c r="I259" s="236" t="s">
        <v>23</v>
      </c>
      <c r="J259" s="232" t="s">
        <v>23</v>
      </c>
      <c r="K259" s="237">
        <v>242510259</v>
      </c>
      <c r="L259" s="237" t="s">
        <v>222</v>
      </c>
      <c r="M259" s="234" t="s">
        <v>3693</v>
      </c>
      <c r="N259" s="234" t="s">
        <v>3694</v>
      </c>
      <c r="O259" s="234" t="s">
        <v>223</v>
      </c>
      <c r="P259" s="234" t="s">
        <v>3186</v>
      </c>
      <c r="Q259" s="232" t="s">
        <v>23</v>
      </c>
    </row>
    <row r="260" customHeight="1" spans="3:17">
      <c r="C260" s="233">
        <v>242510260</v>
      </c>
      <c r="D260" s="233" t="s">
        <v>604</v>
      </c>
      <c r="E260" s="234" t="s">
        <v>3695</v>
      </c>
      <c r="F260" s="234" t="s">
        <v>3696</v>
      </c>
      <c r="G260" s="235" t="s">
        <v>605</v>
      </c>
      <c r="H260" s="234" t="s">
        <v>3124</v>
      </c>
      <c r="I260" s="236" t="s">
        <v>23</v>
      </c>
      <c r="J260" s="232" t="s">
        <v>23</v>
      </c>
      <c r="K260" s="237">
        <v>242510260</v>
      </c>
      <c r="L260" s="237" t="s">
        <v>604</v>
      </c>
      <c r="M260" s="234" t="s">
        <v>3695</v>
      </c>
      <c r="N260" s="234" t="s">
        <v>3696</v>
      </c>
      <c r="O260" s="234" t="s">
        <v>605</v>
      </c>
      <c r="P260" s="234" t="s">
        <v>3124</v>
      </c>
      <c r="Q260" s="232" t="s">
        <v>23</v>
      </c>
    </row>
    <row r="261" customHeight="1" spans="3:17">
      <c r="C261" s="233">
        <v>242510261</v>
      </c>
      <c r="D261" s="233" t="s">
        <v>290</v>
      </c>
      <c r="E261" s="234" t="s">
        <v>3697</v>
      </c>
      <c r="F261" s="234" t="s">
        <v>3698</v>
      </c>
      <c r="G261" s="235" t="s">
        <v>291</v>
      </c>
      <c r="H261" s="234" t="s">
        <v>3124</v>
      </c>
      <c r="I261" s="236" t="s">
        <v>23</v>
      </c>
      <c r="J261" s="232" t="s">
        <v>23</v>
      </c>
      <c r="K261" s="237">
        <v>242510261</v>
      </c>
      <c r="L261" s="237" t="s">
        <v>290</v>
      </c>
      <c r="M261" s="234" t="s">
        <v>3697</v>
      </c>
      <c r="N261" s="234" t="s">
        <v>3698</v>
      </c>
      <c r="O261" s="234" t="s">
        <v>291</v>
      </c>
      <c r="P261" s="234" t="s">
        <v>3124</v>
      </c>
      <c r="Q261" s="232" t="s">
        <v>23</v>
      </c>
    </row>
    <row r="262" customHeight="1" spans="3:17">
      <c r="C262" s="233">
        <v>242510262</v>
      </c>
      <c r="D262" s="233" t="s">
        <v>220</v>
      </c>
      <c r="E262" s="234" t="s">
        <v>3699</v>
      </c>
      <c r="F262" s="234" t="s">
        <v>3700</v>
      </c>
      <c r="G262" s="235" t="s">
        <v>221</v>
      </c>
      <c r="H262" s="234" t="s">
        <v>3701</v>
      </c>
      <c r="I262" s="239" t="s">
        <v>23</v>
      </c>
      <c r="J262" s="240" t="s">
        <v>23</v>
      </c>
      <c r="K262" s="237">
        <v>242510262</v>
      </c>
      <c r="L262" s="237" t="s">
        <v>220</v>
      </c>
      <c r="M262" s="234" t="s">
        <v>3699</v>
      </c>
      <c r="N262" s="234" t="s">
        <v>3700</v>
      </c>
      <c r="O262" s="234" t="s">
        <v>221</v>
      </c>
      <c r="P262" s="234" t="s">
        <v>3701</v>
      </c>
      <c r="Q262" s="240" t="s">
        <v>23</v>
      </c>
    </row>
    <row r="263" customHeight="1" spans="3:17">
      <c r="C263" s="233">
        <v>242510263</v>
      </c>
      <c r="D263" s="233" t="s">
        <v>618</v>
      </c>
      <c r="E263" s="234" t="s">
        <v>3702</v>
      </c>
      <c r="F263" s="234" t="s">
        <v>3703</v>
      </c>
      <c r="G263" s="235" t="s">
        <v>619</v>
      </c>
      <c r="H263" s="234" t="s">
        <v>3124</v>
      </c>
      <c r="I263" s="236" t="s">
        <v>23</v>
      </c>
      <c r="J263" s="232" t="s">
        <v>23</v>
      </c>
      <c r="K263" s="237">
        <v>242510263</v>
      </c>
      <c r="L263" s="237" t="s">
        <v>618</v>
      </c>
      <c r="M263" s="234" t="s">
        <v>3702</v>
      </c>
      <c r="N263" s="234" t="s">
        <v>3703</v>
      </c>
      <c r="O263" s="234" t="s">
        <v>619</v>
      </c>
      <c r="P263" s="234" t="s">
        <v>3124</v>
      </c>
      <c r="Q263" s="232" t="s">
        <v>23</v>
      </c>
    </row>
    <row r="264" customHeight="1" spans="3:17">
      <c r="C264" s="233">
        <v>242510264</v>
      </c>
      <c r="D264" s="233" t="s">
        <v>148</v>
      </c>
      <c r="E264" s="234" t="s">
        <v>3704</v>
      </c>
      <c r="F264" s="234" t="s">
        <v>3705</v>
      </c>
      <c r="G264" s="235" t="s">
        <v>149</v>
      </c>
      <c r="H264" s="234" t="s">
        <v>3484</v>
      </c>
      <c r="I264" s="236" t="s">
        <v>18</v>
      </c>
      <c r="J264" s="232" t="s">
        <v>18</v>
      </c>
      <c r="K264" s="237">
        <v>242510264</v>
      </c>
      <c r="L264" s="237" t="s">
        <v>148</v>
      </c>
      <c r="M264" s="234" t="s">
        <v>3704</v>
      </c>
      <c r="N264" s="234" t="s">
        <v>3705</v>
      </c>
      <c r="O264" s="234" t="s">
        <v>149</v>
      </c>
      <c r="P264" s="234" t="s">
        <v>3484</v>
      </c>
      <c r="Q264" s="232" t="s">
        <v>18</v>
      </c>
    </row>
    <row r="265" customHeight="1" spans="3:17">
      <c r="C265" s="233">
        <v>242510265</v>
      </c>
      <c r="D265" s="233" t="s">
        <v>294</v>
      </c>
      <c r="E265" s="234" t="s">
        <v>3706</v>
      </c>
      <c r="F265" s="234" t="s">
        <v>3707</v>
      </c>
      <c r="G265" s="235" t="s">
        <v>295</v>
      </c>
      <c r="H265" s="234" t="s">
        <v>3563</v>
      </c>
      <c r="I265" s="236" t="s">
        <v>18</v>
      </c>
      <c r="J265" s="232" t="s">
        <v>18</v>
      </c>
      <c r="K265" s="237">
        <v>242510265</v>
      </c>
      <c r="L265" s="237" t="s">
        <v>294</v>
      </c>
      <c r="M265" s="234" t="s">
        <v>3706</v>
      </c>
      <c r="N265" s="234" t="s">
        <v>3707</v>
      </c>
      <c r="O265" s="234" t="s">
        <v>295</v>
      </c>
      <c r="P265" s="234" t="s">
        <v>3563</v>
      </c>
      <c r="Q265" s="232" t="s">
        <v>18</v>
      </c>
    </row>
    <row r="266" customHeight="1" spans="3:17">
      <c r="C266" s="233">
        <v>242510266</v>
      </c>
      <c r="D266" s="233" t="s">
        <v>528</v>
      </c>
      <c r="E266" s="234" t="s">
        <v>3708</v>
      </c>
      <c r="F266" s="234" t="s">
        <v>3709</v>
      </c>
      <c r="G266" s="235" t="s">
        <v>529</v>
      </c>
      <c r="H266" s="234" t="s">
        <v>3484</v>
      </c>
      <c r="I266" s="236" t="s">
        <v>18</v>
      </c>
      <c r="J266" s="232" t="s">
        <v>18</v>
      </c>
      <c r="K266" s="237">
        <v>242510266</v>
      </c>
      <c r="L266" s="237" t="s">
        <v>528</v>
      </c>
      <c r="M266" s="234" t="s">
        <v>3708</v>
      </c>
      <c r="N266" s="234" t="s">
        <v>3709</v>
      </c>
      <c r="O266" s="234" t="s">
        <v>529</v>
      </c>
      <c r="P266" s="234" t="s">
        <v>3484</v>
      </c>
      <c r="Q266" s="232" t="s">
        <v>18</v>
      </c>
    </row>
    <row r="267" customHeight="1" spans="3:17">
      <c r="C267" s="233">
        <v>242510267</v>
      </c>
      <c r="D267" s="233" t="s">
        <v>298</v>
      </c>
      <c r="E267" s="234" t="s">
        <v>3710</v>
      </c>
      <c r="F267" s="234" t="s">
        <v>3711</v>
      </c>
      <c r="G267" s="235" t="s">
        <v>299</v>
      </c>
      <c r="H267" s="234" t="s">
        <v>3124</v>
      </c>
      <c r="I267" s="236" t="s">
        <v>23</v>
      </c>
      <c r="J267" s="232" t="s">
        <v>23</v>
      </c>
      <c r="K267" s="237">
        <v>242510267</v>
      </c>
      <c r="L267" s="237" t="s">
        <v>298</v>
      </c>
      <c r="M267" s="234" t="s">
        <v>3710</v>
      </c>
      <c r="N267" s="234" t="s">
        <v>3711</v>
      </c>
      <c r="O267" s="234" t="s">
        <v>299</v>
      </c>
      <c r="P267" s="234" t="s">
        <v>3124</v>
      </c>
      <c r="Q267" s="232" t="s">
        <v>23</v>
      </c>
    </row>
    <row r="268" customHeight="1" spans="3:17">
      <c r="C268" s="233">
        <v>242510268</v>
      </c>
      <c r="D268" s="233" t="s">
        <v>158</v>
      </c>
      <c r="E268" s="234" t="s">
        <v>3712</v>
      </c>
      <c r="F268" s="234" t="s">
        <v>3713</v>
      </c>
      <c r="G268" s="235" t="s">
        <v>159</v>
      </c>
      <c r="H268" s="234" t="s">
        <v>3248</v>
      </c>
      <c r="I268" s="236" t="s">
        <v>18</v>
      </c>
      <c r="J268" s="232" t="s">
        <v>18</v>
      </c>
      <c r="K268" s="237">
        <v>242510268</v>
      </c>
      <c r="L268" s="237" t="s">
        <v>158</v>
      </c>
      <c r="M268" s="234" t="s">
        <v>3712</v>
      </c>
      <c r="N268" s="234" t="s">
        <v>3713</v>
      </c>
      <c r="O268" s="234" t="s">
        <v>159</v>
      </c>
      <c r="P268" s="234" t="s">
        <v>3248</v>
      </c>
      <c r="Q268" s="232" t="s">
        <v>18</v>
      </c>
    </row>
    <row r="269" customHeight="1" spans="3:17">
      <c r="C269" s="233">
        <v>242510269</v>
      </c>
      <c r="D269" s="233" t="s">
        <v>450</v>
      </c>
      <c r="E269" s="234" t="s">
        <v>3714</v>
      </c>
      <c r="F269" s="234" t="s">
        <v>3715</v>
      </c>
      <c r="G269" s="235" t="s">
        <v>451</v>
      </c>
      <c r="H269" s="234" t="s">
        <v>3124</v>
      </c>
      <c r="I269" s="236" t="s">
        <v>18</v>
      </c>
      <c r="J269" s="232" t="s">
        <v>18</v>
      </c>
      <c r="K269" s="237">
        <v>242510269</v>
      </c>
      <c r="L269" s="237" t="s">
        <v>450</v>
      </c>
      <c r="M269" s="234" t="s">
        <v>3714</v>
      </c>
      <c r="N269" s="234" t="s">
        <v>3715</v>
      </c>
      <c r="O269" s="234" t="s">
        <v>451</v>
      </c>
      <c r="P269" s="234" t="s">
        <v>3124</v>
      </c>
      <c r="Q269" s="232" t="s">
        <v>18</v>
      </c>
    </row>
    <row r="270" customHeight="1" spans="3:17">
      <c r="C270" s="233">
        <v>242510270</v>
      </c>
      <c r="D270" s="233" t="s">
        <v>714</v>
      </c>
      <c r="E270" s="234" t="s">
        <v>3716</v>
      </c>
      <c r="F270" s="234" t="s">
        <v>3717</v>
      </c>
      <c r="G270" s="235" t="s">
        <v>715</v>
      </c>
      <c r="H270" s="234" t="s">
        <v>3124</v>
      </c>
      <c r="I270" s="236" t="s">
        <v>18</v>
      </c>
      <c r="J270" s="232" t="s">
        <v>18</v>
      </c>
      <c r="K270" s="237">
        <v>242510270</v>
      </c>
      <c r="L270" s="237" t="s">
        <v>714</v>
      </c>
      <c r="M270" s="234" t="s">
        <v>3716</v>
      </c>
      <c r="N270" s="234" t="s">
        <v>3717</v>
      </c>
      <c r="O270" s="234" t="s">
        <v>715</v>
      </c>
      <c r="P270" s="234" t="s">
        <v>3124</v>
      </c>
      <c r="Q270" s="232" t="s">
        <v>18</v>
      </c>
    </row>
    <row r="271" customHeight="1" spans="3:17">
      <c r="C271" s="233">
        <v>242510271</v>
      </c>
      <c r="D271" s="233" t="s">
        <v>304</v>
      </c>
      <c r="E271" s="234" t="s">
        <v>3718</v>
      </c>
      <c r="F271" s="234" t="s">
        <v>3157</v>
      </c>
      <c r="G271" s="235" t="s">
        <v>305</v>
      </c>
      <c r="H271" s="234" t="s">
        <v>3421</v>
      </c>
      <c r="I271" s="236" t="s">
        <v>18</v>
      </c>
      <c r="J271" s="232" t="s">
        <v>18</v>
      </c>
      <c r="K271" s="237">
        <v>242510271</v>
      </c>
      <c r="L271" s="237" t="s">
        <v>304</v>
      </c>
      <c r="M271" s="234" t="s">
        <v>3718</v>
      </c>
      <c r="N271" s="234" t="s">
        <v>3157</v>
      </c>
      <c r="O271" s="234" t="s">
        <v>305</v>
      </c>
      <c r="P271" s="234" t="s">
        <v>3421</v>
      </c>
      <c r="Q271" s="232" t="s">
        <v>18</v>
      </c>
    </row>
    <row r="272" customHeight="1" spans="3:17">
      <c r="C272" s="233">
        <v>242510272</v>
      </c>
      <c r="D272" s="233" t="s">
        <v>548</v>
      </c>
      <c r="E272" s="234" t="s">
        <v>3719</v>
      </c>
      <c r="F272" s="234" t="s">
        <v>3720</v>
      </c>
      <c r="G272" s="235" t="s">
        <v>549</v>
      </c>
      <c r="H272" s="234" t="s">
        <v>3124</v>
      </c>
      <c r="I272" s="236" t="s">
        <v>23</v>
      </c>
      <c r="J272" s="232" t="s">
        <v>23</v>
      </c>
      <c r="K272" s="237">
        <v>242510272</v>
      </c>
      <c r="L272" s="237" t="s">
        <v>548</v>
      </c>
      <c r="M272" s="234" t="s">
        <v>3719</v>
      </c>
      <c r="N272" s="234" t="s">
        <v>3720</v>
      </c>
      <c r="O272" s="234" t="s">
        <v>549</v>
      </c>
      <c r="P272" s="234" t="s">
        <v>3124</v>
      </c>
      <c r="Q272" s="232" t="s">
        <v>23</v>
      </c>
    </row>
    <row r="273" customHeight="1" spans="3:17">
      <c r="C273" s="233">
        <v>242510273</v>
      </c>
      <c r="D273" s="233" t="s">
        <v>83</v>
      </c>
      <c r="E273" s="234" t="s">
        <v>3721</v>
      </c>
      <c r="F273" s="234" t="s">
        <v>3722</v>
      </c>
      <c r="G273" s="235" t="s">
        <v>84</v>
      </c>
      <c r="H273" s="234" t="s">
        <v>3563</v>
      </c>
      <c r="I273" s="236" t="s">
        <v>18</v>
      </c>
      <c r="J273" s="232" t="s">
        <v>18</v>
      </c>
      <c r="K273" s="237">
        <v>242510273</v>
      </c>
      <c r="L273" s="237" t="s">
        <v>83</v>
      </c>
      <c r="M273" s="234" t="s">
        <v>3721</v>
      </c>
      <c r="N273" s="234" t="s">
        <v>3722</v>
      </c>
      <c r="O273" s="234" t="s">
        <v>84</v>
      </c>
      <c r="P273" s="234" t="s">
        <v>3563</v>
      </c>
      <c r="Q273" s="232" t="s">
        <v>18</v>
      </c>
    </row>
    <row r="274" customHeight="1" spans="3:17">
      <c r="C274" s="233">
        <v>242510274</v>
      </c>
      <c r="D274" s="233" t="s">
        <v>388</v>
      </c>
      <c r="E274" s="234" t="s">
        <v>3723</v>
      </c>
      <c r="F274" s="234" t="s">
        <v>3724</v>
      </c>
      <c r="G274" s="235" t="s">
        <v>389</v>
      </c>
      <c r="H274" s="234" t="s">
        <v>3124</v>
      </c>
      <c r="I274" s="236" t="s">
        <v>18</v>
      </c>
      <c r="J274" s="232" t="s">
        <v>18</v>
      </c>
      <c r="K274" s="237">
        <v>242510274</v>
      </c>
      <c r="L274" s="237" t="s">
        <v>388</v>
      </c>
      <c r="M274" s="234" t="s">
        <v>3723</v>
      </c>
      <c r="N274" s="234" t="s">
        <v>3724</v>
      </c>
      <c r="O274" s="234" t="s">
        <v>389</v>
      </c>
      <c r="P274" s="234" t="s">
        <v>3124</v>
      </c>
      <c r="Q274" s="232" t="s">
        <v>18</v>
      </c>
    </row>
    <row r="275" customHeight="1" spans="3:17">
      <c r="C275" s="233">
        <v>242510275</v>
      </c>
      <c r="D275" s="233" t="s">
        <v>316</v>
      </c>
      <c r="E275" s="234" t="s">
        <v>3725</v>
      </c>
      <c r="F275" s="234" t="s">
        <v>3726</v>
      </c>
      <c r="G275" s="235" t="s">
        <v>317</v>
      </c>
      <c r="H275" s="234" t="s">
        <v>3727</v>
      </c>
      <c r="I275" s="236" t="s">
        <v>18</v>
      </c>
      <c r="J275" s="232" t="s">
        <v>18</v>
      </c>
      <c r="K275" s="237">
        <v>242510275</v>
      </c>
      <c r="L275" s="237" t="s">
        <v>316</v>
      </c>
      <c r="M275" s="234" t="s">
        <v>3725</v>
      </c>
      <c r="N275" s="234" t="s">
        <v>3726</v>
      </c>
      <c r="O275" s="234" t="s">
        <v>317</v>
      </c>
      <c r="P275" s="234" t="s">
        <v>3727</v>
      </c>
      <c r="Q275" s="232" t="s">
        <v>18</v>
      </c>
    </row>
    <row r="276" customHeight="1" spans="3:17">
      <c r="C276" s="233">
        <v>242510276</v>
      </c>
      <c r="D276" s="233" t="s">
        <v>246</v>
      </c>
      <c r="E276" s="234" t="s">
        <v>3728</v>
      </c>
      <c r="F276" s="234" t="s">
        <v>3729</v>
      </c>
      <c r="G276" s="235" t="s">
        <v>247</v>
      </c>
      <c r="H276" s="234" t="s">
        <v>3124</v>
      </c>
      <c r="I276" s="239" t="s">
        <v>23</v>
      </c>
      <c r="J276" s="240" t="s">
        <v>23</v>
      </c>
      <c r="K276" s="243">
        <v>242510276</v>
      </c>
      <c r="L276" s="237" t="s">
        <v>246</v>
      </c>
      <c r="M276" s="234" t="s">
        <v>3728</v>
      </c>
      <c r="N276" s="234" t="s">
        <v>3729</v>
      </c>
      <c r="O276" s="234" t="s">
        <v>247</v>
      </c>
      <c r="P276" s="234" t="s">
        <v>3124</v>
      </c>
      <c r="Q276" s="240" t="s">
        <v>23</v>
      </c>
    </row>
    <row r="277" customHeight="1" spans="3:17">
      <c r="C277" s="233">
        <v>242510277</v>
      </c>
      <c r="D277" s="233" t="s">
        <v>250</v>
      </c>
      <c r="E277" s="234" t="s">
        <v>3730</v>
      </c>
      <c r="F277" s="234" t="s">
        <v>3731</v>
      </c>
      <c r="G277" s="235" t="s">
        <v>251</v>
      </c>
      <c r="H277" s="234" t="s">
        <v>3732</v>
      </c>
      <c r="I277" s="236" t="s">
        <v>18</v>
      </c>
      <c r="J277" s="232" t="s">
        <v>18</v>
      </c>
      <c r="K277" s="237">
        <v>242510277</v>
      </c>
      <c r="L277" s="237" t="s">
        <v>250</v>
      </c>
      <c r="M277" s="234" t="s">
        <v>3730</v>
      </c>
      <c r="N277" s="234" t="s">
        <v>3731</v>
      </c>
      <c r="O277" s="234" t="s">
        <v>251</v>
      </c>
      <c r="P277" s="234" t="s">
        <v>3732</v>
      </c>
      <c r="Q277" s="232" t="s">
        <v>18</v>
      </c>
    </row>
    <row r="278" customHeight="1" spans="3:17">
      <c r="C278" s="233">
        <v>242510278</v>
      </c>
      <c r="D278" s="233" t="s">
        <v>182</v>
      </c>
      <c r="E278" s="234" t="s">
        <v>3733</v>
      </c>
      <c r="F278" s="234" t="s">
        <v>3734</v>
      </c>
      <c r="G278" s="235" t="s">
        <v>183</v>
      </c>
      <c r="H278" s="234" t="s">
        <v>3124</v>
      </c>
      <c r="I278" s="236" t="s">
        <v>18</v>
      </c>
      <c r="J278" s="232" t="s">
        <v>18</v>
      </c>
      <c r="K278" s="237">
        <v>242510278</v>
      </c>
      <c r="L278" s="237" t="s">
        <v>182</v>
      </c>
      <c r="M278" s="234" t="s">
        <v>3733</v>
      </c>
      <c r="N278" s="234" t="s">
        <v>3734</v>
      </c>
      <c r="O278" s="234" t="s">
        <v>183</v>
      </c>
      <c r="P278" s="234" t="s">
        <v>3124</v>
      </c>
      <c r="Q278" s="232" t="s">
        <v>18</v>
      </c>
    </row>
    <row r="279" customHeight="1" spans="3:17">
      <c r="C279" s="233">
        <v>242510279</v>
      </c>
      <c r="D279" s="233" t="s">
        <v>252</v>
      </c>
      <c r="E279" s="234" t="s">
        <v>3735</v>
      </c>
      <c r="F279" s="234" t="s">
        <v>3736</v>
      </c>
      <c r="G279" s="235" t="s">
        <v>253</v>
      </c>
      <c r="H279" s="234" t="s">
        <v>3186</v>
      </c>
      <c r="I279" s="236" t="s">
        <v>18</v>
      </c>
      <c r="J279" s="232" t="s">
        <v>18</v>
      </c>
      <c r="K279" s="237">
        <v>242510279</v>
      </c>
      <c r="L279" s="237" t="s">
        <v>252</v>
      </c>
      <c r="M279" s="234" t="s">
        <v>3735</v>
      </c>
      <c r="N279" s="234" t="s">
        <v>3736</v>
      </c>
      <c r="O279" s="234" t="s">
        <v>253</v>
      </c>
      <c r="P279" s="234" t="s">
        <v>3186</v>
      </c>
      <c r="Q279" s="232" t="s">
        <v>18</v>
      </c>
    </row>
    <row r="280" customHeight="1" spans="3:17">
      <c r="C280" s="233">
        <v>242510280</v>
      </c>
      <c r="D280" s="233" t="s">
        <v>828</v>
      </c>
      <c r="E280" s="234" t="s">
        <v>3737</v>
      </c>
      <c r="F280" s="234" t="s">
        <v>3738</v>
      </c>
      <c r="G280" s="235" t="s">
        <v>829</v>
      </c>
      <c r="H280" s="234" t="s">
        <v>3124</v>
      </c>
      <c r="I280" s="236" t="s">
        <v>18</v>
      </c>
      <c r="J280" s="232" t="s">
        <v>18</v>
      </c>
      <c r="K280" s="237">
        <v>242510280</v>
      </c>
      <c r="L280" s="237" t="s">
        <v>828</v>
      </c>
      <c r="M280" s="234" t="s">
        <v>3737</v>
      </c>
      <c r="N280" s="234" t="s">
        <v>3738</v>
      </c>
      <c r="O280" s="234" t="s">
        <v>829</v>
      </c>
      <c r="P280" s="234" t="s">
        <v>3124</v>
      </c>
      <c r="Q280" s="232" t="s">
        <v>18</v>
      </c>
    </row>
    <row r="281" customHeight="1" spans="3:17">
      <c r="C281" s="233">
        <v>242510281</v>
      </c>
      <c r="D281" s="233" t="s">
        <v>24</v>
      </c>
      <c r="E281" s="234" t="s">
        <v>3739</v>
      </c>
      <c r="F281" s="234" t="s">
        <v>3740</v>
      </c>
      <c r="G281" s="235" t="s">
        <v>25</v>
      </c>
      <c r="H281" s="234" t="s">
        <v>3124</v>
      </c>
      <c r="I281" s="239" t="s">
        <v>18</v>
      </c>
      <c r="J281" s="240" t="s">
        <v>18</v>
      </c>
      <c r="K281" s="237">
        <v>242510281</v>
      </c>
      <c r="L281" s="237" t="s">
        <v>24</v>
      </c>
      <c r="M281" s="234" t="s">
        <v>3739</v>
      </c>
      <c r="N281" s="234" t="s">
        <v>3740</v>
      </c>
      <c r="O281" s="234" t="s">
        <v>25</v>
      </c>
      <c r="P281" s="234" t="s">
        <v>3124</v>
      </c>
      <c r="Q281" s="240" t="s">
        <v>18</v>
      </c>
    </row>
    <row r="282" customHeight="1" spans="3:17">
      <c r="C282" s="233">
        <v>242510282</v>
      </c>
      <c r="D282" s="233" t="s">
        <v>184</v>
      </c>
      <c r="E282" s="234" t="s">
        <v>3741</v>
      </c>
      <c r="F282" s="234" t="s">
        <v>3742</v>
      </c>
      <c r="G282" s="235" t="s">
        <v>185</v>
      </c>
      <c r="H282" s="234" t="s">
        <v>3743</v>
      </c>
      <c r="I282" s="236" t="s">
        <v>23</v>
      </c>
      <c r="J282" s="232" t="s">
        <v>23</v>
      </c>
      <c r="K282" s="237">
        <v>242510282</v>
      </c>
      <c r="L282" s="237" t="s">
        <v>184</v>
      </c>
      <c r="M282" s="234" t="s">
        <v>3741</v>
      </c>
      <c r="N282" s="234" t="s">
        <v>3742</v>
      </c>
      <c r="O282" s="234" t="s">
        <v>185</v>
      </c>
      <c r="P282" s="234" t="s">
        <v>3743</v>
      </c>
      <c r="Q282" s="232" t="s">
        <v>23</v>
      </c>
    </row>
    <row r="283" customHeight="1" spans="3:17">
      <c r="C283" s="233">
        <v>242510283</v>
      </c>
      <c r="D283" s="233" t="s">
        <v>662</v>
      </c>
      <c r="E283" s="234" t="s">
        <v>3744</v>
      </c>
      <c r="F283" s="234" t="s">
        <v>3745</v>
      </c>
      <c r="G283" s="235" t="s">
        <v>663</v>
      </c>
      <c r="H283" s="234" t="s">
        <v>3124</v>
      </c>
      <c r="I283" s="236" t="s">
        <v>23</v>
      </c>
      <c r="J283" s="232" t="s">
        <v>23</v>
      </c>
      <c r="K283" s="237">
        <v>242510283</v>
      </c>
      <c r="L283" s="237" t="s">
        <v>662</v>
      </c>
      <c r="M283" s="234" t="s">
        <v>3744</v>
      </c>
      <c r="N283" s="234" t="s">
        <v>3745</v>
      </c>
      <c r="O283" s="234" t="s">
        <v>663</v>
      </c>
      <c r="P283" s="234" t="s">
        <v>3124</v>
      </c>
      <c r="Q283" s="232" t="s">
        <v>23</v>
      </c>
    </row>
    <row r="284" customHeight="1" spans="3:17">
      <c r="C284" s="233">
        <v>242510284</v>
      </c>
      <c r="D284" s="233" t="s">
        <v>256</v>
      </c>
      <c r="E284" s="234" t="s">
        <v>3746</v>
      </c>
      <c r="F284" s="234" t="s">
        <v>3747</v>
      </c>
      <c r="G284" s="235" t="s">
        <v>257</v>
      </c>
      <c r="H284" s="234" t="s">
        <v>3150</v>
      </c>
      <c r="I284" s="236" t="s">
        <v>18</v>
      </c>
      <c r="J284" s="232" t="s">
        <v>18</v>
      </c>
      <c r="K284" s="237">
        <v>242510284</v>
      </c>
      <c r="L284" s="237" t="s">
        <v>256</v>
      </c>
      <c r="M284" s="234" t="s">
        <v>3746</v>
      </c>
      <c r="N284" s="234" t="s">
        <v>3747</v>
      </c>
      <c r="O284" s="234" t="s">
        <v>257</v>
      </c>
      <c r="P284" s="234" t="s">
        <v>3150</v>
      </c>
      <c r="Q284" s="232" t="s">
        <v>18</v>
      </c>
    </row>
    <row r="285" customHeight="1" spans="3:17">
      <c r="C285" s="233">
        <v>242510285</v>
      </c>
      <c r="D285" s="233" t="s">
        <v>666</v>
      </c>
      <c r="E285" s="234" t="s">
        <v>3748</v>
      </c>
      <c r="F285" s="234" t="s">
        <v>3749</v>
      </c>
      <c r="G285" s="235" t="s">
        <v>667</v>
      </c>
      <c r="H285" s="234" t="s">
        <v>3124</v>
      </c>
      <c r="I285" s="236" t="s">
        <v>23</v>
      </c>
      <c r="J285" s="232" t="s">
        <v>23</v>
      </c>
      <c r="K285" s="237">
        <v>242510285</v>
      </c>
      <c r="L285" s="237" t="s">
        <v>666</v>
      </c>
      <c r="M285" s="234" t="s">
        <v>3748</v>
      </c>
      <c r="N285" s="234" t="s">
        <v>3749</v>
      </c>
      <c r="O285" s="234" t="s">
        <v>667</v>
      </c>
      <c r="P285" s="234" t="s">
        <v>3124</v>
      </c>
      <c r="Q285" s="232" t="s">
        <v>23</v>
      </c>
    </row>
    <row r="286" customHeight="1" spans="3:17">
      <c r="C286" s="233">
        <v>242510286</v>
      </c>
      <c r="D286" s="233" t="s">
        <v>482</v>
      </c>
      <c r="E286" s="234" t="s">
        <v>3750</v>
      </c>
      <c r="F286" s="234" t="s">
        <v>3751</v>
      </c>
      <c r="G286" s="235" t="s">
        <v>483</v>
      </c>
      <c r="H286" s="235" t="s">
        <v>3129</v>
      </c>
      <c r="I286" s="236" t="s">
        <v>18</v>
      </c>
      <c r="J286" s="232" t="s">
        <v>18</v>
      </c>
      <c r="K286" s="237">
        <v>242510286</v>
      </c>
      <c r="L286" s="237" t="s">
        <v>482</v>
      </c>
      <c r="M286" s="234" t="s">
        <v>3750</v>
      </c>
      <c r="N286" s="234" t="s">
        <v>3751</v>
      </c>
      <c r="O286" s="234" t="s">
        <v>483</v>
      </c>
      <c r="P286" s="234" t="s">
        <v>3129</v>
      </c>
      <c r="Q286" s="232" t="s">
        <v>18</v>
      </c>
    </row>
    <row r="287" customHeight="1" spans="3:17">
      <c r="C287" s="251">
        <v>242510287</v>
      </c>
      <c r="D287" s="233" t="s">
        <v>830</v>
      </c>
      <c r="E287" s="234" t="s">
        <v>3752</v>
      </c>
      <c r="F287" s="234" t="s">
        <v>3753</v>
      </c>
      <c r="G287" s="235" t="s">
        <v>831</v>
      </c>
      <c r="H287" s="234" t="s">
        <v>3203</v>
      </c>
      <c r="I287" s="236" t="s">
        <v>23</v>
      </c>
      <c r="J287" s="232" t="s">
        <v>23</v>
      </c>
      <c r="K287" s="237">
        <v>242510287</v>
      </c>
      <c r="L287" s="237" t="s">
        <v>830</v>
      </c>
      <c r="M287" s="234" t="s">
        <v>3752</v>
      </c>
      <c r="N287" s="234" t="s">
        <v>3753</v>
      </c>
      <c r="O287" s="234" t="s">
        <v>831</v>
      </c>
      <c r="P287" s="234" t="s">
        <v>3203</v>
      </c>
      <c r="Q287" s="232" t="s">
        <v>23</v>
      </c>
    </row>
    <row r="288" customHeight="1" spans="3:17">
      <c r="C288" s="233">
        <v>242510288</v>
      </c>
      <c r="D288" s="233" t="s">
        <v>112</v>
      </c>
      <c r="E288" s="234" t="s">
        <v>3754</v>
      </c>
      <c r="F288" s="234" t="s">
        <v>3755</v>
      </c>
      <c r="G288" s="235" t="s">
        <v>113</v>
      </c>
      <c r="H288" s="234" t="s">
        <v>3124</v>
      </c>
      <c r="I288" s="236" t="s">
        <v>23</v>
      </c>
      <c r="J288" s="232" t="s">
        <v>23</v>
      </c>
      <c r="K288" s="237">
        <v>242510288</v>
      </c>
      <c r="L288" s="237" t="s">
        <v>112</v>
      </c>
      <c r="M288" s="234" t="s">
        <v>3754</v>
      </c>
      <c r="N288" s="234" t="s">
        <v>3755</v>
      </c>
      <c r="O288" s="234" t="s">
        <v>113</v>
      </c>
      <c r="P288" s="234" t="s">
        <v>3124</v>
      </c>
      <c r="Q288" s="232" t="s">
        <v>23</v>
      </c>
    </row>
    <row r="289" s="228" customFormat="1" customHeight="1" spans="1:17">
      <c r="A289" s="244"/>
      <c r="C289" s="245">
        <v>242510289</v>
      </c>
      <c r="D289" s="245" t="s">
        <v>194</v>
      </c>
      <c r="E289" s="246" t="s">
        <v>3334</v>
      </c>
      <c r="F289" s="246" t="s">
        <v>3335</v>
      </c>
      <c r="G289" s="253" t="s">
        <v>195</v>
      </c>
      <c r="H289" s="246" t="s">
        <v>3124</v>
      </c>
      <c r="I289" s="248" t="s">
        <v>23</v>
      </c>
      <c r="J289" s="249" t="s">
        <v>18</v>
      </c>
      <c r="K289" s="250">
        <v>242510289</v>
      </c>
      <c r="L289" s="250" t="s">
        <v>194</v>
      </c>
      <c r="M289" s="246" t="s">
        <v>3756</v>
      </c>
      <c r="N289" s="246" t="s">
        <v>3757</v>
      </c>
      <c r="O289" s="246" t="s">
        <v>195</v>
      </c>
      <c r="P289" s="246" t="s">
        <v>3124</v>
      </c>
      <c r="Q289" s="249" t="s">
        <v>18</v>
      </c>
    </row>
    <row r="290" customHeight="1" spans="1:17">
      <c r="C290" s="233">
        <v>242510290</v>
      </c>
      <c r="D290" s="233" t="s">
        <v>768</v>
      </c>
      <c r="E290" s="234" t="s">
        <v>3758</v>
      </c>
      <c r="F290" s="234" t="s">
        <v>3759</v>
      </c>
      <c r="G290" s="235" t="s">
        <v>769</v>
      </c>
      <c r="H290" s="235" t="s">
        <v>3124</v>
      </c>
      <c r="I290" s="236" t="s">
        <v>23</v>
      </c>
      <c r="J290" s="232" t="s">
        <v>23</v>
      </c>
      <c r="K290" s="237">
        <v>242510290</v>
      </c>
      <c r="L290" s="237" t="s">
        <v>768</v>
      </c>
      <c r="M290" s="234" t="s">
        <v>3758</v>
      </c>
      <c r="N290" s="234" t="s">
        <v>3759</v>
      </c>
      <c r="O290" s="234" t="s">
        <v>769</v>
      </c>
      <c r="P290" s="234" t="s">
        <v>3124</v>
      </c>
      <c r="Q290" s="232" t="s">
        <v>23</v>
      </c>
    </row>
    <row r="291" customHeight="1" spans="1:17">
      <c r="C291" s="233">
        <v>242510291</v>
      </c>
      <c r="D291" s="233" t="s">
        <v>46</v>
      </c>
      <c r="E291" s="234" t="s">
        <v>3760</v>
      </c>
      <c r="F291" s="234" t="s">
        <v>3761</v>
      </c>
      <c r="G291" s="235" t="s">
        <v>47</v>
      </c>
      <c r="H291" s="234" t="s">
        <v>3178</v>
      </c>
      <c r="I291" s="236" t="s">
        <v>23</v>
      </c>
      <c r="J291" s="232" t="s">
        <v>23</v>
      </c>
      <c r="K291" s="237">
        <v>242510291</v>
      </c>
      <c r="L291" s="237" t="s">
        <v>46</v>
      </c>
      <c r="M291" s="234" t="s">
        <v>3760</v>
      </c>
      <c r="N291" s="234" t="s">
        <v>3761</v>
      </c>
      <c r="O291" s="234" t="s">
        <v>47</v>
      </c>
      <c r="P291" s="234" t="s">
        <v>3178</v>
      </c>
      <c r="Q291" s="232" t="s">
        <v>23</v>
      </c>
    </row>
    <row r="292" s="228" customFormat="1" customHeight="1" spans="1:17">
      <c r="A292" s="244"/>
      <c r="C292" s="245">
        <v>242510292</v>
      </c>
      <c r="D292" s="245" t="s">
        <v>200</v>
      </c>
      <c r="E292" s="246" t="s">
        <v>3341</v>
      </c>
      <c r="F292" s="246" t="s">
        <v>3342</v>
      </c>
      <c r="G292" s="253" t="s">
        <v>201</v>
      </c>
      <c r="H292" s="246" t="s">
        <v>3186</v>
      </c>
      <c r="I292" s="248" t="s">
        <v>18</v>
      </c>
      <c r="J292" s="249" t="s">
        <v>23</v>
      </c>
      <c r="K292" s="250">
        <v>242510292</v>
      </c>
      <c r="L292" s="250" t="s">
        <v>200</v>
      </c>
      <c r="M292" s="246" t="s">
        <v>3762</v>
      </c>
      <c r="N292" s="246" t="s">
        <v>3763</v>
      </c>
      <c r="O292" s="246" t="s">
        <v>201</v>
      </c>
      <c r="P292" s="246" t="s">
        <v>3764</v>
      </c>
      <c r="Q292" s="249" t="s">
        <v>23</v>
      </c>
    </row>
    <row r="293" customHeight="1" spans="1:17">
      <c r="C293" s="233">
        <v>242510293</v>
      </c>
      <c r="D293" s="233" t="s">
        <v>122</v>
      </c>
      <c r="E293" s="234" t="s">
        <v>3765</v>
      </c>
      <c r="F293" s="234" t="s">
        <v>3157</v>
      </c>
      <c r="G293" s="235" t="s">
        <v>123</v>
      </c>
      <c r="H293" s="234" t="s">
        <v>3124</v>
      </c>
      <c r="I293" s="236" t="s">
        <v>23</v>
      </c>
      <c r="J293" s="232" t="s">
        <v>23</v>
      </c>
      <c r="K293" s="237">
        <v>242510293</v>
      </c>
      <c r="L293" s="237" t="s">
        <v>122</v>
      </c>
      <c r="M293" s="234" t="s">
        <v>3765</v>
      </c>
      <c r="N293" s="234" t="s">
        <v>3157</v>
      </c>
      <c r="O293" s="234" t="s">
        <v>123</v>
      </c>
      <c r="P293" s="234" t="s">
        <v>3124</v>
      </c>
      <c r="Q293" s="232" t="s">
        <v>23</v>
      </c>
    </row>
    <row r="294" customHeight="1" spans="1:17">
      <c r="C294" s="233">
        <v>242510294</v>
      </c>
      <c r="D294" s="233" t="s">
        <v>594</v>
      </c>
      <c r="E294" s="234" t="s">
        <v>3766</v>
      </c>
      <c r="F294" s="234" t="s">
        <v>3767</v>
      </c>
      <c r="G294" s="235" t="s">
        <v>595</v>
      </c>
      <c r="H294" s="234" t="s">
        <v>3124</v>
      </c>
      <c r="I294" s="236" t="s">
        <v>23</v>
      </c>
      <c r="J294" s="232" t="s">
        <v>23</v>
      </c>
      <c r="K294" s="237">
        <v>242510294</v>
      </c>
      <c r="L294" s="237" t="s">
        <v>594</v>
      </c>
      <c r="M294" s="234" t="s">
        <v>3766</v>
      </c>
      <c r="N294" s="234" t="s">
        <v>3767</v>
      </c>
      <c r="O294" s="234" t="s">
        <v>595</v>
      </c>
      <c r="P294" s="234" t="s">
        <v>3124</v>
      </c>
      <c r="Q294" s="232" t="s">
        <v>23</v>
      </c>
    </row>
    <row r="295" customHeight="1" spans="1:17">
      <c r="C295" s="233">
        <v>242510295</v>
      </c>
      <c r="D295" s="233" t="s">
        <v>356</v>
      </c>
      <c r="E295" s="234" t="s">
        <v>3768</v>
      </c>
      <c r="F295" s="234" t="s">
        <v>3769</v>
      </c>
      <c r="G295" s="235" t="s">
        <v>357</v>
      </c>
      <c r="H295" s="234" t="s">
        <v>3167</v>
      </c>
      <c r="I295" s="236" t="s">
        <v>18</v>
      </c>
      <c r="J295" s="232" t="s">
        <v>18</v>
      </c>
      <c r="K295" s="237">
        <v>242510295</v>
      </c>
      <c r="L295" s="237" t="s">
        <v>356</v>
      </c>
      <c r="M295" s="234" t="s">
        <v>3768</v>
      </c>
      <c r="N295" s="234" t="s">
        <v>3769</v>
      </c>
      <c r="O295" s="234" t="s">
        <v>357</v>
      </c>
      <c r="P295" s="234" t="s">
        <v>3167</v>
      </c>
      <c r="Q295" s="232" t="s">
        <v>18</v>
      </c>
    </row>
    <row r="296" customHeight="1" spans="1:17">
      <c r="C296" s="233">
        <v>242510296</v>
      </c>
      <c r="D296" s="233" t="s">
        <v>788</v>
      </c>
      <c r="E296" s="234" t="s">
        <v>3770</v>
      </c>
      <c r="F296" s="234" t="s">
        <v>3771</v>
      </c>
      <c r="G296" s="235" t="s">
        <v>789</v>
      </c>
      <c r="H296" s="234" t="s">
        <v>3124</v>
      </c>
      <c r="I296" s="236" t="s">
        <v>18</v>
      </c>
      <c r="J296" s="232" t="s">
        <v>18</v>
      </c>
      <c r="K296" s="237">
        <v>242510296</v>
      </c>
      <c r="L296" s="237" t="s">
        <v>788</v>
      </c>
      <c r="M296" s="234" t="s">
        <v>3770</v>
      </c>
      <c r="N296" s="234" t="s">
        <v>3771</v>
      </c>
      <c r="O296" s="234" t="s">
        <v>789</v>
      </c>
      <c r="P296" s="234" t="s">
        <v>3124</v>
      </c>
      <c r="Q296" s="232" t="s">
        <v>18</v>
      </c>
    </row>
    <row r="297" customHeight="1" spans="1:17">
      <c r="C297" s="233">
        <v>242510297</v>
      </c>
      <c r="D297" s="233" t="s">
        <v>512</v>
      </c>
      <c r="E297" s="234" t="s">
        <v>3772</v>
      </c>
      <c r="F297" s="234" t="s">
        <v>3773</v>
      </c>
      <c r="G297" s="235" t="s">
        <v>513</v>
      </c>
      <c r="H297" s="234" t="s">
        <v>3563</v>
      </c>
      <c r="I297" s="236" t="s">
        <v>18</v>
      </c>
      <c r="J297" s="232" t="s">
        <v>18</v>
      </c>
      <c r="K297" s="237">
        <v>242510297</v>
      </c>
      <c r="L297" s="237" t="s">
        <v>512</v>
      </c>
      <c r="M297" s="234" t="s">
        <v>3772</v>
      </c>
      <c r="N297" s="234" t="s">
        <v>3773</v>
      </c>
      <c r="O297" s="234" t="s">
        <v>513</v>
      </c>
      <c r="P297" s="234" t="s">
        <v>3563</v>
      </c>
      <c r="Q297" s="232" t="s">
        <v>18</v>
      </c>
    </row>
    <row r="298" s="228" customFormat="1" customHeight="1" spans="1:17">
      <c r="A298" s="244"/>
      <c r="C298" s="245">
        <v>242510298</v>
      </c>
      <c r="D298" s="245" t="s">
        <v>210</v>
      </c>
      <c r="E298" s="246" t="s">
        <v>3349</v>
      </c>
      <c r="F298" s="246" t="s">
        <v>3350</v>
      </c>
      <c r="G298" s="253" t="s">
        <v>211</v>
      </c>
      <c r="H298" s="246" t="s">
        <v>3351</v>
      </c>
      <c r="I298" s="254" t="s">
        <v>23</v>
      </c>
      <c r="J298" s="249" t="s">
        <v>18</v>
      </c>
      <c r="K298" s="250">
        <v>242510298</v>
      </c>
      <c r="L298" s="250" t="s">
        <v>210</v>
      </c>
      <c r="M298" s="246" t="s">
        <v>3774</v>
      </c>
      <c r="N298" s="246" t="s">
        <v>3775</v>
      </c>
      <c r="O298" s="246" t="s">
        <v>211</v>
      </c>
      <c r="P298" s="246" t="s">
        <v>3124</v>
      </c>
      <c r="Q298" s="249" t="s">
        <v>18</v>
      </c>
    </row>
    <row r="299" customHeight="1" spans="1:17">
      <c r="C299" s="233">
        <v>242510299</v>
      </c>
      <c r="D299" s="233" t="s">
        <v>796</v>
      </c>
      <c r="E299" s="234" t="s">
        <v>3776</v>
      </c>
      <c r="F299" s="234" t="s">
        <v>3777</v>
      </c>
      <c r="G299" s="235" t="s">
        <v>797</v>
      </c>
      <c r="H299" s="234" t="s">
        <v>3124</v>
      </c>
      <c r="I299" s="236" t="s">
        <v>18</v>
      </c>
      <c r="J299" s="232" t="s">
        <v>18</v>
      </c>
      <c r="K299" s="237">
        <v>242510299</v>
      </c>
      <c r="L299" s="237" t="s">
        <v>796</v>
      </c>
      <c r="M299" s="234" t="s">
        <v>3776</v>
      </c>
      <c r="N299" s="234" t="s">
        <v>3777</v>
      </c>
      <c r="O299" s="234" t="s">
        <v>797</v>
      </c>
      <c r="P299" s="234" t="s">
        <v>3124</v>
      </c>
      <c r="Q299" s="232" t="s">
        <v>18</v>
      </c>
    </row>
    <row r="300" customHeight="1" spans="1:17">
      <c r="C300" s="233">
        <v>242510300</v>
      </c>
      <c r="D300" s="233" t="s">
        <v>518</v>
      </c>
      <c r="E300" s="234" t="s">
        <v>3778</v>
      </c>
      <c r="F300" s="234" t="s">
        <v>3779</v>
      </c>
      <c r="G300" s="235" t="s">
        <v>519</v>
      </c>
      <c r="H300" s="234" t="s">
        <v>3780</v>
      </c>
      <c r="I300" s="236" t="s">
        <v>23</v>
      </c>
      <c r="J300" s="232" t="s">
        <v>23</v>
      </c>
      <c r="K300" s="237">
        <v>242510300</v>
      </c>
      <c r="L300" s="237" t="s">
        <v>518</v>
      </c>
      <c r="M300" s="234" t="s">
        <v>3778</v>
      </c>
      <c r="N300" s="234" t="s">
        <v>3779</v>
      </c>
      <c r="O300" s="234" t="s">
        <v>519</v>
      </c>
      <c r="P300" s="234" t="s">
        <v>3780</v>
      </c>
      <c r="Q300" s="232" t="s">
        <v>23</v>
      </c>
    </row>
    <row r="301" customHeight="1" spans="1:17">
      <c r="C301" s="233">
        <v>242510301</v>
      </c>
      <c r="D301" s="233" t="s">
        <v>696</v>
      </c>
      <c r="E301" s="234" t="s">
        <v>3781</v>
      </c>
      <c r="F301" s="234" t="s">
        <v>3782</v>
      </c>
      <c r="G301" s="235" t="s">
        <v>697</v>
      </c>
      <c r="H301" s="234" t="s">
        <v>3124</v>
      </c>
      <c r="I301" s="236" t="s">
        <v>23</v>
      </c>
      <c r="J301" s="232" t="s">
        <v>23</v>
      </c>
      <c r="K301" s="237">
        <v>242510301</v>
      </c>
      <c r="L301" s="237" t="s">
        <v>696</v>
      </c>
      <c r="M301" s="234" t="s">
        <v>3781</v>
      </c>
      <c r="N301" s="234" t="s">
        <v>3782</v>
      </c>
      <c r="O301" s="234" t="s">
        <v>697</v>
      </c>
      <c r="P301" s="234" t="s">
        <v>3124</v>
      </c>
      <c r="Q301" s="232" t="s">
        <v>23</v>
      </c>
    </row>
    <row r="302" customHeight="1" spans="1:17">
      <c r="C302" s="233">
        <v>242510302</v>
      </c>
      <c r="D302" s="233" t="s">
        <v>700</v>
      </c>
      <c r="E302" s="234" t="s">
        <v>3783</v>
      </c>
      <c r="F302" s="234" t="s">
        <v>3784</v>
      </c>
      <c r="G302" s="235" t="s">
        <v>701</v>
      </c>
      <c r="H302" s="235" t="s">
        <v>3124</v>
      </c>
      <c r="I302" s="236" t="s">
        <v>23</v>
      </c>
      <c r="J302" s="232" t="s">
        <v>23</v>
      </c>
      <c r="K302" s="237">
        <v>242510302</v>
      </c>
      <c r="L302" s="237" t="s">
        <v>700</v>
      </c>
      <c r="M302" s="234" t="s">
        <v>3783</v>
      </c>
      <c r="N302" s="234" t="s">
        <v>3784</v>
      </c>
      <c r="O302" s="234" t="s">
        <v>701</v>
      </c>
      <c r="P302" s="234" t="s">
        <v>3124</v>
      </c>
      <c r="Q302" s="232" t="s">
        <v>23</v>
      </c>
    </row>
    <row r="303" customHeight="1" spans="1:17">
      <c r="C303" s="233">
        <v>242510303</v>
      </c>
      <c r="D303" s="233" t="s">
        <v>226</v>
      </c>
      <c r="E303" s="234" t="s">
        <v>3367</v>
      </c>
      <c r="F303" s="234" t="s">
        <v>3368</v>
      </c>
      <c r="G303" s="238" t="s">
        <v>227</v>
      </c>
      <c r="H303" s="234" t="s">
        <v>3195</v>
      </c>
      <c r="I303" s="236" t="s">
        <v>18</v>
      </c>
      <c r="J303" s="232" t="s">
        <v>18</v>
      </c>
      <c r="K303" s="237">
        <v>242510303</v>
      </c>
      <c r="L303" s="237" t="s">
        <v>226</v>
      </c>
      <c r="M303" s="234" t="s">
        <v>3785</v>
      </c>
      <c r="N303" s="234" t="s">
        <v>3786</v>
      </c>
      <c r="O303" s="234" t="s">
        <v>227</v>
      </c>
      <c r="P303" s="234" t="s">
        <v>3787</v>
      </c>
      <c r="Q303" s="232" t="s">
        <v>18</v>
      </c>
    </row>
    <row r="304" customHeight="1" spans="1:17">
      <c r="C304" s="233">
        <v>242510304</v>
      </c>
      <c r="D304" s="233" t="s">
        <v>624</v>
      </c>
      <c r="E304" s="234" t="s">
        <v>3788</v>
      </c>
      <c r="F304" s="234" t="s">
        <v>3789</v>
      </c>
      <c r="G304" s="235" t="s">
        <v>625</v>
      </c>
      <c r="H304" s="234" t="s">
        <v>3208</v>
      </c>
      <c r="I304" s="236" t="s">
        <v>18</v>
      </c>
      <c r="J304" s="232" t="s">
        <v>18</v>
      </c>
      <c r="K304" s="237">
        <v>242510304</v>
      </c>
      <c r="L304" s="237" t="s">
        <v>624</v>
      </c>
      <c r="M304" s="234" t="s">
        <v>3788</v>
      </c>
      <c r="N304" s="234" t="s">
        <v>3789</v>
      </c>
      <c r="O304" s="234" t="s">
        <v>625</v>
      </c>
      <c r="P304" s="234" t="s">
        <v>3208</v>
      </c>
      <c r="Q304" s="232" t="s">
        <v>18</v>
      </c>
    </row>
    <row r="305" customHeight="1" spans="3:17">
      <c r="C305" s="233">
        <v>242510305</v>
      </c>
      <c r="D305" s="233" t="s">
        <v>532</v>
      </c>
      <c r="E305" s="234" t="s">
        <v>3790</v>
      </c>
      <c r="F305" s="234" t="s">
        <v>3791</v>
      </c>
      <c r="G305" s="235" t="s">
        <v>533</v>
      </c>
      <c r="H305" s="234" t="s">
        <v>3124</v>
      </c>
      <c r="I305" s="236" t="s">
        <v>23</v>
      </c>
      <c r="J305" s="232" t="s">
        <v>23</v>
      </c>
      <c r="K305" s="237">
        <v>242510305</v>
      </c>
      <c r="L305" s="237" t="s">
        <v>532</v>
      </c>
      <c r="M305" s="234" t="s">
        <v>3790</v>
      </c>
      <c r="N305" s="234" t="s">
        <v>3791</v>
      </c>
      <c r="O305" s="234" t="s">
        <v>533</v>
      </c>
      <c r="P305" s="234" t="s">
        <v>3124</v>
      </c>
      <c r="Q305" s="232" t="s">
        <v>23</v>
      </c>
    </row>
    <row r="306" customHeight="1" spans="3:17">
      <c r="C306" s="233">
        <v>242510306</v>
      </c>
      <c r="D306" s="233" t="s">
        <v>540</v>
      </c>
      <c r="E306" s="234" t="s">
        <v>3792</v>
      </c>
      <c r="F306" s="234" t="s">
        <v>3793</v>
      </c>
      <c r="G306" s="235" t="s">
        <v>541</v>
      </c>
      <c r="H306" s="234" t="s">
        <v>3124</v>
      </c>
      <c r="I306" s="236" t="s">
        <v>18</v>
      </c>
      <c r="J306" s="232" t="s">
        <v>18</v>
      </c>
      <c r="K306" s="237">
        <v>242510306</v>
      </c>
      <c r="L306" s="237" t="s">
        <v>540</v>
      </c>
      <c r="M306" s="234" t="s">
        <v>3792</v>
      </c>
      <c r="N306" s="234" t="s">
        <v>3793</v>
      </c>
      <c r="O306" s="234" t="s">
        <v>541</v>
      </c>
      <c r="P306" s="234" t="s">
        <v>3124</v>
      </c>
      <c r="Q306" s="232" t="s">
        <v>18</v>
      </c>
    </row>
    <row r="307" customHeight="1" spans="3:17">
      <c r="C307" s="233">
        <v>242510307</v>
      </c>
      <c r="D307" s="233" t="s">
        <v>300</v>
      </c>
      <c r="E307" s="234" t="s">
        <v>3794</v>
      </c>
      <c r="F307" s="234" t="s">
        <v>3795</v>
      </c>
      <c r="G307" s="235" t="s">
        <v>301</v>
      </c>
      <c r="H307" s="234" t="s">
        <v>3796</v>
      </c>
      <c r="I307" s="236" t="s">
        <v>18</v>
      </c>
      <c r="J307" s="232" t="s">
        <v>18</v>
      </c>
      <c r="K307" s="237">
        <v>242510307</v>
      </c>
      <c r="L307" s="237" t="s">
        <v>300</v>
      </c>
      <c r="M307" s="234" t="s">
        <v>3794</v>
      </c>
      <c r="N307" s="234" t="s">
        <v>3795</v>
      </c>
      <c r="O307" s="234" t="s">
        <v>301</v>
      </c>
      <c r="P307" s="234" t="s">
        <v>3796</v>
      </c>
      <c r="Q307" s="232" t="s">
        <v>18</v>
      </c>
    </row>
    <row r="308" customHeight="1" spans="3:17">
      <c r="C308" s="233">
        <v>242510308</v>
      </c>
      <c r="D308" s="233" t="s">
        <v>3797</v>
      </c>
      <c r="E308" s="234" t="s">
        <v>3798</v>
      </c>
      <c r="F308" s="234" t="s">
        <v>3799</v>
      </c>
      <c r="G308" s="235" t="s">
        <v>3800</v>
      </c>
      <c r="H308" s="235" t="s">
        <v>3124</v>
      </c>
      <c r="I308" s="236" t="s">
        <v>23</v>
      </c>
      <c r="J308" s="232" t="s">
        <v>23</v>
      </c>
      <c r="K308" s="237">
        <v>242510308</v>
      </c>
      <c r="L308" s="237" t="s">
        <v>3797</v>
      </c>
      <c r="M308" s="234" t="s">
        <v>3798</v>
      </c>
      <c r="N308" s="234" t="s">
        <v>3799</v>
      </c>
      <c r="O308" s="234" t="s">
        <v>3800</v>
      </c>
      <c r="P308" s="234" t="s">
        <v>3124</v>
      </c>
      <c r="Q308" s="232" t="s">
        <v>23</v>
      </c>
    </row>
    <row r="309" customHeight="1" spans="3:17">
      <c r="C309" s="233">
        <v>242510309</v>
      </c>
      <c r="D309" s="233" t="s">
        <v>812</v>
      </c>
      <c r="E309" s="234" t="s">
        <v>3801</v>
      </c>
      <c r="F309" s="234" t="s">
        <v>3802</v>
      </c>
      <c r="G309" s="235" t="s">
        <v>813</v>
      </c>
      <c r="H309" s="234" t="s">
        <v>3701</v>
      </c>
      <c r="I309" s="239" t="s">
        <v>23</v>
      </c>
      <c r="J309" s="240" t="s">
        <v>23</v>
      </c>
      <c r="K309" s="237">
        <v>242510309</v>
      </c>
      <c r="L309" s="237" t="s">
        <v>812</v>
      </c>
      <c r="M309" s="234" t="s">
        <v>3801</v>
      </c>
      <c r="N309" s="234" t="s">
        <v>3802</v>
      </c>
      <c r="O309" s="234" t="s">
        <v>813</v>
      </c>
      <c r="P309" s="234" t="s">
        <v>3701</v>
      </c>
      <c r="Q309" s="240" t="s">
        <v>23</v>
      </c>
    </row>
    <row r="310" customHeight="1" spans="3:17">
      <c r="C310" s="233">
        <v>242510310</v>
      </c>
      <c r="D310" s="233" t="s">
        <v>308</v>
      </c>
      <c r="E310" s="234" t="s">
        <v>3803</v>
      </c>
      <c r="F310" s="234" t="s">
        <v>3804</v>
      </c>
      <c r="G310" s="235" t="s">
        <v>309</v>
      </c>
      <c r="H310" s="234" t="s">
        <v>3563</v>
      </c>
      <c r="I310" s="236" t="s">
        <v>18</v>
      </c>
      <c r="J310" s="232" t="s">
        <v>18</v>
      </c>
      <c r="K310" s="237">
        <v>242510310</v>
      </c>
      <c r="L310" s="237" t="s">
        <v>308</v>
      </c>
      <c r="M310" s="234" t="s">
        <v>3803</v>
      </c>
      <c r="N310" s="234" t="s">
        <v>3804</v>
      </c>
      <c r="O310" s="234" t="s">
        <v>309</v>
      </c>
      <c r="P310" s="234" t="s">
        <v>3563</v>
      </c>
      <c r="Q310" s="232" t="s">
        <v>18</v>
      </c>
    </row>
    <row r="311" customHeight="1" spans="3:17">
      <c r="C311" s="233">
        <v>242510311</v>
      </c>
      <c r="D311" s="233" t="s">
        <v>386</v>
      </c>
      <c r="E311" s="234" t="s">
        <v>3805</v>
      </c>
      <c r="F311" s="234" t="s">
        <v>3806</v>
      </c>
      <c r="G311" s="235" t="s">
        <v>387</v>
      </c>
      <c r="H311" s="234" t="s">
        <v>3124</v>
      </c>
      <c r="I311" s="236" t="s">
        <v>18</v>
      </c>
      <c r="J311" s="232" t="s">
        <v>18</v>
      </c>
      <c r="K311" s="237">
        <v>242510311</v>
      </c>
      <c r="L311" s="237" t="s">
        <v>386</v>
      </c>
      <c r="M311" s="234" t="s">
        <v>3805</v>
      </c>
      <c r="N311" s="234" t="s">
        <v>3806</v>
      </c>
      <c r="O311" s="234" t="s">
        <v>387</v>
      </c>
      <c r="P311" s="234" t="s">
        <v>3124</v>
      </c>
      <c r="Q311" s="232" t="s">
        <v>18</v>
      </c>
    </row>
    <row r="312" customHeight="1" spans="3:17">
      <c r="C312" s="233">
        <v>242510312</v>
      </c>
      <c r="D312" s="233" t="s">
        <v>894</v>
      </c>
      <c r="E312" s="234" t="s">
        <v>3807</v>
      </c>
      <c r="F312" s="234" t="s">
        <v>3808</v>
      </c>
      <c r="G312" s="235" t="s">
        <v>895</v>
      </c>
      <c r="H312" s="234" t="s">
        <v>3563</v>
      </c>
      <c r="I312" s="236" t="s">
        <v>18</v>
      </c>
      <c r="J312" s="232" t="s">
        <v>18</v>
      </c>
      <c r="K312" s="237">
        <v>242510312</v>
      </c>
      <c r="L312" s="237" t="s">
        <v>894</v>
      </c>
      <c r="M312" s="234" t="s">
        <v>3807</v>
      </c>
      <c r="N312" s="234" t="s">
        <v>3808</v>
      </c>
      <c r="O312" s="234" t="s">
        <v>895</v>
      </c>
      <c r="P312" s="234" t="s">
        <v>3563</v>
      </c>
      <c r="Q312" s="232" t="s">
        <v>18</v>
      </c>
    </row>
    <row r="313" customHeight="1" spans="3:17">
      <c r="C313" s="233">
        <v>242510313</v>
      </c>
      <c r="D313" s="233" t="s">
        <v>554</v>
      </c>
      <c r="E313" s="234" t="s">
        <v>3809</v>
      </c>
      <c r="F313" s="234" t="s">
        <v>3810</v>
      </c>
      <c r="G313" s="235" t="s">
        <v>555</v>
      </c>
      <c r="H313" s="235" t="s">
        <v>3124</v>
      </c>
      <c r="I313" s="236" t="s">
        <v>18</v>
      </c>
      <c r="J313" s="232" t="s">
        <v>18</v>
      </c>
      <c r="K313" s="237">
        <v>242510313</v>
      </c>
      <c r="L313" s="237" t="s">
        <v>554</v>
      </c>
      <c r="M313" s="234" t="s">
        <v>3809</v>
      </c>
      <c r="N313" s="234" t="s">
        <v>3810</v>
      </c>
      <c r="O313" s="234" t="s">
        <v>555</v>
      </c>
      <c r="P313" s="234" t="s">
        <v>3124</v>
      </c>
      <c r="Q313" s="232" t="s">
        <v>18</v>
      </c>
    </row>
    <row r="314" customHeight="1" spans="3:17">
      <c r="C314" s="233">
        <v>242510314</v>
      </c>
      <c r="D314" s="233" t="s">
        <v>320</v>
      </c>
      <c r="E314" s="234" t="s">
        <v>3811</v>
      </c>
      <c r="F314" s="234" t="s">
        <v>3812</v>
      </c>
      <c r="G314" s="235" t="s">
        <v>321</v>
      </c>
      <c r="H314" s="234" t="s">
        <v>3351</v>
      </c>
      <c r="I314" s="236" t="s">
        <v>18</v>
      </c>
      <c r="J314" s="232" t="s">
        <v>18</v>
      </c>
      <c r="K314" s="243">
        <v>242510314</v>
      </c>
      <c r="L314" s="237" t="s">
        <v>320</v>
      </c>
      <c r="M314" s="234" t="s">
        <v>3811</v>
      </c>
      <c r="N314" s="234" t="s">
        <v>3812</v>
      </c>
      <c r="O314" s="234" t="s">
        <v>321</v>
      </c>
      <c r="P314" s="234" t="s">
        <v>3351</v>
      </c>
      <c r="Q314" s="232" t="s">
        <v>18</v>
      </c>
    </row>
    <row r="315" customHeight="1" spans="3:17">
      <c r="C315" s="233">
        <v>242510315</v>
      </c>
      <c r="D315" s="233" t="s">
        <v>328</v>
      </c>
      <c r="E315" s="234" t="s">
        <v>3813</v>
      </c>
      <c r="F315" s="234" t="s">
        <v>3814</v>
      </c>
      <c r="G315" s="235" t="s">
        <v>329</v>
      </c>
      <c r="H315" s="234" t="s">
        <v>3129</v>
      </c>
      <c r="I315" s="236" t="s">
        <v>18</v>
      </c>
      <c r="J315" s="232" t="s">
        <v>18</v>
      </c>
      <c r="K315" s="237">
        <v>242510315</v>
      </c>
      <c r="L315" s="237" t="s">
        <v>328</v>
      </c>
      <c r="M315" s="234" t="s">
        <v>3813</v>
      </c>
      <c r="N315" s="234" t="s">
        <v>3814</v>
      </c>
      <c r="O315" s="234" t="s">
        <v>329</v>
      </c>
      <c r="P315" s="234" t="s">
        <v>3129</v>
      </c>
      <c r="Q315" s="232" t="s">
        <v>18</v>
      </c>
    </row>
    <row r="316" customHeight="1" spans="3:17">
      <c r="C316" s="233">
        <v>242510316</v>
      </c>
      <c r="D316" s="233" t="s">
        <v>338</v>
      </c>
      <c r="E316" s="234" t="s">
        <v>3815</v>
      </c>
      <c r="F316" s="234" t="s">
        <v>3816</v>
      </c>
      <c r="G316" s="235" t="s">
        <v>339</v>
      </c>
      <c r="H316" s="234" t="s">
        <v>3124</v>
      </c>
      <c r="I316" s="236" t="s">
        <v>18</v>
      </c>
      <c r="J316" s="232" t="s">
        <v>18</v>
      </c>
      <c r="K316" s="237">
        <v>242510316</v>
      </c>
      <c r="L316" s="237" t="s">
        <v>338</v>
      </c>
      <c r="M316" s="234" t="s">
        <v>3815</v>
      </c>
      <c r="N316" s="234" t="s">
        <v>3816</v>
      </c>
      <c r="O316" s="234" t="s">
        <v>339</v>
      </c>
      <c r="P316" s="234" t="s">
        <v>3124</v>
      </c>
      <c r="Q316" s="232" t="s">
        <v>18</v>
      </c>
    </row>
    <row r="317" customHeight="1" spans="3:17">
      <c r="C317" s="233">
        <v>242510317</v>
      </c>
      <c r="D317" s="233" t="s">
        <v>3817</v>
      </c>
      <c r="E317" s="234" t="s">
        <v>3818</v>
      </c>
      <c r="F317" s="234" t="s">
        <v>3819</v>
      </c>
      <c r="G317" s="235" t="s">
        <v>3820</v>
      </c>
      <c r="H317" s="234" t="s">
        <v>3421</v>
      </c>
      <c r="I317" s="236" t="s">
        <v>23</v>
      </c>
      <c r="J317" s="232" t="s">
        <v>23</v>
      </c>
      <c r="K317" s="237">
        <v>242510317</v>
      </c>
      <c r="L317" s="237" t="s">
        <v>3817</v>
      </c>
      <c r="M317" s="234" t="s">
        <v>3818</v>
      </c>
      <c r="N317" s="234" t="s">
        <v>3819</v>
      </c>
      <c r="O317" s="234" t="s">
        <v>3820</v>
      </c>
      <c r="P317" s="234" t="s">
        <v>3421</v>
      </c>
      <c r="Q317" s="232" t="s">
        <v>23</v>
      </c>
    </row>
    <row r="318" customHeight="1" spans="3:17">
      <c r="C318" s="233">
        <v>242510318</v>
      </c>
      <c r="D318" s="233" t="s">
        <v>754</v>
      </c>
      <c r="E318" s="234" t="s">
        <v>3821</v>
      </c>
      <c r="F318" s="234" t="s">
        <v>3822</v>
      </c>
      <c r="G318" s="235" t="s">
        <v>755</v>
      </c>
      <c r="H318" s="234" t="s">
        <v>3124</v>
      </c>
      <c r="I318" s="236" t="s">
        <v>18</v>
      </c>
      <c r="J318" s="232" t="s">
        <v>18</v>
      </c>
      <c r="K318" s="237">
        <v>242510318</v>
      </c>
      <c r="L318" s="237" t="s">
        <v>754</v>
      </c>
      <c r="M318" s="234" t="s">
        <v>3821</v>
      </c>
      <c r="N318" s="234" t="s">
        <v>3822</v>
      </c>
      <c r="O318" s="234" t="s">
        <v>755</v>
      </c>
      <c r="P318" s="234" t="s">
        <v>3124</v>
      </c>
      <c r="Q318" s="232" t="s">
        <v>18</v>
      </c>
    </row>
    <row r="319" customHeight="1" spans="3:17">
      <c r="C319" s="233">
        <v>242510319</v>
      </c>
      <c r="D319" s="233" t="s">
        <v>340</v>
      </c>
      <c r="E319" s="234" t="s">
        <v>3823</v>
      </c>
      <c r="F319" s="234" t="s">
        <v>3824</v>
      </c>
      <c r="G319" s="235" t="s">
        <v>341</v>
      </c>
      <c r="H319" s="234" t="s">
        <v>3312</v>
      </c>
      <c r="I319" s="236" t="s">
        <v>18</v>
      </c>
      <c r="J319" s="232" t="s">
        <v>18</v>
      </c>
      <c r="K319" s="237">
        <v>242510319</v>
      </c>
      <c r="L319" s="237" t="s">
        <v>340</v>
      </c>
      <c r="M319" s="234" t="s">
        <v>3823</v>
      </c>
      <c r="N319" s="234" t="s">
        <v>3824</v>
      </c>
      <c r="O319" s="234" t="s">
        <v>341</v>
      </c>
      <c r="P319" s="234" t="s">
        <v>3312</v>
      </c>
      <c r="Q319" s="232" t="s">
        <v>18</v>
      </c>
    </row>
    <row r="320" customHeight="1" spans="3:17">
      <c r="C320" s="233">
        <v>242510320</v>
      </c>
      <c r="D320" s="233" t="s">
        <v>668</v>
      </c>
      <c r="E320" s="234" t="s">
        <v>3825</v>
      </c>
      <c r="F320" s="234" t="s">
        <v>3826</v>
      </c>
      <c r="G320" s="235" t="s">
        <v>669</v>
      </c>
      <c r="H320" s="234" t="s">
        <v>3124</v>
      </c>
      <c r="I320" s="236" t="s">
        <v>23</v>
      </c>
      <c r="J320" s="232" t="s">
        <v>23</v>
      </c>
      <c r="K320" s="237">
        <v>242510320</v>
      </c>
      <c r="L320" s="237" t="s">
        <v>668</v>
      </c>
      <c r="M320" s="234" t="s">
        <v>3825</v>
      </c>
      <c r="N320" s="234" t="s">
        <v>3826</v>
      </c>
      <c r="O320" s="234" t="s">
        <v>669</v>
      </c>
      <c r="P320" s="234" t="s">
        <v>3124</v>
      </c>
      <c r="Q320" s="232" t="s">
        <v>23</v>
      </c>
    </row>
    <row r="321" customHeight="1" spans="3:17">
      <c r="C321" s="233">
        <v>242510321</v>
      </c>
      <c r="D321" s="233" t="s">
        <v>410</v>
      </c>
      <c r="E321" s="234" t="s">
        <v>3827</v>
      </c>
      <c r="F321" s="234" t="s">
        <v>3828</v>
      </c>
      <c r="G321" s="235" t="s">
        <v>411</v>
      </c>
      <c r="H321" s="234" t="s">
        <v>3281</v>
      </c>
      <c r="I321" s="236" t="s">
        <v>23</v>
      </c>
      <c r="J321" s="232" t="s">
        <v>23</v>
      </c>
      <c r="K321" s="237">
        <v>242510321</v>
      </c>
      <c r="L321" s="237" t="s">
        <v>410</v>
      </c>
      <c r="M321" s="234" t="s">
        <v>3827</v>
      </c>
      <c r="N321" s="234" t="s">
        <v>3828</v>
      </c>
      <c r="O321" s="234" t="s">
        <v>411</v>
      </c>
      <c r="P321" s="234" t="s">
        <v>3281</v>
      </c>
      <c r="Q321" s="232" t="s">
        <v>23</v>
      </c>
    </row>
    <row r="322" customHeight="1" spans="3:17">
      <c r="C322" s="233">
        <v>242510322</v>
      </c>
      <c r="D322" s="233" t="s">
        <v>346</v>
      </c>
      <c r="E322" s="234" t="s">
        <v>3829</v>
      </c>
      <c r="F322" s="234" t="s">
        <v>3830</v>
      </c>
      <c r="G322" s="235" t="s">
        <v>347</v>
      </c>
      <c r="H322" s="234" t="s">
        <v>3198</v>
      </c>
      <c r="I322" s="239" t="s">
        <v>23</v>
      </c>
      <c r="J322" s="240" t="s">
        <v>23</v>
      </c>
      <c r="K322" s="237">
        <v>242510322</v>
      </c>
      <c r="L322" s="237" t="s">
        <v>346</v>
      </c>
      <c r="M322" s="234" t="s">
        <v>3829</v>
      </c>
      <c r="N322" s="234" t="s">
        <v>3830</v>
      </c>
      <c r="O322" s="234" t="s">
        <v>347</v>
      </c>
      <c r="P322" s="234" t="s">
        <v>3198</v>
      </c>
      <c r="Q322" s="240" t="s">
        <v>23</v>
      </c>
    </row>
    <row r="323" customHeight="1" spans="3:17">
      <c r="C323" s="233">
        <v>242510323</v>
      </c>
      <c r="D323" s="233" t="s">
        <v>832</v>
      </c>
      <c r="E323" s="234" t="s">
        <v>3831</v>
      </c>
      <c r="F323" s="234" t="s">
        <v>3832</v>
      </c>
      <c r="G323" s="235" t="s">
        <v>833</v>
      </c>
      <c r="H323" s="234" t="s">
        <v>3124</v>
      </c>
      <c r="I323" s="236" t="s">
        <v>23</v>
      </c>
      <c r="J323" s="232" t="s">
        <v>23</v>
      </c>
      <c r="K323" s="237">
        <v>242510323</v>
      </c>
      <c r="L323" s="237" t="s">
        <v>832</v>
      </c>
      <c r="M323" s="234" t="s">
        <v>3831</v>
      </c>
      <c r="N323" s="234" t="s">
        <v>3832</v>
      </c>
      <c r="O323" s="234" t="s">
        <v>833</v>
      </c>
      <c r="P323" s="234" t="s">
        <v>3124</v>
      </c>
      <c r="Q323" s="232" t="s">
        <v>23</v>
      </c>
    </row>
    <row r="324" customHeight="1" spans="3:17">
      <c r="C324" s="233">
        <v>242510324</v>
      </c>
      <c r="D324" s="233" t="s">
        <v>418</v>
      </c>
      <c r="E324" s="234" t="s">
        <v>3833</v>
      </c>
      <c r="F324" s="234" t="s">
        <v>3834</v>
      </c>
      <c r="G324" s="235" t="s">
        <v>419</v>
      </c>
      <c r="H324" s="234" t="s">
        <v>3208</v>
      </c>
      <c r="I324" s="236" t="s">
        <v>18</v>
      </c>
      <c r="J324" s="232" t="s">
        <v>18</v>
      </c>
      <c r="K324" s="237">
        <v>242510324</v>
      </c>
      <c r="L324" s="237" t="s">
        <v>418</v>
      </c>
      <c r="M324" s="234" t="s">
        <v>3833</v>
      </c>
      <c r="N324" s="234" t="s">
        <v>3834</v>
      </c>
      <c r="O324" s="234" t="s">
        <v>419</v>
      </c>
      <c r="P324" s="234" t="s">
        <v>3208</v>
      </c>
      <c r="Q324" s="232" t="s">
        <v>18</v>
      </c>
    </row>
    <row r="325" customHeight="1" spans="3:17">
      <c r="C325" s="237">
        <v>242510325</v>
      </c>
      <c r="D325" s="237" t="s">
        <v>838</v>
      </c>
      <c r="E325" s="234"/>
      <c r="F325" s="234"/>
      <c r="G325" s="235" t="s">
        <v>839</v>
      </c>
      <c r="H325" s="234"/>
      <c r="I325" s="236" t="s">
        <v>18</v>
      </c>
      <c r="J325" s="232" t="s">
        <v>18</v>
      </c>
      <c r="K325" s="237">
        <v>242510325</v>
      </c>
      <c r="L325" s="237" t="s">
        <v>838</v>
      </c>
      <c r="M325" s="234" t="s">
        <v>3835</v>
      </c>
      <c r="N325" s="234" t="s">
        <v>3836</v>
      </c>
      <c r="O325" s="234" t="s">
        <v>839</v>
      </c>
      <c r="P325" s="234" t="s">
        <v>3124</v>
      </c>
      <c r="Q325" s="232" t="s">
        <v>18</v>
      </c>
    </row>
    <row r="326" customHeight="1" spans="3:17">
      <c r="C326" s="233">
        <v>242510326</v>
      </c>
      <c r="D326" s="233" t="s">
        <v>580</v>
      </c>
      <c r="E326" s="234" t="s">
        <v>3837</v>
      </c>
      <c r="F326" s="234" t="s">
        <v>3838</v>
      </c>
      <c r="G326" s="235" t="s">
        <v>581</v>
      </c>
      <c r="H326" s="234" t="s">
        <v>3124</v>
      </c>
      <c r="I326" s="236" t="s">
        <v>23</v>
      </c>
      <c r="J326" s="232" t="s">
        <v>23</v>
      </c>
      <c r="K326" s="237">
        <v>242510326</v>
      </c>
      <c r="L326" s="237" t="s">
        <v>580</v>
      </c>
      <c r="M326" s="234" t="s">
        <v>3837</v>
      </c>
      <c r="N326" s="234" t="s">
        <v>3838</v>
      </c>
      <c r="O326" s="234" t="s">
        <v>581</v>
      </c>
      <c r="P326" s="234" t="s">
        <v>3124</v>
      </c>
      <c r="Q326" s="232" t="s">
        <v>23</v>
      </c>
    </row>
    <row r="327" customHeight="1" spans="3:17">
      <c r="C327" s="233">
        <v>242510327</v>
      </c>
      <c r="D327" s="233" t="s">
        <v>586</v>
      </c>
      <c r="E327" s="234" t="s">
        <v>3839</v>
      </c>
      <c r="F327" s="234" t="s">
        <v>3840</v>
      </c>
      <c r="G327" s="235" t="s">
        <v>587</v>
      </c>
      <c r="H327" s="235" t="s">
        <v>3701</v>
      </c>
      <c r="I327" s="239" t="s">
        <v>18</v>
      </c>
      <c r="J327" s="240" t="s">
        <v>18</v>
      </c>
      <c r="K327" s="237">
        <v>242510327</v>
      </c>
      <c r="L327" s="237" t="s">
        <v>586</v>
      </c>
      <c r="M327" s="234" t="s">
        <v>3839</v>
      </c>
      <c r="N327" s="234" t="s">
        <v>3840</v>
      </c>
      <c r="O327" s="234" t="s">
        <v>587</v>
      </c>
      <c r="P327" s="234" t="s">
        <v>3701</v>
      </c>
      <c r="Q327" s="240" t="s">
        <v>18</v>
      </c>
    </row>
    <row r="328" customHeight="1" spans="3:17">
      <c r="C328" s="233">
        <v>242510328</v>
      </c>
      <c r="D328" s="233" t="s">
        <v>270</v>
      </c>
      <c r="E328" s="234" t="s">
        <v>3841</v>
      </c>
      <c r="F328" s="234" t="s">
        <v>3842</v>
      </c>
      <c r="G328" s="235" t="s">
        <v>271</v>
      </c>
      <c r="H328" s="234" t="s">
        <v>3186</v>
      </c>
      <c r="I328" s="236" t="s">
        <v>18</v>
      </c>
      <c r="J328" s="232" t="s">
        <v>18</v>
      </c>
      <c r="K328" s="237">
        <v>242510328</v>
      </c>
      <c r="L328" s="237" t="s">
        <v>270</v>
      </c>
      <c r="M328" s="234" t="s">
        <v>3841</v>
      </c>
      <c r="N328" s="234" t="s">
        <v>3842</v>
      </c>
      <c r="O328" s="234" t="s">
        <v>271</v>
      </c>
      <c r="P328" s="234" t="s">
        <v>3186</v>
      </c>
      <c r="Q328" s="232" t="s">
        <v>18</v>
      </c>
    </row>
    <row r="329" customHeight="1" spans="3:17">
      <c r="C329" s="233">
        <v>242510329</v>
      </c>
      <c r="D329" s="233" t="s">
        <v>198</v>
      </c>
      <c r="E329" s="234" t="s">
        <v>3338</v>
      </c>
      <c r="F329" s="234" t="s">
        <v>3339</v>
      </c>
      <c r="G329" s="238" t="s">
        <v>199</v>
      </c>
      <c r="H329" s="234" t="s">
        <v>3340</v>
      </c>
      <c r="I329" s="236" t="s">
        <v>18</v>
      </c>
      <c r="J329" s="232" t="s">
        <v>18</v>
      </c>
      <c r="K329" s="237">
        <v>242510329</v>
      </c>
      <c r="L329" s="237" t="s">
        <v>198</v>
      </c>
      <c r="M329" s="234" t="s">
        <v>3843</v>
      </c>
      <c r="N329" s="234" t="s">
        <v>3844</v>
      </c>
      <c r="O329" s="234" t="s">
        <v>199</v>
      </c>
      <c r="P329" s="234" t="s">
        <v>3732</v>
      </c>
      <c r="Q329" s="232" t="s">
        <v>18</v>
      </c>
    </row>
    <row r="330" customHeight="1" spans="3:17">
      <c r="C330" s="233">
        <v>242510330</v>
      </c>
      <c r="D330" s="233" t="s">
        <v>502</v>
      </c>
      <c r="E330" s="234" t="s">
        <v>3845</v>
      </c>
      <c r="F330" s="234" t="s">
        <v>3846</v>
      </c>
      <c r="G330" s="235" t="s">
        <v>503</v>
      </c>
      <c r="H330" s="234" t="s">
        <v>3124</v>
      </c>
      <c r="I330" s="236" t="s">
        <v>23</v>
      </c>
      <c r="J330" s="232" t="s">
        <v>23</v>
      </c>
      <c r="K330" s="237">
        <v>242510330</v>
      </c>
      <c r="L330" s="237" t="s">
        <v>502</v>
      </c>
      <c r="M330" s="234" t="s">
        <v>3845</v>
      </c>
      <c r="N330" s="234" t="s">
        <v>3846</v>
      </c>
      <c r="O330" s="234" t="s">
        <v>503</v>
      </c>
      <c r="P330" s="234" t="s">
        <v>3124</v>
      </c>
      <c r="Q330" s="232" t="s">
        <v>23</v>
      </c>
    </row>
    <row r="331" customHeight="1" spans="3:17">
      <c r="C331" s="233">
        <v>242510331</v>
      </c>
      <c r="D331" s="233" t="s">
        <v>506</v>
      </c>
      <c r="E331" s="234" t="s">
        <v>3847</v>
      </c>
      <c r="F331" s="234" t="s">
        <v>3848</v>
      </c>
      <c r="G331" s="235" t="s">
        <v>507</v>
      </c>
      <c r="H331" s="234" t="s">
        <v>3849</v>
      </c>
      <c r="I331" s="236" t="s">
        <v>23</v>
      </c>
      <c r="J331" s="232" t="s">
        <v>23</v>
      </c>
      <c r="K331" s="237">
        <v>242510331</v>
      </c>
      <c r="L331" s="237" t="s">
        <v>506</v>
      </c>
      <c r="M331" s="234" t="s">
        <v>3847</v>
      </c>
      <c r="N331" s="234" t="s">
        <v>3848</v>
      </c>
      <c r="O331" s="234" t="s">
        <v>507</v>
      </c>
      <c r="P331" s="234" t="s">
        <v>3849</v>
      </c>
      <c r="Q331" s="232" t="s">
        <v>23</v>
      </c>
    </row>
    <row r="332" customHeight="1" spans="3:17">
      <c r="C332" s="233">
        <v>242510332</v>
      </c>
      <c r="D332" s="233" t="s">
        <v>282</v>
      </c>
      <c r="E332" s="234" t="s">
        <v>3850</v>
      </c>
      <c r="F332" s="234" t="s">
        <v>3851</v>
      </c>
      <c r="G332" s="235" t="s">
        <v>283</v>
      </c>
      <c r="H332" s="234" t="s">
        <v>3124</v>
      </c>
      <c r="I332" s="236" t="s">
        <v>23</v>
      </c>
      <c r="J332" s="232" t="s">
        <v>23</v>
      </c>
      <c r="K332" s="237">
        <v>242510332</v>
      </c>
      <c r="L332" s="237" t="s">
        <v>282</v>
      </c>
      <c r="M332" s="234" t="s">
        <v>3850</v>
      </c>
      <c r="N332" s="234" t="s">
        <v>3851</v>
      </c>
      <c r="O332" s="234" t="s">
        <v>283</v>
      </c>
      <c r="P332" s="234" t="s">
        <v>3124</v>
      </c>
      <c r="Q332" s="232" t="s">
        <v>23</v>
      </c>
    </row>
    <row r="333" customHeight="1" spans="3:17">
      <c r="C333" s="233">
        <v>242510333</v>
      </c>
      <c r="D333" s="233" t="s">
        <v>124</v>
      </c>
      <c r="E333" s="234" t="s">
        <v>3852</v>
      </c>
      <c r="F333" s="234" t="s">
        <v>3853</v>
      </c>
      <c r="G333" s="235" t="s">
        <v>125</v>
      </c>
      <c r="H333" s="234" t="s">
        <v>3150</v>
      </c>
      <c r="I333" s="236" t="s">
        <v>18</v>
      </c>
      <c r="J333" s="232" t="s">
        <v>18</v>
      </c>
      <c r="K333" s="237">
        <v>242510333</v>
      </c>
      <c r="L333" s="237" t="s">
        <v>124</v>
      </c>
      <c r="M333" s="234" t="s">
        <v>3852</v>
      </c>
      <c r="N333" s="234" t="s">
        <v>3853</v>
      </c>
      <c r="O333" s="234" t="s">
        <v>125</v>
      </c>
      <c r="P333" s="234" t="s">
        <v>3150</v>
      </c>
      <c r="Q333" s="232" t="s">
        <v>18</v>
      </c>
    </row>
    <row r="334" customHeight="1" spans="3:17">
      <c r="C334" s="233">
        <v>242510334</v>
      </c>
      <c r="D334" s="233" t="s">
        <v>128</v>
      </c>
      <c r="E334" s="234" t="s">
        <v>3854</v>
      </c>
      <c r="F334" s="234" t="s">
        <v>3855</v>
      </c>
      <c r="G334" s="235" t="s">
        <v>129</v>
      </c>
      <c r="H334" s="234" t="s">
        <v>3124</v>
      </c>
      <c r="I334" s="236" t="s">
        <v>18</v>
      </c>
      <c r="J334" s="232" t="s">
        <v>18</v>
      </c>
      <c r="K334" s="237">
        <v>242510334</v>
      </c>
      <c r="L334" s="237" t="s">
        <v>128</v>
      </c>
      <c r="M334" s="234" t="s">
        <v>3854</v>
      </c>
      <c r="N334" s="234" t="s">
        <v>3855</v>
      </c>
      <c r="O334" s="234" t="s">
        <v>129</v>
      </c>
      <c r="P334" s="234" t="s">
        <v>3124</v>
      </c>
      <c r="Q334" s="232" t="s">
        <v>18</v>
      </c>
    </row>
    <row r="335" customHeight="1" spans="3:17">
      <c r="C335" s="233">
        <v>242510335</v>
      </c>
      <c r="D335" s="233" t="s">
        <v>792</v>
      </c>
      <c r="E335" s="234" t="s">
        <v>3856</v>
      </c>
      <c r="F335" s="234" t="s">
        <v>3857</v>
      </c>
      <c r="G335" s="235" t="s">
        <v>793</v>
      </c>
      <c r="H335" s="234" t="s">
        <v>3780</v>
      </c>
      <c r="I335" s="236" t="s">
        <v>18</v>
      </c>
      <c r="J335" s="232" t="s">
        <v>18</v>
      </c>
      <c r="K335" s="237">
        <v>242510335</v>
      </c>
      <c r="L335" s="237" t="s">
        <v>792</v>
      </c>
      <c r="M335" s="234" t="s">
        <v>3856</v>
      </c>
      <c r="N335" s="234" t="s">
        <v>3857</v>
      </c>
      <c r="O335" s="234" t="s">
        <v>793</v>
      </c>
      <c r="P335" s="234" t="s">
        <v>3780</v>
      </c>
      <c r="Q335" s="232" t="s">
        <v>18</v>
      </c>
    </row>
    <row r="336" customHeight="1" spans="3:17">
      <c r="C336" s="233">
        <v>242510336</v>
      </c>
      <c r="D336" s="233" t="s">
        <v>868</v>
      </c>
      <c r="E336" s="234" t="s">
        <v>3858</v>
      </c>
      <c r="F336" s="234" t="s">
        <v>3859</v>
      </c>
      <c r="G336" s="235" t="s">
        <v>869</v>
      </c>
      <c r="H336" s="234" t="s">
        <v>3203</v>
      </c>
      <c r="I336" s="236" t="s">
        <v>23</v>
      </c>
      <c r="J336" s="232" t="s">
        <v>23</v>
      </c>
      <c r="K336" s="237">
        <v>242510336</v>
      </c>
      <c r="L336" s="237" t="s">
        <v>868</v>
      </c>
      <c r="M336" s="234" t="s">
        <v>3858</v>
      </c>
      <c r="N336" s="234" t="s">
        <v>3859</v>
      </c>
      <c r="O336" s="234" t="s">
        <v>869</v>
      </c>
      <c r="P336" s="234" t="s">
        <v>3203</v>
      </c>
      <c r="Q336" s="232" t="s">
        <v>23</v>
      </c>
    </row>
    <row r="337" customHeight="1" spans="3:17">
      <c r="C337" s="233">
        <v>242510337</v>
      </c>
      <c r="D337" s="233" t="s">
        <v>870</v>
      </c>
      <c r="E337" s="234" t="s">
        <v>3860</v>
      </c>
      <c r="F337" s="234" t="s">
        <v>3861</v>
      </c>
      <c r="G337" s="235" t="s">
        <v>871</v>
      </c>
      <c r="H337" s="234" t="s">
        <v>3124</v>
      </c>
      <c r="I337" s="236" t="s">
        <v>23</v>
      </c>
      <c r="J337" s="232" t="s">
        <v>23</v>
      </c>
      <c r="K337" s="237">
        <v>242510337</v>
      </c>
      <c r="L337" s="237" t="s">
        <v>870</v>
      </c>
      <c r="M337" s="234" t="s">
        <v>3860</v>
      </c>
      <c r="N337" s="234" t="s">
        <v>3861</v>
      </c>
      <c r="O337" s="234" t="s">
        <v>871</v>
      </c>
      <c r="P337" s="234" t="s">
        <v>3124</v>
      </c>
      <c r="Q337" s="232" t="s">
        <v>23</v>
      </c>
    </row>
    <row r="338" customHeight="1" spans="3:17">
      <c r="C338" s="233">
        <v>242510338</v>
      </c>
      <c r="D338" s="233" t="s">
        <v>620</v>
      </c>
      <c r="E338" s="234" t="s">
        <v>3862</v>
      </c>
      <c r="F338" s="234" t="s">
        <v>3863</v>
      </c>
      <c r="G338" s="235" t="s">
        <v>621</v>
      </c>
      <c r="H338" s="235" t="s">
        <v>3864</v>
      </c>
      <c r="I338" s="236" t="s">
        <v>23</v>
      </c>
      <c r="J338" s="232" t="s">
        <v>23</v>
      </c>
      <c r="K338" s="237">
        <v>242510338</v>
      </c>
      <c r="L338" s="237" t="s">
        <v>620</v>
      </c>
      <c r="M338" s="234" t="s">
        <v>3862</v>
      </c>
      <c r="N338" s="234" t="s">
        <v>3863</v>
      </c>
      <c r="O338" s="234" t="s">
        <v>621</v>
      </c>
      <c r="P338" s="234" t="s">
        <v>3864</v>
      </c>
      <c r="Q338" s="232" t="s">
        <v>23</v>
      </c>
    </row>
    <row r="339" customHeight="1" spans="3:17">
      <c r="C339" s="233">
        <v>242510339</v>
      </c>
      <c r="D339" s="233" t="s">
        <v>524</v>
      </c>
      <c r="E339" s="234" t="s">
        <v>3865</v>
      </c>
      <c r="F339" s="234" t="s">
        <v>3866</v>
      </c>
      <c r="G339" s="235" t="s">
        <v>525</v>
      </c>
      <c r="H339" s="234" t="s">
        <v>3124</v>
      </c>
      <c r="I339" s="236" t="s">
        <v>18</v>
      </c>
      <c r="J339" s="232" t="s">
        <v>18</v>
      </c>
      <c r="K339" s="237">
        <v>242510339</v>
      </c>
      <c r="L339" s="237" t="s">
        <v>524</v>
      </c>
      <c r="M339" s="234" t="s">
        <v>3865</v>
      </c>
      <c r="N339" s="234" t="s">
        <v>3866</v>
      </c>
      <c r="O339" s="234" t="s">
        <v>525</v>
      </c>
      <c r="P339" s="234" t="s">
        <v>3124</v>
      </c>
      <c r="Q339" s="232" t="s">
        <v>18</v>
      </c>
    </row>
    <row r="340" customHeight="1" spans="3:17">
      <c r="C340" s="233">
        <v>242510340</v>
      </c>
      <c r="D340" s="233" t="s">
        <v>150</v>
      </c>
      <c r="E340" s="234" t="s">
        <v>3867</v>
      </c>
      <c r="F340" s="234" t="s">
        <v>3868</v>
      </c>
      <c r="G340" s="235" t="s">
        <v>151</v>
      </c>
      <c r="H340" s="234" t="s">
        <v>3124</v>
      </c>
      <c r="I340" s="236" t="s">
        <v>18</v>
      </c>
      <c r="J340" s="232" t="s">
        <v>18</v>
      </c>
      <c r="K340" s="237">
        <v>242510340</v>
      </c>
      <c r="L340" s="237" t="s">
        <v>150</v>
      </c>
      <c r="M340" s="234" t="s">
        <v>3867</v>
      </c>
      <c r="N340" s="234" t="s">
        <v>3868</v>
      </c>
      <c r="O340" s="234" t="s">
        <v>151</v>
      </c>
      <c r="P340" s="234" t="s">
        <v>3124</v>
      </c>
      <c r="Q340" s="232" t="s">
        <v>18</v>
      </c>
    </row>
    <row r="341" customHeight="1" spans="3:17">
      <c r="C341" s="233">
        <v>242510341</v>
      </c>
      <c r="D341" s="233" t="s">
        <v>368</v>
      </c>
      <c r="E341" s="234" t="s">
        <v>3869</v>
      </c>
      <c r="F341" s="234" t="s">
        <v>3870</v>
      </c>
      <c r="G341" s="235" t="s">
        <v>369</v>
      </c>
      <c r="H341" s="234" t="s">
        <v>3208</v>
      </c>
      <c r="I341" s="236" t="s">
        <v>18</v>
      </c>
      <c r="J341" s="232" t="s">
        <v>18</v>
      </c>
      <c r="K341" s="237">
        <v>242510341</v>
      </c>
      <c r="L341" s="237" t="s">
        <v>368</v>
      </c>
      <c r="M341" s="234" t="s">
        <v>3869</v>
      </c>
      <c r="N341" s="234" t="s">
        <v>3870</v>
      </c>
      <c r="O341" s="234" t="s">
        <v>369</v>
      </c>
      <c r="P341" s="234" t="s">
        <v>3208</v>
      </c>
      <c r="Q341" s="232" t="s">
        <v>18</v>
      </c>
    </row>
    <row r="342" customHeight="1" spans="3:17">
      <c r="C342" s="233">
        <v>242510342</v>
      </c>
      <c r="D342" s="233" t="s">
        <v>630</v>
      </c>
      <c r="E342" s="234" t="s">
        <v>3871</v>
      </c>
      <c r="F342" s="234" t="s">
        <v>3872</v>
      </c>
      <c r="G342" s="235" t="s">
        <v>631</v>
      </c>
      <c r="H342" s="234" t="s">
        <v>3124</v>
      </c>
      <c r="I342" s="236" t="s">
        <v>23</v>
      </c>
      <c r="J342" s="232" t="s">
        <v>23</v>
      </c>
      <c r="K342" s="237">
        <v>242510342</v>
      </c>
      <c r="L342" s="237" t="s">
        <v>630</v>
      </c>
      <c r="M342" s="234" t="s">
        <v>3871</v>
      </c>
      <c r="N342" s="234" t="s">
        <v>3872</v>
      </c>
      <c r="O342" s="234" t="s">
        <v>631</v>
      </c>
      <c r="P342" s="234" t="s">
        <v>3124</v>
      </c>
      <c r="Q342" s="232" t="s">
        <v>23</v>
      </c>
    </row>
    <row r="343" customHeight="1" spans="3:17">
      <c r="C343" s="233">
        <v>242510343</v>
      </c>
      <c r="D343" s="233" t="s">
        <v>542</v>
      </c>
      <c r="E343" s="234" t="s">
        <v>3873</v>
      </c>
      <c r="F343" s="234" t="s">
        <v>3874</v>
      </c>
      <c r="G343" s="235" t="s">
        <v>543</v>
      </c>
      <c r="H343" s="234" t="s">
        <v>3124</v>
      </c>
      <c r="I343" s="236" t="s">
        <v>23</v>
      </c>
      <c r="J343" s="232" t="s">
        <v>23</v>
      </c>
      <c r="K343" s="237">
        <v>242510343</v>
      </c>
      <c r="L343" s="237" t="s">
        <v>542</v>
      </c>
      <c r="M343" s="234" t="s">
        <v>3873</v>
      </c>
      <c r="N343" s="234" t="s">
        <v>3874</v>
      </c>
      <c r="O343" s="234" t="s">
        <v>543</v>
      </c>
      <c r="P343" s="234" t="s">
        <v>3124</v>
      </c>
      <c r="Q343" s="232" t="s">
        <v>23</v>
      </c>
    </row>
    <row r="344" customHeight="1" spans="3:17">
      <c r="C344" s="233">
        <v>242510344</v>
      </c>
      <c r="D344" s="233" t="s">
        <v>374</v>
      </c>
      <c r="E344" s="234" t="s">
        <v>3875</v>
      </c>
      <c r="F344" s="234" t="s">
        <v>3876</v>
      </c>
      <c r="G344" s="235" t="s">
        <v>375</v>
      </c>
      <c r="H344" s="234" t="s">
        <v>3124</v>
      </c>
      <c r="I344" s="236" t="s">
        <v>18</v>
      </c>
      <c r="J344" s="232" t="s">
        <v>18</v>
      </c>
      <c r="K344" s="237">
        <v>242510344</v>
      </c>
      <c r="L344" s="237" t="s">
        <v>374</v>
      </c>
      <c r="M344" s="234" t="s">
        <v>3875</v>
      </c>
      <c r="N344" s="234" t="s">
        <v>3876</v>
      </c>
      <c r="O344" s="234" t="s">
        <v>375</v>
      </c>
      <c r="P344" s="234" t="s">
        <v>3124</v>
      </c>
      <c r="Q344" s="232" t="s">
        <v>18</v>
      </c>
    </row>
    <row r="345" customHeight="1" spans="3:17">
      <c r="C345" s="233">
        <v>242510345</v>
      </c>
      <c r="D345" s="233" t="s">
        <v>452</v>
      </c>
      <c r="E345" s="234" t="s">
        <v>3877</v>
      </c>
      <c r="F345" s="234" t="s">
        <v>3878</v>
      </c>
      <c r="G345" s="235" t="s">
        <v>453</v>
      </c>
      <c r="H345" s="234" t="s">
        <v>3124</v>
      </c>
      <c r="I345" s="236" t="s">
        <v>23</v>
      </c>
      <c r="J345" s="232" t="s">
        <v>23</v>
      </c>
      <c r="K345" s="237">
        <v>242510345</v>
      </c>
      <c r="L345" s="237" t="s">
        <v>452</v>
      </c>
      <c r="M345" s="234" t="s">
        <v>3877</v>
      </c>
      <c r="N345" s="234" t="s">
        <v>3878</v>
      </c>
      <c r="O345" s="234" t="s">
        <v>453</v>
      </c>
      <c r="P345" s="234" t="s">
        <v>3124</v>
      </c>
      <c r="Q345" s="232" t="s">
        <v>23</v>
      </c>
    </row>
    <row r="346" customHeight="1" spans="3:17">
      <c r="C346" s="233">
        <v>242510346</v>
      </c>
      <c r="D346" s="233" t="s">
        <v>382</v>
      </c>
      <c r="E346" s="234" t="s">
        <v>3879</v>
      </c>
      <c r="F346" s="234" t="s">
        <v>3880</v>
      </c>
      <c r="G346" s="235" t="s">
        <v>383</v>
      </c>
      <c r="H346" s="234" t="s">
        <v>3881</v>
      </c>
      <c r="I346" s="236" t="s">
        <v>18</v>
      </c>
      <c r="J346" s="232" t="s">
        <v>18</v>
      </c>
      <c r="K346" s="237">
        <v>242510346</v>
      </c>
      <c r="L346" s="237" t="s">
        <v>382</v>
      </c>
      <c r="M346" s="234" t="s">
        <v>3879</v>
      </c>
      <c r="N346" s="234" t="s">
        <v>3880</v>
      </c>
      <c r="O346" s="234" t="s">
        <v>383</v>
      </c>
      <c r="P346" s="234" t="s">
        <v>3881</v>
      </c>
      <c r="Q346" s="232" t="s">
        <v>18</v>
      </c>
    </row>
    <row r="347" customHeight="1" spans="3:17">
      <c r="C347" s="233">
        <v>242510347</v>
      </c>
      <c r="D347" s="233" t="s">
        <v>384</v>
      </c>
      <c r="E347" s="234" t="s">
        <v>3882</v>
      </c>
      <c r="F347" s="234" t="s">
        <v>3157</v>
      </c>
      <c r="G347" s="235" t="s">
        <v>385</v>
      </c>
      <c r="H347" s="234" t="s">
        <v>3433</v>
      </c>
      <c r="I347" s="236" t="s">
        <v>23</v>
      </c>
      <c r="J347" s="232" t="s">
        <v>23</v>
      </c>
      <c r="K347" s="237">
        <v>242510347</v>
      </c>
      <c r="L347" s="237" t="s">
        <v>384</v>
      </c>
      <c r="M347" s="234" t="s">
        <v>3882</v>
      </c>
      <c r="N347" s="234" t="s">
        <v>3157</v>
      </c>
      <c r="O347" s="234" t="s">
        <v>385</v>
      </c>
      <c r="P347" s="234" t="s">
        <v>3433</v>
      </c>
      <c r="Q347" s="232" t="s">
        <v>23</v>
      </c>
    </row>
    <row r="348" customHeight="1" spans="3:17">
      <c r="C348" s="233">
        <v>242510348</v>
      </c>
      <c r="D348" s="233" t="s">
        <v>822</v>
      </c>
      <c r="E348" s="234" t="s">
        <v>3883</v>
      </c>
      <c r="F348" s="234" t="s">
        <v>3806</v>
      </c>
      <c r="G348" s="235" t="s">
        <v>823</v>
      </c>
      <c r="H348" s="234" t="s">
        <v>3124</v>
      </c>
      <c r="I348" s="236" t="s">
        <v>18</v>
      </c>
      <c r="J348" s="232" t="s">
        <v>18</v>
      </c>
      <c r="K348" s="237">
        <v>242510348</v>
      </c>
      <c r="L348" s="237" t="s">
        <v>822</v>
      </c>
      <c r="M348" s="234" t="s">
        <v>3883</v>
      </c>
      <c r="N348" s="234" t="s">
        <v>3806</v>
      </c>
      <c r="O348" s="234" t="s">
        <v>823</v>
      </c>
      <c r="P348" s="234" t="s">
        <v>3124</v>
      </c>
      <c r="Q348" s="232" t="s">
        <v>18</v>
      </c>
    </row>
    <row r="349" customHeight="1" spans="3:17">
      <c r="C349" s="233">
        <v>242510349</v>
      </c>
      <c r="D349" s="233" t="s">
        <v>896</v>
      </c>
      <c r="E349" s="234" t="s">
        <v>3884</v>
      </c>
      <c r="F349" s="234" t="s">
        <v>3885</v>
      </c>
      <c r="G349" s="235" t="s">
        <v>897</v>
      </c>
      <c r="H349" s="234" t="s">
        <v>3563</v>
      </c>
      <c r="I349" s="236" t="s">
        <v>18</v>
      </c>
      <c r="J349" s="232" t="s">
        <v>18</v>
      </c>
      <c r="K349" s="237">
        <v>242510349</v>
      </c>
      <c r="L349" s="237" t="s">
        <v>896</v>
      </c>
      <c r="M349" s="234" t="s">
        <v>3884</v>
      </c>
      <c r="N349" s="234" t="s">
        <v>3885</v>
      </c>
      <c r="O349" s="234" t="s">
        <v>897</v>
      </c>
      <c r="P349" s="234" t="s">
        <v>3563</v>
      </c>
      <c r="Q349" s="232" t="s">
        <v>18</v>
      </c>
    </row>
    <row r="350" customHeight="1" spans="3:17">
      <c r="C350" s="233">
        <v>242510350</v>
      </c>
      <c r="D350" s="233" t="s">
        <v>390</v>
      </c>
      <c r="E350" s="234" t="s">
        <v>3886</v>
      </c>
      <c r="F350" s="234" t="s">
        <v>3887</v>
      </c>
      <c r="G350" s="235" t="s">
        <v>391</v>
      </c>
      <c r="H350" s="234" t="s">
        <v>3124</v>
      </c>
      <c r="I350" s="236" t="s">
        <v>18</v>
      </c>
      <c r="J350" s="232" t="s">
        <v>18</v>
      </c>
      <c r="K350" s="237">
        <v>242510350</v>
      </c>
      <c r="L350" s="237" t="s">
        <v>390</v>
      </c>
      <c r="M350" s="234" t="s">
        <v>3886</v>
      </c>
      <c r="N350" s="234" t="s">
        <v>3887</v>
      </c>
      <c r="O350" s="234" t="s">
        <v>391</v>
      </c>
      <c r="P350" s="234" t="s">
        <v>3124</v>
      </c>
      <c r="Q350" s="232" t="s">
        <v>18</v>
      </c>
    </row>
    <row r="351" customHeight="1" spans="3:17">
      <c r="C351" s="233">
        <v>242510351</v>
      </c>
      <c r="D351" s="233" t="s">
        <v>396</v>
      </c>
      <c r="E351" s="234" t="s">
        <v>3888</v>
      </c>
      <c r="F351" s="234" t="s">
        <v>3889</v>
      </c>
      <c r="G351" s="235" t="s">
        <v>397</v>
      </c>
      <c r="H351" s="234" t="s">
        <v>3124</v>
      </c>
      <c r="I351" s="236" t="s">
        <v>23</v>
      </c>
      <c r="J351" s="232" t="s">
        <v>23</v>
      </c>
      <c r="K351" s="237">
        <v>242510351</v>
      </c>
      <c r="L351" s="237" t="s">
        <v>396</v>
      </c>
      <c r="M351" s="234" t="s">
        <v>3888</v>
      </c>
      <c r="N351" s="234" t="s">
        <v>3889</v>
      </c>
      <c r="O351" s="234" t="s">
        <v>397</v>
      </c>
      <c r="P351" s="234" t="s">
        <v>3124</v>
      </c>
      <c r="Q351" s="232" t="s">
        <v>23</v>
      </c>
    </row>
    <row r="352" customHeight="1" spans="3:17">
      <c r="C352" s="233">
        <v>242510352</v>
      </c>
      <c r="D352" s="233" t="s">
        <v>904</v>
      </c>
      <c r="E352" s="234" t="s">
        <v>3890</v>
      </c>
      <c r="F352" s="234" t="s">
        <v>3891</v>
      </c>
      <c r="G352" s="235" t="s">
        <v>905</v>
      </c>
      <c r="H352" s="235" t="s">
        <v>3563</v>
      </c>
      <c r="I352" s="236" t="s">
        <v>18</v>
      </c>
      <c r="J352" s="232" t="s">
        <v>18</v>
      </c>
      <c r="K352" s="243">
        <v>242510352</v>
      </c>
      <c r="L352" s="237" t="s">
        <v>904</v>
      </c>
      <c r="M352" s="234" t="s">
        <v>3890</v>
      </c>
      <c r="N352" s="234" t="s">
        <v>3891</v>
      </c>
      <c r="O352" s="234" t="s">
        <v>905</v>
      </c>
      <c r="P352" s="234" t="s">
        <v>3563</v>
      </c>
      <c r="Q352" s="232" t="s">
        <v>18</v>
      </c>
    </row>
    <row r="353" customHeight="1" spans="3:17">
      <c r="C353" s="233">
        <v>242510353</v>
      </c>
      <c r="D353" s="233" t="s">
        <v>98</v>
      </c>
      <c r="E353" s="234" t="s">
        <v>3892</v>
      </c>
      <c r="F353" s="234" t="s">
        <v>3893</v>
      </c>
      <c r="G353" s="235" t="s">
        <v>99</v>
      </c>
      <c r="H353" s="234" t="s">
        <v>3124</v>
      </c>
      <c r="I353" s="236" t="s">
        <v>18</v>
      </c>
      <c r="J353" s="232" t="s">
        <v>18</v>
      </c>
      <c r="K353" s="237">
        <v>242510353</v>
      </c>
      <c r="L353" s="237" t="s">
        <v>98</v>
      </c>
      <c r="M353" s="234" t="s">
        <v>3892</v>
      </c>
      <c r="N353" s="234" t="s">
        <v>3893</v>
      </c>
      <c r="O353" s="234" t="s">
        <v>99</v>
      </c>
      <c r="P353" s="234" t="s">
        <v>3124</v>
      </c>
      <c r="Q353" s="232" t="s">
        <v>18</v>
      </c>
    </row>
    <row r="354" customHeight="1" spans="3:17">
      <c r="C354" s="233">
        <v>242510354</v>
      </c>
      <c r="D354" s="233" t="s">
        <v>746</v>
      </c>
      <c r="E354" s="234" t="s">
        <v>3894</v>
      </c>
      <c r="F354" s="234" t="s">
        <v>3895</v>
      </c>
      <c r="G354" s="235" t="s">
        <v>747</v>
      </c>
      <c r="H354" s="235" t="s">
        <v>3208</v>
      </c>
      <c r="I354" s="236" t="s">
        <v>18</v>
      </c>
      <c r="J354" s="232" t="s">
        <v>18</v>
      </c>
      <c r="K354" s="237">
        <v>242510354</v>
      </c>
      <c r="L354" s="237" t="s">
        <v>746</v>
      </c>
      <c r="M354" s="234" t="s">
        <v>3894</v>
      </c>
      <c r="N354" s="234" t="s">
        <v>3895</v>
      </c>
      <c r="O354" s="234" t="s">
        <v>747</v>
      </c>
      <c r="P354" s="234" t="s">
        <v>3208</v>
      </c>
      <c r="Q354" s="232" t="s">
        <v>18</v>
      </c>
    </row>
    <row r="355" customHeight="1" spans="3:17">
      <c r="C355" s="233">
        <v>242510355</v>
      </c>
      <c r="D355" s="233" t="s">
        <v>19</v>
      </c>
      <c r="E355" s="234" t="s">
        <v>3896</v>
      </c>
      <c r="F355" s="234" t="s">
        <v>3897</v>
      </c>
      <c r="G355" s="235" t="s">
        <v>20</v>
      </c>
      <c r="H355" s="234" t="s">
        <v>3124</v>
      </c>
      <c r="I355" s="236" t="s">
        <v>18</v>
      </c>
      <c r="J355" s="232" t="s">
        <v>18</v>
      </c>
      <c r="K355" s="237">
        <v>242510355</v>
      </c>
      <c r="L355" s="237" t="s">
        <v>19</v>
      </c>
      <c r="M355" s="234" t="s">
        <v>3896</v>
      </c>
      <c r="N355" s="234" t="s">
        <v>3897</v>
      </c>
      <c r="O355" s="234" t="s">
        <v>20</v>
      </c>
      <c r="P355" s="234" t="s">
        <v>3124</v>
      </c>
      <c r="Q355" s="232" t="s">
        <v>18</v>
      </c>
    </row>
    <row r="356" customHeight="1" spans="3:17">
      <c r="C356" s="233">
        <v>242510356</v>
      </c>
      <c r="D356" s="233" t="s">
        <v>334</v>
      </c>
      <c r="E356" s="234"/>
      <c r="F356" s="234"/>
      <c r="G356" s="255" t="s">
        <v>335</v>
      </c>
      <c r="H356" s="234"/>
      <c r="I356" s="236" t="s">
        <v>18</v>
      </c>
      <c r="J356" s="232" t="s">
        <v>18</v>
      </c>
      <c r="K356" s="237">
        <v>242510356</v>
      </c>
      <c r="L356" s="237" t="s">
        <v>334</v>
      </c>
      <c r="M356" s="234"/>
      <c r="N356" s="234"/>
      <c r="O356" s="230" t="s">
        <v>335</v>
      </c>
      <c r="P356" s="234"/>
      <c r="Q356" s="232" t="s">
        <v>18</v>
      </c>
    </row>
    <row r="357" customHeight="1" spans="3:17">
      <c r="C357" s="233">
        <v>242510357</v>
      </c>
      <c r="D357" s="233" t="s">
        <v>408</v>
      </c>
      <c r="E357" s="234" t="s">
        <v>3898</v>
      </c>
      <c r="F357" s="234" t="s">
        <v>3899</v>
      </c>
      <c r="G357" s="235" t="s">
        <v>409</v>
      </c>
      <c r="H357" s="234" t="s">
        <v>3124</v>
      </c>
      <c r="I357" s="236" t="s">
        <v>18</v>
      </c>
      <c r="J357" s="232" t="s">
        <v>18</v>
      </c>
      <c r="K357" s="237">
        <v>242510357</v>
      </c>
      <c r="L357" s="237" t="s">
        <v>408</v>
      </c>
      <c r="M357" s="234" t="s">
        <v>3898</v>
      </c>
      <c r="N357" s="234" t="s">
        <v>3899</v>
      </c>
      <c r="O357" s="234" t="s">
        <v>409</v>
      </c>
      <c r="P357" s="234" t="s">
        <v>3124</v>
      </c>
      <c r="Q357" s="232" t="s">
        <v>18</v>
      </c>
    </row>
    <row r="358" customHeight="1" spans="3:17">
      <c r="C358" s="233">
        <v>242510358</v>
      </c>
      <c r="D358" s="233" t="s">
        <v>756</v>
      </c>
      <c r="E358" s="234" t="s">
        <v>3900</v>
      </c>
      <c r="F358" s="234" t="s">
        <v>3901</v>
      </c>
      <c r="G358" s="235" t="s">
        <v>757</v>
      </c>
      <c r="H358" s="234" t="s">
        <v>3124</v>
      </c>
      <c r="I358" s="236" t="s">
        <v>23</v>
      </c>
      <c r="J358" s="232" t="s">
        <v>23</v>
      </c>
      <c r="K358" s="237">
        <v>242510358</v>
      </c>
      <c r="L358" s="237" t="s">
        <v>756</v>
      </c>
      <c r="M358" s="234" t="s">
        <v>3900</v>
      </c>
      <c r="N358" s="234" t="s">
        <v>3901</v>
      </c>
      <c r="O358" s="234" t="s">
        <v>757</v>
      </c>
      <c r="P358" s="234" t="s">
        <v>3124</v>
      </c>
      <c r="Q358" s="232" t="s">
        <v>23</v>
      </c>
    </row>
    <row r="359" customHeight="1" spans="3:17">
      <c r="C359" s="233">
        <v>242510359</v>
      </c>
      <c r="D359" s="233" t="s">
        <v>576</v>
      </c>
      <c r="E359" s="234" t="s">
        <v>3902</v>
      </c>
      <c r="F359" s="234" t="s">
        <v>3903</v>
      </c>
      <c r="G359" s="235" t="s">
        <v>577</v>
      </c>
      <c r="H359" s="235" t="s">
        <v>3124</v>
      </c>
      <c r="I359" s="236" t="s">
        <v>18</v>
      </c>
      <c r="J359" s="232" t="s">
        <v>18</v>
      </c>
      <c r="K359" s="237">
        <v>242510359</v>
      </c>
      <c r="L359" s="237" t="s">
        <v>576</v>
      </c>
      <c r="M359" s="234" t="s">
        <v>3902</v>
      </c>
      <c r="N359" s="234" t="s">
        <v>3903</v>
      </c>
      <c r="O359" s="234" t="s">
        <v>577</v>
      </c>
      <c r="P359" s="234" t="s">
        <v>3124</v>
      </c>
      <c r="Q359" s="232" t="s">
        <v>18</v>
      </c>
    </row>
    <row r="360" customHeight="1" spans="3:17">
      <c r="C360" s="233">
        <v>242510360</v>
      </c>
      <c r="D360" s="233" t="s">
        <v>672</v>
      </c>
      <c r="E360" s="234" t="s">
        <v>3904</v>
      </c>
      <c r="F360" s="234" t="s">
        <v>3905</v>
      </c>
      <c r="G360" s="235" t="s">
        <v>673</v>
      </c>
      <c r="H360" s="234" t="s">
        <v>3124</v>
      </c>
      <c r="I360" s="236" t="s">
        <v>23</v>
      </c>
      <c r="J360" s="232" t="s">
        <v>23</v>
      </c>
      <c r="K360" s="237">
        <v>242510360</v>
      </c>
      <c r="L360" s="237" t="s">
        <v>672</v>
      </c>
      <c r="M360" s="234" t="s">
        <v>3904</v>
      </c>
      <c r="N360" s="234" t="s">
        <v>3905</v>
      </c>
      <c r="O360" s="234" t="s">
        <v>673</v>
      </c>
      <c r="P360" s="234" t="s">
        <v>3124</v>
      </c>
      <c r="Q360" s="232" t="s">
        <v>23</v>
      </c>
    </row>
    <row r="361" customHeight="1" spans="3:17">
      <c r="C361" s="233">
        <v>242510361</v>
      </c>
      <c r="D361" s="233" t="s">
        <v>582</v>
      </c>
      <c r="E361" s="234" t="s">
        <v>3836</v>
      </c>
      <c r="F361" s="234" t="s">
        <v>3906</v>
      </c>
      <c r="G361" s="235" t="s">
        <v>583</v>
      </c>
      <c r="H361" s="234" t="s">
        <v>3124</v>
      </c>
      <c r="I361" s="236" t="s">
        <v>23</v>
      </c>
      <c r="J361" s="232" t="s">
        <v>23</v>
      </c>
      <c r="K361" s="237">
        <v>242510361</v>
      </c>
      <c r="L361" s="237" t="s">
        <v>582</v>
      </c>
      <c r="M361" s="234" t="s">
        <v>3836</v>
      </c>
      <c r="N361" s="234" t="s">
        <v>3906</v>
      </c>
      <c r="O361" s="234" t="s">
        <v>583</v>
      </c>
      <c r="P361" s="234" t="s">
        <v>3124</v>
      </c>
      <c r="Q361" s="232" t="s">
        <v>23</v>
      </c>
    </row>
    <row r="362" customHeight="1" spans="3:17">
      <c r="C362" s="233">
        <v>242510362</v>
      </c>
      <c r="D362" s="233" t="s">
        <v>844</v>
      </c>
      <c r="E362" s="234" t="s">
        <v>3907</v>
      </c>
      <c r="F362" s="234" t="s">
        <v>3908</v>
      </c>
      <c r="G362" s="235" t="s">
        <v>845</v>
      </c>
      <c r="H362" s="234" t="s">
        <v>3124</v>
      </c>
      <c r="I362" s="236" t="s">
        <v>18</v>
      </c>
      <c r="J362" s="232" t="s">
        <v>18</v>
      </c>
      <c r="K362" s="237">
        <v>242510362</v>
      </c>
      <c r="L362" s="237" t="s">
        <v>844</v>
      </c>
      <c r="M362" s="234" t="s">
        <v>3907</v>
      </c>
      <c r="N362" s="234" t="s">
        <v>3908</v>
      </c>
      <c r="O362" s="234" t="s">
        <v>845</v>
      </c>
      <c r="P362" s="234" t="s">
        <v>3124</v>
      </c>
      <c r="Q362" s="232" t="s">
        <v>18</v>
      </c>
    </row>
    <row r="363" customHeight="1" spans="3:17">
      <c r="C363" s="233">
        <v>242510363</v>
      </c>
      <c r="D363" s="233" t="s">
        <v>266</v>
      </c>
      <c r="E363" s="234" t="s">
        <v>3909</v>
      </c>
      <c r="F363" s="234" t="s">
        <v>3910</v>
      </c>
      <c r="G363" s="235" t="s">
        <v>267</v>
      </c>
      <c r="H363" s="234" t="s">
        <v>3312</v>
      </c>
      <c r="I363" s="236" t="s">
        <v>18</v>
      </c>
      <c r="J363" s="232" t="s">
        <v>18</v>
      </c>
      <c r="K363" s="237">
        <v>242510363</v>
      </c>
      <c r="L363" s="237" t="s">
        <v>266</v>
      </c>
      <c r="M363" s="234" t="s">
        <v>3909</v>
      </c>
      <c r="N363" s="234" t="s">
        <v>3910</v>
      </c>
      <c r="O363" s="234" t="s">
        <v>267</v>
      </c>
      <c r="P363" s="234" t="s">
        <v>3312</v>
      </c>
      <c r="Q363" s="232" t="s">
        <v>18</v>
      </c>
    </row>
    <row r="364" customHeight="1" spans="3:17">
      <c r="C364" s="233">
        <v>242510364</v>
      </c>
      <c r="D364" s="233" t="s">
        <v>350</v>
      </c>
      <c r="E364" s="234" t="s">
        <v>3911</v>
      </c>
      <c r="F364" s="234" t="s">
        <v>3912</v>
      </c>
      <c r="G364" s="235" t="s">
        <v>351</v>
      </c>
      <c r="H364" s="234" t="s">
        <v>3129</v>
      </c>
      <c r="I364" s="236" t="s">
        <v>18</v>
      </c>
      <c r="J364" s="232" t="s">
        <v>18</v>
      </c>
      <c r="K364" s="237">
        <v>242510364</v>
      </c>
      <c r="L364" s="237" t="s">
        <v>350</v>
      </c>
      <c r="M364" s="234" t="s">
        <v>3911</v>
      </c>
      <c r="N364" s="234" t="s">
        <v>3912</v>
      </c>
      <c r="O364" s="234" t="s">
        <v>351</v>
      </c>
      <c r="P364" s="234" t="s">
        <v>3129</v>
      </c>
      <c r="Q364" s="232" t="s">
        <v>18</v>
      </c>
    </row>
    <row r="365" customHeight="1" spans="3:17">
      <c r="C365" s="233">
        <v>242510365</v>
      </c>
      <c r="D365" s="233" t="s">
        <v>854</v>
      </c>
      <c r="E365" s="234" t="s">
        <v>3913</v>
      </c>
      <c r="F365" s="234" t="s">
        <v>3914</v>
      </c>
      <c r="G365" s="235" t="s">
        <v>855</v>
      </c>
      <c r="H365" s="234" t="s">
        <v>3203</v>
      </c>
      <c r="I365" s="236" t="s">
        <v>18</v>
      </c>
      <c r="J365" s="232" t="s">
        <v>18</v>
      </c>
      <c r="K365" s="237">
        <v>242510365</v>
      </c>
      <c r="L365" s="237" t="s">
        <v>854</v>
      </c>
      <c r="M365" s="234" t="s">
        <v>3913</v>
      </c>
      <c r="N365" s="234" t="s">
        <v>3914</v>
      </c>
      <c r="O365" s="234" t="s">
        <v>855</v>
      </c>
      <c r="P365" s="234" t="s">
        <v>3203</v>
      </c>
      <c r="Q365" s="232" t="s">
        <v>18</v>
      </c>
    </row>
    <row r="366" customHeight="1" spans="3:17">
      <c r="C366" s="233">
        <v>242510366</v>
      </c>
      <c r="D366" s="233" t="s">
        <v>778</v>
      </c>
      <c r="E366" s="234" t="s">
        <v>3915</v>
      </c>
      <c r="F366" s="234" t="s">
        <v>3916</v>
      </c>
      <c r="G366" s="235" t="s">
        <v>779</v>
      </c>
      <c r="H366" s="234" t="s">
        <v>3124</v>
      </c>
      <c r="I366" s="236" t="s">
        <v>23</v>
      </c>
      <c r="J366" s="232" t="s">
        <v>23</v>
      </c>
      <c r="K366" s="237">
        <v>242510366</v>
      </c>
      <c r="L366" s="237" t="s">
        <v>778</v>
      </c>
      <c r="M366" s="234" t="s">
        <v>3915</v>
      </c>
      <c r="N366" s="234" t="s">
        <v>3916</v>
      </c>
      <c r="O366" s="234" t="s">
        <v>779</v>
      </c>
      <c r="P366" s="234" t="s">
        <v>3124</v>
      </c>
      <c r="Q366" s="232" t="s">
        <v>23</v>
      </c>
    </row>
    <row r="367" customHeight="1" spans="3:17">
      <c r="C367" s="233">
        <v>242510367</v>
      </c>
      <c r="D367" s="233" t="s">
        <v>598</v>
      </c>
      <c r="E367" s="234" t="s">
        <v>3917</v>
      </c>
      <c r="F367" s="234" t="s">
        <v>3157</v>
      </c>
      <c r="G367" s="235" t="s">
        <v>599</v>
      </c>
      <c r="H367" s="234" t="s">
        <v>3186</v>
      </c>
      <c r="I367" s="236" t="s">
        <v>18</v>
      </c>
      <c r="J367" s="232" t="s">
        <v>18</v>
      </c>
      <c r="K367" s="237">
        <v>242510367</v>
      </c>
      <c r="L367" s="237" t="s">
        <v>598</v>
      </c>
      <c r="M367" s="234" t="s">
        <v>3917</v>
      </c>
      <c r="N367" s="234" t="s">
        <v>3157</v>
      </c>
      <c r="O367" s="234" t="s">
        <v>599</v>
      </c>
      <c r="P367" s="234" t="s">
        <v>3186</v>
      </c>
      <c r="Q367" s="232" t="s">
        <v>18</v>
      </c>
    </row>
    <row r="368" customHeight="1" spans="3:17">
      <c r="C368" s="233">
        <v>242510368</v>
      </c>
      <c r="D368" s="233" t="s">
        <v>784</v>
      </c>
      <c r="E368" s="234" t="s">
        <v>3918</v>
      </c>
      <c r="F368" s="234" t="s">
        <v>3919</v>
      </c>
      <c r="G368" s="235" t="s">
        <v>785</v>
      </c>
      <c r="H368" s="234" t="s">
        <v>3208</v>
      </c>
      <c r="I368" s="236" t="s">
        <v>18</v>
      </c>
      <c r="J368" s="232" t="s">
        <v>18</v>
      </c>
      <c r="K368" s="237">
        <v>242510368</v>
      </c>
      <c r="L368" s="237" t="s">
        <v>784</v>
      </c>
      <c r="M368" s="234" t="s">
        <v>3918</v>
      </c>
      <c r="N368" s="234" t="s">
        <v>3919</v>
      </c>
      <c r="O368" s="234" t="s">
        <v>785</v>
      </c>
      <c r="P368" s="234" t="s">
        <v>3208</v>
      </c>
      <c r="Q368" s="232" t="s">
        <v>18</v>
      </c>
    </row>
    <row r="369" customHeight="1" spans="3:17">
      <c r="C369" s="233">
        <v>242510369</v>
      </c>
      <c r="D369" s="233" t="s">
        <v>130</v>
      </c>
      <c r="E369" s="234" t="s">
        <v>3920</v>
      </c>
      <c r="F369" s="234" t="s">
        <v>3921</v>
      </c>
      <c r="G369" s="235" t="s">
        <v>131</v>
      </c>
      <c r="H369" s="234" t="s">
        <v>3124</v>
      </c>
      <c r="I369" s="236" t="s">
        <v>18</v>
      </c>
      <c r="J369" s="232" t="s">
        <v>18</v>
      </c>
      <c r="K369" s="237">
        <v>242510369</v>
      </c>
      <c r="L369" s="237" t="s">
        <v>130</v>
      </c>
      <c r="M369" s="234" t="s">
        <v>3920</v>
      </c>
      <c r="N369" s="234" t="s">
        <v>3921</v>
      </c>
      <c r="O369" s="234" t="s">
        <v>131</v>
      </c>
      <c r="P369" s="234" t="s">
        <v>3124</v>
      </c>
      <c r="Q369" s="232" t="s">
        <v>18</v>
      </c>
    </row>
    <row r="370" customHeight="1" spans="3:17">
      <c r="C370" s="233">
        <v>242510370</v>
      </c>
      <c r="D370" s="233" t="s">
        <v>360</v>
      </c>
      <c r="E370" s="234" t="s">
        <v>3922</v>
      </c>
      <c r="F370" s="234" t="s">
        <v>3923</v>
      </c>
      <c r="G370" s="235" t="s">
        <v>361</v>
      </c>
      <c r="H370" s="234" t="s">
        <v>3732</v>
      </c>
      <c r="I370" s="236" t="s">
        <v>18</v>
      </c>
      <c r="J370" s="232" t="s">
        <v>18</v>
      </c>
      <c r="K370" s="237">
        <v>242510370</v>
      </c>
      <c r="L370" s="237" t="s">
        <v>360</v>
      </c>
      <c r="M370" s="234" t="s">
        <v>3922</v>
      </c>
      <c r="N370" s="234" t="s">
        <v>3923</v>
      </c>
      <c r="O370" s="234" t="s">
        <v>361</v>
      </c>
      <c r="P370" s="234" t="s">
        <v>3732</v>
      </c>
      <c r="Q370" s="232" t="s">
        <v>18</v>
      </c>
    </row>
    <row r="371" customHeight="1" spans="3:17">
      <c r="C371" s="233">
        <v>242510371</v>
      </c>
      <c r="D371" s="233" t="s">
        <v>692</v>
      </c>
      <c r="E371" s="234" t="s">
        <v>3924</v>
      </c>
      <c r="F371" s="234" t="s">
        <v>3925</v>
      </c>
      <c r="G371" s="235" t="s">
        <v>693</v>
      </c>
      <c r="H371" s="234" t="s">
        <v>3181</v>
      </c>
      <c r="I371" s="236" t="s">
        <v>23</v>
      </c>
      <c r="J371" s="232" t="s">
        <v>23</v>
      </c>
      <c r="K371" s="237">
        <v>242510371</v>
      </c>
      <c r="L371" s="237" t="s">
        <v>692</v>
      </c>
      <c r="M371" s="234" t="s">
        <v>3924</v>
      </c>
      <c r="N371" s="234" t="s">
        <v>3925</v>
      </c>
      <c r="O371" s="234" t="s">
        <v>693</v>
      </c>
      <c r="P371" s="234" t="s">
        <v>3181</v>
      </c>
      <c r="Q371" s="232" t="s">
        <v>23</v>
      </c>
    </row>
    <row r="372" customHeight="1" spans="3:17">
      <c r="C372" s="233">
        <v>242510372</v>
      </c>
      <c r="D372" s="233" t="s">
        <v>864</v>
      </c>
      <c r="E372" s="234" t="s">
        <v>3926</v>
      </c>
      <c r="F372" s="234" t="s">
        <v>3927</v>
      </c>
      <c r="G372" s="235" t="s">
        <v>865</v>
      </c>
      <c r="H372" s="234" t="s">
        <v>3129</v>
      </c>
      <c r="I372" s="236" t="s">
        <v>23</v>
      </c>
      <c r="J372" s="232" t="s">
        <v>23</v>
      </c>
      <c r="K372" s="237">
        <v>242510372</v>
      </c>
      <c r="L372" s="237" t="s">
        <v>864</v>
      </c>
      <c r="M372" s="234" t="s">
        <v>3926</v>
      </c>
      <c r="N372" s="234" t="s">
        <v>3927</v>
      </c>
      <c r="O372" s="234" t="s">
        <v>865</v>
      </c>
      <c r="P372" s="234" t="s">
        <v>3129</v>
      </c>
      <c r="Q372" s="232" t="s">
        <v>23</v>
      </c>
    </row>
    <row r="373" customHeight="1" spans="3:17">
      <c r="C373" s="233">
        <v>242510373</v>
      </c>
      <c r="D373" s="233" t="s">
        <v>292</v>
      </c>
      <c r="E373" s="234" t="s">
        <v>3928</v>
      </c>
      <c r="F373" s="234" t="s">
        <v>3929</v>
      </c>
      <c r="G373" s="235" t="s">
        <v>293</v>
      </c>
      <c r="H373" s="234" t="s">
        <v>3124</v>
      </c>
      <c r="I373" s="236" t="s">
        <v>23</v>
      </c>
      <c r="J373" s="232" t="s">
        <v>23</v>
      </c>
      <c r="K373" s="237">
        <v>242510373</v>
      </c>
      <c r="L373" s="237" t="s">
        <v>292</v>
      </c>
      <c r="M373" s="234" t="s">
        <v>3928</v>
      </c>
      <c r="N373" s="234" t="s">
        <v>3929</v>
      </c>
      <c r="O373" s="234" t="s">
        <v>293</v>
      </c>
      <c r="P373" s="234" t="s">
        <v>3124</v>
      </c>
      <c r="Q373" s="232" t="s">
        <v>23</v>
      </c>
    </row>
    <row r="374" customHeight="1" spans="3:17">
      <c r="C374" s="233">
        <v>242510374</v>
      </c>
      <c r="D374" s="233" t="s">
        <v>608</v>
      </c>
      <c r="E374" s="234" t="s">
        <v>3930</v>
      </c>
      <c r="F374" s="234" t="s">
        <v>3931</v>
      </c>
      <c r="G374" s="235" t="s">
        <v>609</v>
      </c>
      <c r="H374" s="234" t="s">
        <v>3248</v>
      </c>
      <c r="I374" s="239" t="s">
        <v>23</v>
      </c>
      <c r="J374" s="240" t="s">
        <v>23</v>
      </c>
      <c r="K374" s="237">
        <v>242510374</v>
      </c>
      <c r="L374" s="237" t="s">
        <v>608</v>
      </c>
      <c r="M374" s="234" t="s">
        <v>3930</v>
      </c>
      <c r="N374" s="234" t="s">
        <v>3931</v>
      </c>
      <c r="O374" s="234" t="s">
        <v>609</v>
      </c>
      <c r="P374" s="234" t="s">
        <v>3248</v>
      </c>
      <c r="Q374" s="240" t="s">
        <v>23</v>
      </c>
    </row>
    <row r="375" customHeight="1" spans="3:17">
      <c r="C375" s="233">
        <v>242510375</v>
      </c>
      <c r="D375" s="233" t="s">
        <v>612</v>
      </c>
      <c r="E375" s="234" t="s">
        <v>3932</v>
      </c>
      <c r="F375" s="234" t="s">
        <v>3933</v>
      </c>
      <c r="G375" s="235" t="s">
        <v>613</v>
      </c>
      <c r="H375" s="234" t="s">
        <v>3124</v>
      </c>
      <c r="I375" s="236" t="s">
        <v>23</v>
      </c>
      <c r="J375" s="232" t="s">
        <v>23</v>
      </c>
      <c r="K375" s="237">
        <v>242510375</v>
      </c>
      <c r="L375" s="237" t="s">
        <v>612</v>
      </c>
      <c r="M375" s="234" t="s">
        <v>3932</v>
      </c>
      <c r="N375" s="234" t="s">
        <v>3933</v>
      </c>
      <c r="O375" s="234" t="s">
        <v>613</v>
      </c>
      <c r="P375" s="234" t="s">
        <v>3124</v>
      </c>
      <c r="Q375" s="232" t="s">
        <v>23</v>
      </c>
    </row>
    <row r="376" customHeight="1" spans="3:17">
      <c r="C376" s="233">
        <v>242510376</v>
      </c>
      <c r="D376" s="233" t="s">
        <v>364</v>
      </c>
      <c r="E376" s="234" t="s">
        <v>3934</v>
      </c>
      <c r="F376" s="234" t="s">
        <v>3935</v>
      </c>
      <c r="G376" s="235" t="s">
        <v>365</v>
      </c>
      <c r="H376" s="234" t="s">
        <v>3124</v>
      </c>
      <c r="I376" s="236" t="s">
        <v>18</v>
      </c>
      <c r="J376" s="232" t="s">
        <v>18</v>
      </c>
      <c r="K376" s="237">
        <v>242510376</v>
      </c>
      <c r="L376" s="237" t="s">
        <v>364</v>
      </c>
      <c r="M376" s="234" t="s">
        <v>3934</v>
      </c>
      <c r="N376" s="234" t="s">
        <v>3935</v>
      </c>
      <c r="O376" s="234" t="s">
        <v>365</v>
      </c>
      <c r="P376" s="234" t="s">
        <v>3124</v>
      </c>
      <c r="Q376" s="232" t="s">
        <v>18</v>
      </c>
    </row>
    <row r="377" customHeight="1" spans="3:17">
      <c r="C377" s="233">
        <v>242510377</v>
      </c>
      <c r="D377" s="233" t="s">
        <v>526</v>
      </c>
      <c r="E377" s="234" t="s">
        <v>3936</v>
      </c>
      <c r="F377" s="234" t="s">
        <v>3937</v>
      </c>
      <c r="G377" s="235" t="s">
        <v>527</v>
      </c>
      <c r="H377" s="234" t="s">
        <v>3124</v>
      </c>
      <c r="I377" s="236" t="s">
        <v>18</v>
      </c>
      <c r="J377" s="232" t="s">
        <v>18</v>
      </c>
      <c r="K377" s="237">
        <v>242510377</v>
      </c>
      <c r="L377" s="237" t="s">
        <v>526</v>
      </c>
      <c r="M377" s="234" t="s">
        <v>3936</v>
      </c>
      <c r="N377" s="234" t="s">
        <v>3937</v>
      </c>
      <c r="O377" s="234" t="s">
        <v>527</v>
      </c>
      <c r="P377" s="234" t="s">
        <v>3124</v>
      </c>
      <c r="Q377" s="232" t="s">
        <v>18</v>
      </c>
    </row>
    <row r="378" customHeight="1" spans="3:17">
      <c r="C378" s="233">
        <v>242510378</v>
      </c>
      <c r="D378" s="233" t="s">
        <v>71</v>
      </c>
      <c r="E378" s="234" t="s">
        <v>3938</v>
      </c>
      <c r="F378" s="234" t="s">
        <v>3939</v>
      </c>
      <c r="G378" s="235" t="s">
        <v>72</v>
      </c>
      <c r="H378" s="234" t="s">
        <v>3940</v>
      </c>
      <c r="I378" s="236" t="s">
        <v>18</v>
      </c>
      <c r="J378" s="232" t="s">
        <v>18</v>
      </c>
      <c r="K378" s="237">
        <v>242510378</v>
      </c>
      <c r="L378" s="237" t="s">
        <v>71</v>
      </c>
      <c r="M378" s="234" t="s">
        <v>3938</v>
      </c>
      <c r="N378" s="234" t="s">
        <v>3939</v>
      </c>
      <c r="O378" s="234" t="s">
        <v>72</v>
      </c>
      <c r="P378" s="234" t="s">
        <v>3940</v>
      </c>
      <c r="Q378" s="232" t="s">
        <v>18</v>
      </c>
    </row>
    <row r="379" customHeight="1" spans="3:17">
      <c r="C379" s="233">
        <v>242510379</v>
      </c>
      <c r="D379" s="233" t="s">
        <v>706</v>
      </c>
      <c r="E379" s="234" t="s">
        <v>3941</v>
      </c>
      <c r="F379" s="234" t="s">
        <v>3942</v>
      </c>
      <c r="G379" s="235" t="s">
        <v>707</v>
      </c>
      <c r="H379" s="234" t="s">
        <v>3849</v>
      </c>
      <c r="I379" s="236" t="s">
        <v>18</v>
      </c>
      <c r="J379" s="232" t="s">
        <v>18</v>
      </c>
      <c r="K379" s="237">
        <v>242510379</v>
      </c>
      <c r="L379" s="237" t="s">
        <v>706</v>
      </c>
      <c r="M379" s="234" t="s">
        <v>3941</v>
      </c>
      <c r="N379" s="234" t="s">
        <v>3942</v>
      </c>
      <c r="O379" s="234" t="s">
        <v>707</v>
      </c>
      <c r="P379" s="234" t="s">
        <v>3849</v>
      </c>
      <c r="Q379" s="232" t="s">
        <v>18</v>
      </c>
    </row>
    <row r="380" customHeight="1" spans="3:17">
      <c r="C380" s="233">
        <v>242510380</v>
      </c>
      <c r="D380" s="233" t="s">
        <v>234</v>
      </c>
      <c r="E380" s="234" t="s">
        <v>3943</v>
      </c>
      <c r="F380" s="234" t="s">
        <v>3944</v>
      </c>
      <c r="G380" s="235" t="s">
        <v>235</v>
      </c>
      <c r="H380" s="234" t="s">
        <v>3780</v>
      </c>
      <c r="I380" s="236" t="s">
        <v>18</v>
      </c>
      <c r="J380" s="232" t="s">
        <v>18</v>
      </c>
      <c r="K380" s="237">
        <v>242510380</v>
      </c>
      <c r="L380" s="237" t="s">
        <v>234</v>
      </c>
      <c r="M380" s="234" t="s">
        <v>3943</v>
      </c>
      <c r="N380" s="234" t="s">
        <v>3944</v>
      </c>
      <c r="O380" s="234" t="s">
        <v>235</v>
      </c>
      <c r="P380" s="234" t="s">
        <v>3780</v>
      </c>
      <c r="Q380" s="232" t="s">
        <v>18</v>
      </c>
    </row>
    <row r="381" customHeight="1" spans="3:17">
      <c r="C381" s="233">
        <v>242510381</v>
      </c>
      <c r="D381" s="233" t="s">
        <v>238</v>
      </c>
      <c r="E381" s="234" t="s">
        <v>3945</v>
      </c>
      <c r="F381" s="234" t="s">
        <v>3946</v>
      </c>
      <c r="G381" s="235" t="s">
        <v>239</v>
      </c>
      <c r="H381" s="234" t="s">
        <v>3124</v>
      </c>
      <c r="I381" s="236" t="s">
        <v>23</v>
      </c>
      <c r="J381" s="232" t="s">
        <v>23</v>
      </c>
      <c r="K381" s="237">
        <v>242510381</v>
      </c>
      <c r="L381" s="237" t="s">
        <v>238</v>
      </c>
      <c r="M381" s="234" t="s">
        <v>3945</v>
      </c>
      <c r="N381" s="234" t="s">
        <v>3946</v>
      </c>
      <c r="O381" s="234" t="s">
        <v>239</v>
      </c>
      <c r="P381" s="234" t="s">
        <v>3124</v>
      </c>
      <c r="Q381" s="232" t="s">
        <v>23</v>
      </c>
    </row>
    <row r="382" customHeight="1" spans="3:17">
      <c r="C382" s="233">
        <v>242510382</v>
      </c>
      <c r="D382" s="233" t="s">
        <v>538</v>
      </c>
      <c r="E382" s="234" t="s">
        <v>3947</v>
      </c>
      <c r="F382" s="234" t="s">
        <v>3948</v>
      </c>
      <c r="G382" s="235" t="s">
        <v>539</v>
      </c>
      <c r="H382" s="234" t="s">
        <v>3124</v>
      </c>
      <c r="I382" s="236" t="s">
        <v>23</v>
      </c>
      <c r="J382" s="232" t="s">
        <v>23</v>
      </c>
      <c r="K382" s="237">
        <v>242510382</v>
      </c>
      <c r="L382" s="237" t="s">
        <v>538</v>
      </c>
      <c r="M382" s="234" t="s">
        <v>3947</v>
      </c>
      <c r="N382" s="234" t="s">
        <v>3948</v>
      </c>
      <c r="O382" s="234" t="s">
        <v>539</v>
      </c>
      <c r="P382" s="234" t="s">
        <v>3124</v>
      </c>
      <c r="Q382" s="232" t="s">
        <v>23</v>
      </c>
    </row>
    <row r="383" customHeight="1" spans="3:17">
      <c r="C383" s="233">
        <v>242510383</v>
      </c>
      <c r="D383" s="233" t="s">
        <v>634</v>
      </c>
      <c r="E383" s="234" t="s">
        <v>3949</v>
      </c>
      <c r="F383" s="234" t="s">
        <v>3950</v>
      </c>
      <c r="G383" s="235" t="s">
        <v>635</v>
      </c>
      <c r="H383" s="235" t="s">
        <v>3281</v>
      </c>
      <c r="I383" s="236" t="s">
        <v>23</v>
      </c>
      <c r="J383" s="232" t="s">
        <v>23</v>
      </c>
      <c r="K383" s="237">
        <v>242510383</v>
      </c>
      <c r="L383" s="237" t="s">
        <v>634</v>
      </c>
      <c r="M383" s="234" t="s">
        <v>3949</v>
      </c>
      <c r="N383" s="234" t="s">
        <v>3950</v>
      </c>
      <c r="O383" s="234" t="s">
        <v>635</v>
      </c>
      <c r="P383" s="234" t="s">
        <v>3281</v>
      </c>
      <c r="Q383" s="232" t="s">
        <v>23</v>
      </c>
    </row>
    <row r="384" customHeight="1" spans="3:17">
      <c r="C384" s="233">
        <v>242510384</v>
      </c>
      <c r="D384" s="233" t="s">
        <v>884</v>
      </c>
      <c r="E384" s="234" t="s">
        <v>3951</v>
      </c>
      <c r="F384" s="234" t="s">
        <v>3952</v>
      </c>
      <c r="G384" s="235" t="s">
        <v>885</v>
      </c>
      <c r="H384" s="234" t="s">
        <v>3124</v>
      </c>
      <c r="I384" s="236" t="s">
        <v>23</v>
      </c>
      <c r="J384" s="232" t="s">
        <v>23</v>
      </c>
      <c r="K384" s="237">
        <v>242510384</v>
      </c>
      <c r="L384" s="237" t="s">
        <v>884</v>
      </c>
      <c r="M384" s="234" t="s">
        <v>3951</v>
      </c>
      <c r="N384" s="234" t="s">
        <v>3952</v>
      </c>
      <c r="O384" s="234" t="s">
        <v>885</v>
      </c>
      <c r="P384" s="234" t="s">
        <v>3124</v>
      </c>
      <c r="Q384" s="232" t="s">
        <v>23</v>
      </c>
    </row>
    <row r="385" customHeight="1" spans="3:17">
      <c r="C385" s="233">
        <v>242510385</v>
      </c>
      <c r="D385" s="233" t="s">
        <v>242</v>
      </c>
      <c r="E385" s="234" t="s">
        <v>3953</v>
      </c>
      <c r="F385" s="234" t="s">
        <v>3954</v>
      </c>
      <c r="G385" s="235" t="s">
        <v>243</v>
      </c>
      <c r="H385" s="234" t="s">
        <v>3124</v>
      </c>
      <c r="I385" s="236" t="s">
        <v>23</v>
      </c>
      <c r="J385" s="232" t="s">
        <v>23</v>
      </c>
      <c r="K385" s="237">
        <v>242510385</v>
      </c>
      <c r="L385" s="237" t="s">
        <v>242</v>
      </c>
      <c r="M385" s="234" t="s">
        <v>3953</v>
      </c>
      <c r="N385" s="234" t="s">
        <v>3954</v>
      </c>
      <c r="O385" s="234" t="s">
        <v>243</v>
      </c>
      <c r="P385" s="234" t="s">
        <v>3124</v>
      </c>
      <c r="Q385" s="232" t="s">
        <v>23</v>
      </c>
    </row>
    <row r="386" customHeight="1" spans="3:17">
      <c r="C386" s="233">
        <v>242510386</v>
      </c>
      <c r="D386" s="233" t="s">
        <v>550</v>
      </c>
      <c r="E386" s="234" t="s">
        <v>3955</v>
      </c>
      <c r="F386" s="234" t="s">
        <v>3956</v>
      </c>
      <c r="G386" s="235" t="s">
        <v>551</v>
      </c>
      <c r="H386" s="234" t="s">
        <v>3208</v>
      </c>
      <c r="I386" s="236" t="s">
        <v>18</v>
      </c>
      <c r="J386" s="232" t="s">
        <v>18</v>
      </c>
      <c r="K386" s="237">
        <v>242510386</v>
      </c>
      <c r="L386" s="237" t="s">
        <v>550</v>
      </c>
      <c r="M386" s="234" t="s">
        <v>3955</v>
      </c>
      <c r="N386" s="234" t="s">
        <v>3956</v>
      </c>
      <c r="O386" s="234" t="s">
        <v>551</v>
      </c>
      <c r="P386" s="234" t="s">
        <v>3208</v>
      </c>
      <c r="Q386" s="232" t="s">
        <v>18</v>
      </c>
    </row>
    <row r="387" customHeight="1" spans="3:17">
      <c r="C387" s="233">
        <v>242510387</v>
      </c>
      <c r="D387" s="233" t="s">
        <v>392</v>
      </c>
      <c r="E387" s="234" t="s">
        <v>3957</v>
      </c>
      <c r="F387" s="234" t="s">
        <v>3958</v>
      </c>
      <c r="G387" s="235" t="s">
        <v>393</v>
      </c>
      <c r="H387" s="234" t="s">
        <v>3124</v>
      </c>
      <c r="I387" s="236" t="s">
        <v>18</v>
      </c>
      <c r="J387" s="232" t="s">
        <v>18</v>
      </c>
      <c r="K387" s="237">
        <v>242510387</v>
      </c>
      <c r="L387" s="237" t="s">
        <v>392</v>
      </c>
      <c r="M387" s="234" t="s">
        <v>3957</v>
      </c>
      <c r="N387" s="234" t="s">
        <v>3958</v>
      </c>
      <c r="O387" s="234" t="s">
        <v>393</v>
      </c>
      <c r="P387" s="234" t="s">
        <v>3124</v>
      </c>
      <c r="Q387" s="232" t="s">
        <v>18</v>
      </c>
    </row>
    <row r="388" customHeight="1" spans="3:17">
      <c r="C388" s="233">
        <v>242510388</v>
      </c>
      <c r="D388" s="233" t="s">
        <v>900</v>
      </c>
      <c r="E388" s="234" t="s">
        <v>3959</v>
      </c>
      <c r="F388" s="234" t="s">
        <v>3960</v>
      </c>
      <c r="G388" s="235" t="s">
        <v>901</v>
      </c>
      <c r="H388" s="235" t="s">
        <v>3124</v>
      </c>
      <c r="I388" s="236" t="s">
        <v>18</v>
      </c>
      <c r="J388" s="232" t="s">
        <v>18</v>
      </c>
      <c r="K388" s="237">
        <v>242510388</v>
      </c>
      <c r="L388" s="237" t="s">
        <v>900</v>
      </c>
      <c r="M388" s="234" t="s">
        <v>3959</v>
      </c>
      <c r="N388" s="234" t="s">
        <v>3960</v>
      </c>
      <c r="O388" s="234" t="s">
        <v>901</v>
      </c>
      <c r="P388" s="234" t="s">
        <v>3124</v>
      </c>
      <c r="Q388" s="232" t="s">
        <v>18</v>
      </c>
    </row>
    <row r="389" customHeight="1" spans="3:17">
      <c r="C389" s="233">
        <v>242510389</v>
      </c>
      <c r="D389" s="233" t="s">
        <v>736</v>
      </c>
      <c r="E389" s="234" t="s">
        <v>3961</v>
      </c>
      <c r="F389" s="234" t="s">
        <v>3962</v>
      </c>
      <c r="G389" s="235" t="s">
        <v>737</v>
      </c>
      <c r="H389" s="234" t="s">
        <v>3963</v>
      </c>
      <c r="I389" s="236" t="s">
        <v>18</v>
      </c>
      <c r="J389" s="232" t="s">
        <v>18</v>
      </c>
      <c r="K389" s="237">
        <v>242510389</v>
      </c>
      <c r="L389" s="237" t="s">
        <v>736</v>
      </c>
      <c r="M389" s="234" t="s">
        <v>3961</v>
      </c>
      <c r="N389" s="234" t="s">
        <v>3962</v>
      </c>
      <c r="O389" s="234" t="s">
        <v>737</v>
      </c>
      <c r="P389" s="234" t="s">
        <v>3963</v>
      </c>
      <c r="Q389" s="232" t="s">
        <v>18</v>
      </c>
    </row>
    <row r="390" customHeight="1" spans="3:17">
      <c r="C390" s="233">
        <v>242510390</v>
      </c>
      <c r="D390" s="233" t="s">
        <v>394</v>
      </c>
      <c r="E390" s="234" t="s">
        <v>3964</v>
      </c>
      <c r="F390" s="234" t="s">
        <v>3965</v>
      </c>
      <c r="G390" s="235" t="s">
        <v>395</v>
      </c>
      <c r="H390" s="234" t="s">
        <v>3732</v>
      </c>
      <c r="I390" s="236" t="s">
        <v>18</v>
      </c>
      <c r="J390" s="232" t="s">
        <v>18</v>
      </c>
      <c r="K390" s="243">
        <v>242510390</v>
      </c>
      <c r="L390" s="237" t="s">
        <v>394</v>
      </c>
      <c r="M390" s="234" t="s">
        <v>3964</v>
      </c>
      <c r="N390" s="234" t="s">
        <v>3965</v>
      </c>
      <c r="O390" s="234" t="s">
        <v>395</v>
      </c>
      <c r="P390" s="234" t="s">
        <v>3732</v>
      </c>
      <c r="Q390" s="232" t="s">
        <v>18</v>
      </c>
    </row>
    <row r="391" customHeight="1" spans="3:17">
      <c r="C391" s="233">
        <v>242510391</v>
      </c>
      <c r="D391" s="233" t="s">
        <v>752</v>
      </c>
      <c r="E391" s="234" t="s">
        <v>3966</v>
      </c>
      <c r="F391" s="234" t="s">
        <v>3967</v>
      </c>
      <c r="G391" s="235" t="s">
        <v>753</v>
      </c>
      <c r="H391" s="234" t="s">
        <v>3124</v>
      </c>
      <c r="I391" s="236" t="s">
        <v>23</v>
      </c>
      <c r="J391" s="232" t="s">
        <v>23</v>
      </c>
      <c r="K391" s="237">
        <v>242510391</v>
      </c>
      <c r="L391" s="237" t="s">
        <v>752</v>
      </c>
      <c r="M391" s="234" t="s">
        <v>3966</v>
      </c>
      <c r="N391" s="234" t="s">
        <v>3967</v>
      </c>
      <c r="O391" s="234" t="s">
        <v>753</v>
      </c>
      <c r="P391" s="234" t="s">
        <v>3124</v>
      </c>
      <c r="Q391" s="232" t="s">
        <v>23</v>
      </c>
    </row>
    <row r="392" customHeight="1" spans="3:17">
      <c r="C392" s="233">
        <v>242510392</v>
      </c>
      <c r="D392" s="233" t="s">
        <v>480</v>
      </c>
      <c r="E392" s="234" t="s">
        <v>3968</v>
      </c>
      <c r="F392" s="234" t="s">
        <v>3969</v>
      </c>
      <c r="G392" s="235" t="s">
        <v>481</v>
      </c>
      <c r="H392" s="234" t="s">
        <v>3124</v>
      </c>
      <c r="I392" s="236" t="s">
        <v>18</v>
      </c>
      <c r="J392" s="232" t="s">
        <v>18</v>
      </c>
      <c r="K392" s="237">
        <v>242510392</v>
      </c>
      <c r="L392" s="237" t="s">
        <v>480</v>
      </c>
      <c r="M392" s="234" t="s">
        <v>3968</v>
      </c>
      <c r="N392" s="234" t="s">
        <v>3969</v>
      </c>
      <c r="O392" s="234" t="s">
        <v>481</v>
      </c>
      <c r="P392" s="234" t="s">
        <v>3124</v>
      </c>
      <c r="Q392" s="232" t="s">
        <v>18</v>
      </c>
    </row>
    <row r="393" customHeight="1" spans="3:17">
      <c r="C393" s="233">
        <v>242510393</v>
      </c>
      <c r="D393" s="233" t="s">
        <v>26</v>
      </c>
      <c r="E393" s="234" t="s">
        <v>3970</v>
      </c>
      <c r="F393" s="234" t="s">
        <v>3971</v>
      </c>
      <c r="G393" s="235" t="s">
        <v>27</v>
      </c>
      <c r="H393" s="234" t="s">
        <v>3124</v>
      </c>
      <c r="I393" s="236" t="s">
        <v>23</v>
      </c>
      <c r="J393" s="232" t="s">
        <v>23</v>
      </c>
      <c r="K393" s="237">
        <v>242510393</v>
      </c>
      <c r="L393" s="237" t="s">
        <v>26</v>
      </c>
      <c r="M393" s="234" t="s">
        <v>3970</v>
      </c>
      <c r="N393" s="234" t="s">
        <v>3971</v>
      </c>
      <c r="O393" s="234" t="s">
        <v>27</v>
      </c>
      <c r="P393" s="234" t="s">
        <v>3124</v>
      </c>
      <c r="Q393" s="232" t="s">
        <v>23</v>
      </c>
    </row>
    <row r="394" customHeight="1" spans="3:17">
      <c r="C394" s="233">
        <v>242510394</v>
      </c>
      <c r="D394" s="233" t="s">
        <v>110</v>
      </c>
      <c r="E394" s="234" t="s">
        <v>3972</v>
      </c>
      <c r="F394" s="234" t="s">
        <v>3144</v>
      </c>
      <c r="G394" s="235" t="s">
        <v>111</v>
      </c>
      <c r="H394" s="234" t="s">
        <v>3124</v>
      </c>
      <c r="I394" s="236" t="s">
        <v>18</v>
      </c>
      <c r="J394" s="232" t="s">
        <v>18</v>
      </c>
      <c r="K394" s="237">
        <v>242510394</v>
      </c>
      <c r="L394" s="237" t="s">
        <v>110</v>
      </c>
      <c r="M394" s="234" t="s">
        <v>3972</v>
      </c>
      <c r="N394" s="234" t="s">
        <v>3144</v>
      </c>
      <c r="O394" s="234" t="s">
        <v>111</v>
      </c>
      <c r="P394" s="234" t="s">
        <v>3124</v>
      </c>
      <c r="Q394" s="232" t="s">
        <v>18</v>
      </c>
    </row>
    <row r="395" customHeight="1" spans="3:17">
      <c r="C395" s="233">
        <v>242510395</v>
      </c>
      <c r="D395" s="233" t="s">
        <v>578</v>
      </c>
      <c r="E395" s="234" t="s">
        <v>3973</v>
      </c>
      <c r="F395" s="234" t="s">
        <v>3974</v>
      </c>
      <c r="G395" s="235" t="s">
        <v>579</v>
      </c>
      <c r="H395" s="234" t="s">
        <v>3189</v>
      </c>
      <c r="I395" s="236" t="s">
        <v>23</v>
      </c>
      <c r="J395" s="232" t="s">
        <v>23</v>
      </c>
      <c r="K395" s="237">
        <v>242510395</v>
      </c>
      <c r="L395" s="237" t="s">
        <v>578</v>
      </c>
      <c r="M395" s="234" t="s">
        <v>3973</v>
      </c>
      <c r="N395" s="234" t="s">
        <v>3974</v>
      </c>
      <c r="O395" s="234" t="s">
        <v>579</v>
      </c>
      <c r="P395" s="234" t="s">
        <v>3189</v>
      </c>
      <c r="Q395" s="232" t="s">
        <v>23</v>
      </c>
    </row>
    <row r="396" customHeight="1" spans="3:17">
      <c r="C396" s="233">
        <v>242510396</v>
      </c>
      <c r="D396" s="233" t="s">
        <v>114</v>
      </c>
      <c r="E396" s="234" t="s">
        <v>3975</v>
      </c>
      <c r="F396" s="234" t="s">
        <v>3976</v>
      </c>
      <c r="G396" s="235" t="s">
        <v>115</v>
      </c>
      <c r="H396" s="234" t="s">
        <v>3977</v>
      </c>
      <c r="I396" s="236" t="s">
        <v>18</v>
      </c>
      <c r="J396" s="232" t="s">
        <v>18</v>
      </c>
      <c r="K396" s="237">
        <v>242510396</v>
      </c>
      <c r="L396" s="237" t="s">
        <v>114</v>
      </c>
      <c r="M396" s="234" t="s">
        <v>3975</v>
      </c>
      <c r="N396" s="234" t="s">
        <v>3976</v>
      </c>
      <c r="O396" s="234" t="s">
        <v>115</v>
      </c>
      <c r="P396" s="234" t="s">
        <v>3977</v>
      </c>
      <c r="Q396" s="232" t="s">
        <v>18</v>
      </c>
    </row>
    <row r="397" customHeight="1" spans="3:17">
      <c r="C397" s="233">
        <v>242510397</v>
      </c>
      <c r="D397" s="233" t="s">
        <v>490</v>
      </c>
      <c r="E397" s="234" t="s">
        <v>3978</v>
      </c>
      <c r="F397" s="234" t="s">
        <v>3979</v>
      </c>
      <c r="G397" s="235" t="s">
        <v>491</v>
      </c>
      <c r="H397" s="234" t="s">
        <v>3124</v>
      </c>
      <c r="I397" s="236" t="s">
        <v>18</v>
      </c>
      <c r="J397" s="232" t="s">
        <v>18</v>
      </c>
      <c r="K397" s="237">
        <v>242510397</v>
      </c>
      <c r="L397" s="237" t="s">
        <v>490</v>
      </c>
      <c r="M397" s="234" t="s">
        <v>3978</v>
      </c>
      <c r="N397" s="234" t="s">
        <v>3979</v>
      </c>
      <c r="O397" s="234" t="s">
        <v>491</v>
      </c>
      <c r="P397" s="234" t="s">
        <v>3124</v>
      </c>
      <c r="Q397" s="232" t="s">
        <v>18</v>
      </c>
    </row>
    <row r="398" customHeight="1" spans="3:17">
      <c r="C398" s="233">
        <v>242510398</v>
      </c>
      <c r="D398" s="233" t="s">
        <v>42</v>
      </c>
      <c r="E398" s="234" t="s">
        <v>3980</v>
      </c>
      <c r="F398" s="234" t="s">
        <v>3981</v>
      </c>
      <c r="G398" s="235" t="s">
        <v>43</v>
      </c>
      <c r="H398" s="234" t="s">
        <v>3124</v>
      </c>
      <c r="I398" s="236" t="s">
        <v>23</v>
      </c>
      <c r="J398" s="232" t="s">
        <v>23</v>
      </c>
      <c r="K398" s="237">
        <v>242510398</v>
      </c>
      <c r="L398" s="237" t="s">
        <v>42</v>
      </c>
      <c r="M398" s="234" t="s">
        <v>3980</v>
      </c>
      <c r="N398" s="234" t="s">
        <v>3981</v>
      </c>
      <c r="O398" s="234" t="s">
        <v>43</v>
      </c>
      <c r="P398" s="234" t="s">
        <v>3124</v>
      </c>
      <c r="Q398" s="232" t="s">
        <v>23</v>
      </c>
    </row>
    <row r="399" customHeight="1" spans="3:17">
      <c r="C399" s="233">
        <v>242510399</v>
      </c>
      <c r="D399" s="233" t="s">
        <v>492</v>
      </c>
      <c r="E399" s="234" t="s">
        <v>3982</v>
      </c>
      <c r="F399" s="234" t="s">
        <v>3983</v>
      </c>
      <c r="G399" s="235" t="s">
        <v>493</v>
      </c>
      <c r="H399" s="234" t="s">
        <v>3124</v>
      </c>
      <c r="I399" s="236" t="s">
        <v>23</v>
      </c>
      <c r="J399" s="232" t="s">
        <v>23</v>
      </c>
      <c r="K399" s="237">
        <v>242510399</v>
      </c>
      <c r="L399" s="237" t="s">
        <v>492</v>
      </c>
      <c r="M399" s="234" t="s">
        <v>3982</v>
      </c>
      <c r="N399" s="234" t="s">
        <v>3983</v>
      </c>
      <c r="O399" s="234" t="s">
        <v>493</v>
      </c>
      <c r="P399" s="234" t="s">
        <v>3124</v>
      </c>
      <c r="Q399" s="232" t="s">
        <v>23</v>
      </c>
    </row>
    <row r="400" customHeight="1" spans="3:17">
      <c r="C400" s="233">
        <v>242510400</v>
      </c>
      <c r="D400" s="233" t="s">
        <v>424</v>
      </c>
      <c r="E400" s="234" t="s">
        <v>3984</v>
      </c>
      <c r="F400" s="234" t="s">
        <v>3985</v>
      </c>
      <c r="G400" s="235" t="s">
        <v>425</v>
      </c>
      <c r="H400" s="234" t="s">
        <v>3208</v>
      </c>
      <c r="I400" s="236" t="s">
        <v>18</v>
      </c>
      <c r="J400" s="232" t="s">
        <v>18</v>
      </c>
      <c r="K400" s="237">
        <v>242510400</v>
      </c>
      <c r="L400" s="237" t="s">
        <v>424</v>
      </c>
      <c r="M400" s="234" t="s">
        <v>3984</v>
      </c>
      <c r="N400" s="234" t="s">
        <v>3985</v>
      </c>
      <c r="O400" s="234" t="s">
        <v>425</v>
      </c>
      <c r="P400" s="234" t="s">
        <v>3208</v>
      </c>
      <c r="Q400" s="232" t="s">
        <v>18</v>
      </c>
    </row>
    <row r="401" customHeight="1" spans="3:17">
      <c r="C401" s="233">
        <v>242510401</v>
      </c>
      <c r="D401" s="233" t="s">
        <v>278</v>
      </c>
      <c r="E401" s="234" t="s">
        <v>3986</v>
      </c>
      <c r="F401" s="234" t="s">
        <v>3987</v>
      </c>
      <c r="G401" s="235" t="s">
        <v>279</v>
      </c>
      <c r="H401" s="234" t="s">
        <v>3940</v>
      </c>
      <c r="I401" s="236" t="s">
        <v>23</v>
      </c>
      <c r="J401" s="232" t="s">
        <v>23</v>
      </c>
      <c r="K401" s="237">
        <v>242510401</v>
      </c>
      <c r="L401" s="237" t="s">
        <v>278</v>
      </c>
      <c r="M401" s="234" t="s">
        <v>3986</v>
      </c>
      <c r="N401" s="234" t="s">
        <v>3987</v>
      </c>
      <c r="O401" s="234" t="s">
        <v>279</v>
      </c>
      <c r="P401" s="234" t="s">
        <v>3940</v>
      </c>
      <c r="Q401" s="232" t="s">
        <v>23</v>
      </c>
    </row>
    <row r="402" customHeight="1" spans="3:17">
      <c r="C402" s="233">
        <v>242510402</v>
      </c>
      <c r="D402" s="233" t="s">
        <v>686</v>
      </c>
      <c r="E402" s="234" t="s">
        <v>3988</v>
      </c>
      <c r="F402" s="234" t="s">
        <v>3989</v>
      </c>
      <c r="G402" s="235" t="s">
        <v>687</v>
      </c>
      <c r="H402" s="235" t="s">
        <v>3124</v>
      </c>
      <c r="I402" s="236" t="s">
        <v>23</v>
      </c>
      <c r="J402" s="232" t="s">
        <v>23</v>
      </c>
      <c r="K402" s="237">
        <v>242510402</v>
      </c>
      <c r="L402" s="237" t="s">
        <v>686</v>
      </c>
      <c r="M402" s="234" t="s">
        <v>3988</v>
      </c>
      <c r="N402" s="234" t="s">
        <v>3989</v>
      </c>
      <c r="O402" s="234" t="s">
        <v>687</v>
      </c>
      <c r="P402" s="234" t="s">
        <v>3124</v>
      </c>
      <c r="Q402" s="232" t="s">
        <v>23</v>
      </c>
    </row>
    <row r="403" customHeight="1" spans="3:17">
      <c r="C403" s="233">
        <v>242510403</v>
      </c>
      <c r="D403" s="233" t="s">
        <v>430</v>
      </c>
      <c r="E403" s="235" t="s">
        <v>3990</v>
      </c>
      <c r="F403" s="235" t="s">
        <v>3991</v>
      </c>
      <c r="G403" s="235" t="s">
        <v>431</v>
      </c>
      <c r="H403" s="235" t="s">
        <v>3124</v>
      </c>
      <c r="I403" s="236" t="s">
        <v>18</v>
      </c>
      <c r="J403" s="232" t="s">
        <v>18</v>
      </c>
      <c r="K403" s="237">
        <v>242510403</v>
      </c>
      <c r="L403" s="237" t="s">
        <v>430</v>
      </c>
      <c r="M403" s="234" t="s">
        <v>3990</v>
      </c>
      <c r="N403" s="234" t="s">
        <v>3991</v>
      </c>
      <c r="O403" s="234" t="s">
        <v>431</v>
      </c>
      <c r="P403" s="234" t="s">
        <v>3124</v>
      </c>
      <c r="Q403" s="232" t="s">
        <v>18</v>
      </c>
    </row>
    <row r="404" customHeight="1" spans="3:17">
      <c r="C404" s="233">
        <v>242510404</v>
      </c>
      <c r="D404" s="233" t="s">
        <v>132</v>
      </c>
      <c r="E404" s="234" t="s">
        <v>3992</v>
      </c>
      <c r="F404" s="234" t="s">
        <v>3993</v>
      </c>
      <c r="G404" s="235" t="s">
        <v>133</v>
      </c>
      <c r="H404" s="234" t="s">
        <v>3186</v>
      </c>
      <c r="I404" s="236" t="s">
        <v>18</v>
      </c>
      <c r="J404" s="232" t="s">
        <v>18</v>
      </c>
      <c r="K404" s="237">
        <v>242510404</v>
      </c>
      <c r="L404" s="237" t="s">
        <v>132</v>
      </c>
      <c r="M404" s="234" t="s">
        <v>3992</v>
      </c>
      <c r="N404" s="234" t="s">
        <v>3993</v>
      </c>
      <c r="O404" s="234" t="s">
        <v>133</v>
      </c>
      <c r="P404" s="234" t="s">
        <v>3186</v>
      </c>
      <c r="Q404" s="232" t="s">
        <v>18</v>
      </c>
    </row>
    <row r="405" customHeight="1" spans="3:17">
      <c r="C405" s="233">
        <v>242510405</v>
      </c>
      <c r="D405" s="233" t="s">
        <v>690</v>
      </c>
      <c r="E405" s="234" t="s">
        <v>3994</v>
      </c>
      <c r="F405" s="234" t="s">
        <v>3995</v>
      </c>
      <c r="G405" s="235" t="s">
        <v>691</v>
      </c>
      <c r="H405" s="234" t="s">
        <v>3195</v>
      </c>
      <c r="I405" s="236" t="s">
        <v>23</v>
      </c>
      <c r="J405" s="232" t="s">
        <v>23</v>
      </c>
      <c r="K405" s="237">
        <v>242510405</v>
      </c>
      <c r="L405" s="237" t="s">
        <v>690</v>
      </c>
      <c r="M405" s="234" t="s">
        <v>3994</v>
      </c>
      <c r="N405" s="234" t="s">
        <v>3995</v>
      </c>
      <c r="O405" s="234" t="s">
        <v>691</v>
      </c>
      <c r="P405" s="234" t="s">
        <v>3195</v>
      </c>
      <c r="Q405" s="232" t="s">
        <v>23</v>
      </c>
    </row>
    <row r="406" customHeight="1" spans="3:17">
      <c r="C406" s="233">
        <v>242510406</v>
      </c>
      <c r="D406" s="233" t="s">
        <v>440</v>
      </c>
      <c r="E406" s="234"/>
      <c r="F406" s="234"/>
      <c r="G406" s="235" t="s">
        <v>441</v>
      </c>
      <c r="H406" s="234"/>
      <c r="I406" s="236" t="s">
        <v>23</v>
      </c>
      <c r="J406" s="232" t="s">
        <v>23</v>
      </c>
      <c r="K406" s="237">
        <v>242510406</v>
      </c>
      <c r="L406" s="237" t="s">
        <v>440</v>
      </c>
      <c r="M406" s="234"/>
      <c r="N406" s="234"/>
      <c r="O406" s="234" t="s">
        <v>441</v>
      </c>
      <c r="P406" s="234"/>
      <c r="Q406" s="232" t="s">
        <v>23</v>
      </c>
    </row>
    <row r="407" customHeight="1" spans="3:17">
      <c r="C407" s="233">
        <v>242510407</v>
      </c>
      <c r="D407" s="233" t="s">
        <v>698</v>
      </c>
      <c r="E407" s="234" t="s">
        <v>3996</v>
      </c>
      <c r="F407" s="234" t="s">
        <v>3997</v>
      </c>
      <c r="G407" s="235" t="s">
        <v>699</v>
      </c>
      <c r="H407" s="234" t="s">
        <v>3124</v>
      </c>
      <c r="I407" s="236" t="s">
        <v>23</v>
      </c>
      <c r="J407" s="232" t="s">
        <v>23</v>
      </c>
      <c r="K407" s="237">
        <v>242510407</v>
      </c>
      <c r="L407" s="237" t="s">
        <v>698</v>
      </c>
      <c r="M407" s="234" t="s">
        <v>3996</v>
      </c>
      <c r="N407" s="234" t="s">
        <v>3997</v>
      </c>
      <c r="O407" s="234" t="s">
        <v>699</v>
      </c>
      <c r="P407" s="234" t="s">
        <v>3124</v>
      </c>
      <c r="Q407" s="232" t="s">
        <v>23</v>
      </c>
    </row>
    <row r="408" customHeight="1" spans="3:17">
      <c r="C408" s="233">
        <v>242510408</v>
      </c>
      <c r="D408" s="233" t="s">
        <v>878</v>
      </c>
      <c r="E408" s="234" t="s">
        <v>3998</v>
      </c>
      <c r="F408" s="234" t="s">
        <v>3999</v>
      </c>
      <c r="G408" s="235" t="s">
        <v>879</v>
      </c>
      <c r="H408" s="234" t="s">
        <v>3124</v>
      </c>
      <c r="I408" s="236" t="s">
        <v>23</v>
      </c>
      <c r="J408" s="232" t="s">
        <v>23</v>
      </c>
      <c r="K408" s="237">
        <v>242510408</v>
      </c>
      <c r="L408" s="237" t="s">
        <v>878</v>
      </c>
      <c r="M408" s="234" t="s">
        <v>3998</v>
      </c>
      <c r="N408" s="234" t="s">
        <v>3999</v>
      </c>
      <c r="O408" s="234" t="s">
        <v>879</v>
      </c>
      <c r="P408" s="234" t="s">
        <v>3124</v>
      </c>
      <c r="Q408" s="232" t="s">
        <v>23</v>
      </c>
    </row>
    <row r="409" customHeight="1" spans="3:17">
      <c r="C409" s="233">
        <v>242510409</v>
      </c>
      <c r="D409" s="233" t="s">
        <v>63</v>
      </c>
      <c r="E409" s="234" t="s">
        <v>4000</v>
      </c>
      <c r="F409" s="234" t="s">
        <v>4001</v>
      </c>
      <c r="G409" s="235" t="s">
        <v>64</v>
      </c>
      <c r="H409" s="234" t="s">
        <v>3124</v>
      </c>
      <c r="I409" s="236" t="s">
        <v>18</v>
      </c>
      <c r="J409" s="232" t="s">
        <v>18</v>
      </c>
      <c r="K409" s="237">
        <v>242510409</v>
      </c>
      <c r="L409" s="237" t="s">
        <v>63</v>
      </c>
      <c r="M409" s="234" t="s">
        <v>4000</v>
      </c>
      <c r="N409" s="234" t="s">
        <v>4001</v>
      </c>
      <c r="O409" s="234" t="s">
        <v>64</v>
      </c>
      <c r="P409" s="234" t="s">
        <v>3124</v>
      </c>
      <c r="Q409" s="232" t="s">
        <v>18</v>
      </c>
    </row>
    <row r="410" customHeight="1" spans="3:17">
      <c r="C410" s="233">
        <v>242510410</v>
      </c>
      <c r="D410" s="233" t="s">
        <v>622</v>
      </c>
      <c r="E410" s="234" t="s">
        <v>4002</v>
      </c>
      <c r="F410" s="234" t="s">
        <v>4003</v>
      </c>
      <c r="G410" s="235" t="s">
        <v>623</v>
      </c>
      <c r="H410" s="234" t="s">
        <v>3129</v>
      </c>
      <c r="I410" s="236" t="s">
        <v>18</v>
      </c>
      <c r="J410" s="232" t="s">
        <v>18</v>
      </c>
      <c r="K410" s="237">
        <v>242510410</v>
      </c>
      <c r="L410" s="237" t="s">
        <v>622</v>
      </c>
      <c r="M410" s="234" t="s">
        <v>4002</v>
      </c>
      <c r="N410" s="234" t="s">
        <v>4003</v>
      </c>
      <c r="O410" s="234" t="s">
        <v>623</v>
      </c>
      <c r="P410" s="234" t="s">
        <v>3129</v>
      </c>
      <c r="Q410" s="232" t="s">
        <v>18</v>
      </c>
    </row>
    <row r="411" customHeight="1" spans="3:17">
      <c r="C411" s="233">
        <v>242510411</v>
      </c>
      <c r="D411" s="233" t="s">
        <v>65</v>
      </c>
      <c r="E411" s="234" t="s">
        <v>4004</v>
      </c>
      <c r="F411" s="234" t="s">
        <v>4005</v>
      </c>
      <c r="G411" s="235" t="s">
        <v>66</v>
      </c>
      <c r="H411" s="234" t="s">
        <v>3312</v>
      </c>
      <c r="I411" s="236" t="s">
        <v>18</v>
      </c>
      <c r="J411" s="232" t="s">
        <v>18</v>
      </c>
      <c r="K411" s="237">
        <v>242510411</v>
      </c>
      <c r="L411" s="237" t="s">
        <v>65</v>
      </c>
      <c r="M411" s="234" t="s">
        <v>4004</v>
      </c>
      <c r="N411" s="234" t="s">
        <v>4005</v>
      </c>
      <c r="O411" s="234" t="s">
        <v>66</v>
      </c>
      <c r="P411" s="234" t="s">
        <v>3312</v>
      </c>
      <c r="Q411" s="232" t="s">
        <v>18</v>
      </c>
    </row>
    <row r="412" customHeight="1" spans="3:17">
      <c r="C412" s="233">
        <v>242510412</v>
      </c>
      <c r="D412" s="233" t="s">
        <v>804</v>
      </c>
      <c r="E412" s="234" t="s">
        <v>4006</v>
      </c>
      <c r="F412" s="234" t="s">
        <v>4007</v>
      </c>
      <c r="G412" s="235" t="s">
        <v>805</v>
      </c>
      <c r="H412" s="234" t="s">
        <v>3124</v>
      </c>
      <c r="I412" s="236" t="s">
        <v>18</v>
      </c>
      <c r="J412" s="232" t="s">
        <v>18</v>
      </c>
      <c r="K412" s="237">
        <v>242510412</v>
      </c>
      <c r="L412" s="237" t="s">
        <v>804</v>
      </c>
      <c r="M412" s="234" t="s">
        <v>4006</v>
      </c>
      <c r="N412" s="234" t="s">
        <v>4007</v>
      </c>
      <c r="O412" s="234" t="s">
        <v>805</v>
      </c>
      <c r="P412" s="234" t="s">
        <v>3124</v>
      </c>
      <c r="Q412" s="232" t="s">
        <v>18</v>
      </c>
    </row>
    <row r="413" customHeight="1" spans="3:17">
      <c r="C413" s="233">
        <v>242510413</v>
      </c>
      <c r="D413" s="233" t="s">
        <v>154</v>
      </c>
      <c r="E413" s="234" t="s">
        <v>4008</v>
      </c>
      <c r="F413" s="234" t="s">
        <v>4009</v>
      </c>
      <c r="G413" s="235" t="s">
        <v>155</v>
      </c>
      <c r="H413" s="234" t="s">
        <v>3124</v>
      </c>
      <c r="I413" s="236" t="s">
        <v>23</v>
      </c>
      <c r="J413" s="232" t="s">
        <v>23</v>
      </c>
      <c r="K413" s="237">
        <v>242510413</v>
      </c>
      <c r="L413" s="237" t="s">
        <v>154</v>
      </c>
      <c r="M413" s="234" t="s">
        <v>4008</v>
      </c>
      <c r="N413" s="234" t="s">
        <v>4009</v>
      </c>
      <c r="O413" s="234" t="s">
        <v>155</v>
      </c>
      <c r="P413" s="234" t="s">
        <v>3124</v>
      </c>
      <c r="Q413" s="232" t="s">
        <v>23</v>
      </c>
    </row>
    <row r="414" customHeight="1" spans="3:17">
      <c r="C414" s="233">
        <v>242510415</v>
      </c>
      <c r="D414" s="233" t="s">
        <v>718</v>
      </c>
      <c r="E414" s="234" t="s">
        <v>4010</v>
      </c>
      <c r="F414" s="234" t="s">
        <v>4011</v>
      </c>
      <c r="G414" s="235" t="s">
        <v>719</v>
      </c>
      <c r="H414" s="234" t="s">
        <v>3124</v>
      </c>
      <c r="I414" s="236" t="s">
        <v>23</v>
      </c>
      <c r="J414" s="232" t="s">
        <v>23</v>
      </c>
      <c r="K414" s="237">
        <v>242510415</v>
      </c>
      <c r="L414" s="237" t="s">
        <v>718</v>
      </c>
      <c r="M414" s="234" t="s">
        <v>4010</v>
      </c>
      <c r="N414" s="234" t="s">
        <v>4011</v>
      </c>
      <c r="O414" s="234" t="s">
        <v>719</v>
      </c>
      <c r="P414" s="234" t="s">
        <v>3124</v>
      </c>
      <c r="Q414" s="232" t="s">
        <v>23</v>
      </c>
    </row>
    <row r="415" customHeight="1" spans="3:17">
      <c r="C415" s="233">
        <v>242510416</v>
      </c>
      <c r="D415" s="233" t="s">
        <v>4012</v>
      </c>
      <c r="E415" s="234" t="s">
        <v>4013</v>
      </c>
      <c r="F415" s="234" t="s">
        <v>4014</v>
      </c>
      <c r="G415" s="235" t="s">
        <v>4015</v>
      </c>
      <c r="H415" s="234" t="s">
        <v>3150</v>
      </c>
      <c r="I415" s="236" t="s">
        <v>23</v>
      </c>
      <c r="J415" s="232" t="s">
        <v>23</v>
      </c>
      <c r="K415" s="237">
        <v>242510416</v>
      </c>
      <c r="L415" s="237" t="s">
        <v>4012</v>
      </c>
      <c r="M415" s="234" t="s">
        <v>4013</v>
      </c>
      <c r="N415" s="234" t="s">
        <v>4014</v>
      </c>
      <c r="O415" s="234" t="s">
        <v>4015</v>
      </c>
      <c r="P415" s="234" t="s">
        <v>3150</v>
      </c>
      <c r="Q415" s="232" t="s">
        <v>23</v>
      </c>
    </row>
    <row r="416" customHeight="1" spans="3:17">
      <c r="C416" s="233">
        <v>242510417</v>
      </c>
      <c r="D416" s="233" t="s">
        <v>814</v>
      </c>
      <c r="E416" s="234" t="s">
        <v>4016</v>
      </c>
      <c r="F416" s="234" t="s">
        <v>4017</v>
      </c>
      <c r="G416" s="235" t="s">
        <v>815</v>
      </c>
      <c r="H416" s="234" t="s">
        <v>3124</v>
      </c>
      <c r="I416" s="236" t="s">
        <v>18</v>
      </c>
      <c r="J416" s="232" t="s">
        <v>18</v>
      </c>
      <c r="K416" s="237">
        <v>242510417</v>
      </c>
      <c r="L416" s="237" t="s">
        <v>814</v>
      </c>
      <c r="M416" s="234" t="s">
        <v>4016</v>
      </c>
      <c r="N416" s="234" t="s">
        <v>4017</v>
      </c>
      <c r="O416" s="234" t="s">
        <v>815</v>
      </c>
      <c r="P416" s="234" t="s">
        <v>3124</v>
      </c>
      <c r="Q416" s="232" t="s">
        <v>18</v>
      </c>
    </row>
    <row r="417" customHeight="1" spans="3:17">
      <c r="C417" s="233">
        <v>242510418</v>
      </c>
      <c r="D417" s="233" t="s">
        <v>816</v>
      </c>
      <c r="E417" s="234" t="s">
        <v>4018</v>
      </c>
      <c r="F417" s="234" t="s">
        <v>4019</v>
      </c>
      <c r="G417" s="235" t="s">
        <v>817</v>
      </c>
      <c r="H417" s="234" t="s">
        <v>3124</v>
      </c>
      <c r="I417" s="236" t="s">
        <v>23</v>
      </c>
      <c r="J417" s="232" t="s">
        <v>23</v>
      </c>
      <c r="K417" s="237">
        <v>242510418</v>
      </c>
      <c r="L417" s="237" t="s">
        <v>816</v>
      </c>
      <c r="M417" s="234" t="s">
        <v>4018</v>
      </c>
      <c r="N417" s="234" t="s">
        <v>4019</v>
      </c>
      <c r="O417" s="234" t="s">
        <v>817</v>
      </c>
      <c r="P417" s="234" t="s">
        <v>3124</v>
      </c>
      <c r="Q417" s="232" t="s">
        <v>23</v>
      </c>
    </row>
    <row r="418" customHeight="1" spans="3:17">
      <c r="C418" s="233">
        <v>242510419</v>
      </c>
      <c r="D418" s="233" t="s">
        <v>642</v>
      </c>
      <c r="E418" s="234" t="s">
        <v>4020</v>
      </c>
      <c r="F418" s="234" t="s">
        <v>4021</v>
      </c>
      <c r="G418" s="235" t="s">
        <v>643</v>
      </c>
      <c r="H418" s="234" t="s">
        <v>3248</v>
      </c>
      <c r="I418" s="239" t="s">
        <v>23</v>
      </c>
      <c r="J418" s="240" t="s">
        <v>23</v>
      </c>
      <c r="K418" s="237">
        <v>242510419</v>
      </c>
      <c r="L418" s="237" t="s">
        <v>642</v>
      </c>
      <c r="M418" s="234" t="s">
        <v>4020</v>
      </c>
      <c r="N418" s="234" t="s">
        <v>4021</v>
      </c>
      <c r="O418" s="234" t="s">
        <v>643</v>
      </c>
      <c r="P418" s="234" t="s">
        <v>3248</v>
      </c>
      <c r="Q418" s="240" t="s">
        <v>23</v>
      </c>
    </row>
    <row r="419" customHeight="1" spans="3:17">
      <c r="C419" s="233">
        <v>242510420</v>
      </c>
      <c r="D419" s="233" t="s">
        <v>728</v>
      </c>
      <c r="E419" s="234" t="s">
        <v>4022</v>
      </c>
      <c r="F419" s="234" t="s">
        <v>4023</v>
      </c>
      <c r="G419" s="235" t="s">
        <v>729</v>
      </c>
      <c r="H419" s="234" t="s">
        <v>3208</v>
      </c>
      <c r="I419" s="236" t="s">
        <v>18</v>
      </c>
      <c r="J419" s="232" t="s">
        <v>18</v>
      </c>
      <c r="K419" s="237">
        <v>242510420</v>
      </c>
      <c r="L419" s="237" t="s">
        <v>728</v>
      </c>
      <c r="M419" s="234" t="s">
        <v>4022</v>
      </c>
      <c r="N419" s="234" t="s">
        <v>4023</v>
      </c>
      <c r="O419" s="234" t="s">
        <v>729</v>
      </c>
      <c r="P419" s="234" t="s">
        <v>3208</v>
      </c>
      <c r="Q419" s="232" t="s">
        <v>18</v>
      </c>
    </row>
    <row r="420" customHeight="1" spans="3:17">
      <c r="C420" s="233">
        <v>242510421</v>
      </c>
      <c r="D420" s="233" t="s">
        <v>898</v>
      </c>
      <c r="E420" s="234" t="s">
        <v>4024</v>
      </c>
      <c r="F420" s="234" t="s">
        <v>4025</v>
      </c>
      <c r="G420" s="235" t="s">
        <v>899</v>
      </c>
      <c r="H420" s="234" t="s">
        <v>3150</v>
      </c>
      <c r="I420" s="236" t="s">
        <v>18</v>
      </c>
      <c r="J420" s="232" t="s">
        <v>18</v>
      </c>
      <c r="K420" s="237">
        <v>242510421</v>
      </c>
      <c r="L420" s="237" t="s">
        <v>898</v>
      </c>
      <c r="M420" s="234" t="s">
        <v>4024</v>
      </c>
      <c r="N420" s="234" t="s">
        <v>4025</v>
      </c>
      <c r="O420" s="234" t="s">
        <v>899</v>
      </c>
      <c r="P420" s="234" t="s">
        <v>3150</v>
      </c>
      <c r="Q420" s="232" t="s">
        <v>18</v>
      </c>
    </row>
    <row r="421" customHeight="1" spans="3:17">
      <c r="C421" s="233">
        <v>242510422</v>
      </c>
      <c r="D421" s="233" t="s">
        <v>458</v>
      </c>
      <c r="E421" s="234" t="s">
        <v>4026</v>
      </c>
      <c r="F421" s="234" t="s">
        <v>4027</v>
      </c>
      <c r="G421" s="235" t="s">
        <v>459</v>
      </c>
      <c r="H421" s="234" t="s">
        <v>3218</v>
      </c>
      <c r="I421" s="236" t="s">
        <v>18</v>
      </c>
      <c r="J421" s="232" t="s">
        <v>18</v>
      </c>
      <c r="K421" s="237">
        <v>242510422</v>
      </c>
      <c r="L421" s="237" t="s">
        <v>458</v>
      </c>
      <c r="M421" s="234" t="s">
        <v>4026</v>
      </c>
      <c r="N421" s="234" t="s">
        <v>4027</v>
      </c>
      <c r="O421" s="234" t="s">
        <v>459</v>
      </c>
      <c r="P421" s="234" t="s">
        <v>3218</v>
      </c>
      <c r="Q421" s="232" t="s">
        <v>18</v>
      </c>
    </row>
    <row r="422" customHeight="1" spans="3:17">
      <c r="C422" s="233">
        <v>242510423</v>
      </c>
      <c r="D422" s="233" t="s">
        <v>650</v>
      </c>
      <c r="E422" s="234" t="s">
        <v>4028</v>
      </c>
      <c r="F422" s="234" t="s">
        <v>4029</v>
      </c>
      <c r="G422" s="235" t="s">
        <v>651</v>
      </c>
      <c r="H422" s="234" t="s">
        <v>3124</v>
      </c>
      <c r="I422" s="236" t="s">
        <v>18</v>
      </c>
      <c r="J422" s="232" t="s">
        <v>18</v>
      </c>
      <c r="K422" s="237">
        <v>242510423</v>
      </c>
      <c r="L422" s="237" t="s">
        <v>650</v>
      </c>
      <c r="M422" s="234" t="s">
        <v>4028</v>
      </c>
      <c r="N422" s="234" t="s">
        <v>4029</v>
      </c>
      <c r="O422" s="234" t="s">
        <v>651</v>
      </c>
      <c r="P422" s="234" t="s">
        <v>3124</v>
      </c>
      <c r="Q422" s="232" t="s">
        <v>18</v>
      </c>
    </row>
    <row r="423" customHeight="1" spans="3:17">
      <c r="C423" s="233">
        <v>242510424</v>
      </c>
      <c r="D423" s="233" t="s">
        <v>85</v>
      </c>
      <c r="E423" s="234" t="s">
        <v>4030</v>
      </c>
      <c r="F423" s="234" t="s">
        <v>4031</v>
      </c>
      <c r="G423" s="235" t="s">
        <v>86</v>
      </c>
      <c r="H423" s="234" t="s">
        <v>3124</v>
      </c>
      <c r="I423" s="236" t="s">
        <v>18</v>
      </c>
      <c r="J423" s="232" t="s">
        <v>18</v>
      </c>
      <c r="K423" s="237">
        <v>242510424</v>
      </c>
      <c r="L423" s="237" t="s">
        <v>85</v>
      </c>
      <c r="M423" s="234" t="s">
        <v>4030</v>
      </c>
      <c r="N423" s="234" t="s">
        <v>4031</v>
      </c>
      <c r="O423" s="234" t="s">
        <v>86</v>
      </c>
      <c r="P423" s="234" t="s">
        <v>3124</v>
      </c>
      <c r="Q423" s="232" t="s">
        <v>18</v>
      </c>
    </row>
    <row r="424" customHeight="1" spans="3:17">
      <c r="C424" s="233">
        <v>242510425</v>
      </c>
      <c r="D424" s="233" t="s">
        <v>4032</v>
      </c>
      <c r="E424" s="234" t="s">
        <v>4033</v>
      </c>
      <c r="F424" s="234" t="s">
        <v>4034</v>
      </c>
      <c r="G424" s="235" t="s">
        <v>4035</v>
      </c>
      <c r="H424" s="235" t="s">
        <v>3124</v>
      </c>
      <c r="I424" s="236" t="s">
        <v>18</v>
      </c>
      <c r="J424" s="232" t="s">
        <v>18</v>
      </c>
      <c r="K424" s="237">
        <v>242510425</v>
      </c>
      <c r="L424" s="237" t="s">
        <v>4032</v>
      </c>
      <c r="M424" s="234" t="s">
        <v>4033</v>
      </c>
      <c r="N424" s="234" t="s">
        <v>4034</v>
      </c>
      <c r="O424" s="234" t="s">
        <v>4035</v>
      </c>
      <c r="P424" s="234" t="s">
        <v>3124</v>
      </c>
      <c r="Q424" s="232" t="s">
        <v>18</v>
      </c>
    </row>
    <row r="425" customHeight="1" spans="3:17">
      <c r="C425" s="233">
        <v>242510426</v>
      </c>
      <c r="D425" s="233" t="s">
        <v>738</v>
      </c>
      <c r="E425" s="234" t="s">
        <v>4036</v>
      </c>
      <c r="F425" s="234" t="s">
        <v>4037</v>
      </c>
      <c r="G425" s="235" t="s">
        <v>739</v>
      </c>
      <c r="H425" s="235" t="s">
        <v>3124</v>
      </c>
      <c r="I425" s="236" t="s">
        <v>23</v>
      </c>
      <c r="J425" s="232" t="s">
        <v>23</v>
      </c>
      <c r="K425" s="237">
        <v>242510426</v>
      </c>
      <c r="L425" s="237" t="s">
        <v>738</v>
      </c>
      <c r="M425" s="234" t="s">
        <v>4036</v>
      </c>
      <c r="N425" s="234" t="s">
        <v>4037</v>
      </c>
      <c r="O425" s="234" t="s">
        <v>739</v>
      </c>
      <c r="P425" s="234" t="s">
        <v>3124</v>
      </c>
      <c r="Q425" s="232" t="s">
        <v>23</v>
      </c>
    </row>
    <row r="426" customHeight="1" spans="3:17">
      <c r="C426" s="233">
        <v>242510427</v>
      </c>
      <c r="D426" s="233" t="s">
        <v>902</v>
      </c>
      <c r="E426" s="234" t="s">
        <v>4038</v>
      </c>
      <c r="F426" s="234" t="s">
        <v>4039</v>
      </c>
      <c r="G426" s="235" t="s">
        <v>903</v>
      </c>
      <c r="H426" s="234" t="s">
        <v>3124</v>
      </c>
      <c r="I426" s="236" t="s">
        <v>23</v>
      </c>
      <c r="J426" s="232" t="s">
        <v>23</v>
      </c>
      <c r="K426" s="237">
        <v>242510427</v>
      </c>
      <c r="L426" s="237" t="s">
        <v>902</v>
      </c>
      <c r="M426" s="234" t="s">
        <v>4038</v>
      </c>
      <c r="N426" s="234" t="s">
        <v>4039</v>
      </c>
      <c r="O426" s="234" t="s">
        <v>903</v>
      </c>
      <c r="P426" s="234" t="s">
        <v>3124</v>
      </c>
      <c r="Q426" s="232" t="s">
        <v>23</v>
      </c>
    </row>
    <row r="427" customHeight="1" spans="3:17">
      <c r="C427" s="233">
        <v>242510428</v>
      </c>
      <c r="D427" s="233" t="s">
        <v>470</v>
      </c>
      <c r="E427" s="234" t="s">
        <v>4040</v>
      </c>
      <c r="F427" s="234" t="s">
        <v>4041</v>
      </c>
      <c r="G427" s="235" t="s">
        <v>471</v>
      </c>
      <c r="H427" s="234" t="s">
        <v>3563</v>
      </c>
      <c r="I427" s="236" t="s">
        <v>23</v>
      </c>
      <c r="J427" s="232" t="s">
        <v>23</v>
      </c>
      <c r="K427" s="237">
        <v>242510428</v>
      </c>
      <c r="L427" s="237" t="s">
        <v>470</v>
      </c>
      <c r="M427" s="234" t="s">
        <v>4040</v>
      </c>
      <c r="N427" s="234" t="s">
        <v>4041</v>
      </c>
      <c r="O427" s="234" t="s">
        <v>471</v>
      </c>
      <c r="P427" s="234" t="s">
        <v>3563</v>
      </c>
      <c r="Q427" s="232" t="s">
        <v>23</v>
      </c>
    </row>
    <row r="428" customHeight="1" spans="3:17">
      <c r="C428" s="233">
        <v>252611429</v>
      </c>
      <c r="D428" s="233" t="s">
        <v>376</v>
      </c>
      <c r="E428" s="234"/>
      <c r="F428" s="234"/>
      <c r="G428" s="256" t="s">
        <v>377</v>
      </c>
      <c r="H428" s="234"/>
      <c r="I428" s="236" t="s">
        <v>18</v>
      </c>
    </row>
    <row r="429" customHeight="1" spans="3:17">
      <c r="C429" s="233">
        <v>252611430</v>
      </c>
      <c r="D429" s="233" t="s">
        <v>734</v>
      </c>
      <c r="E429" s="234"/>
      <c r="F429" s="234"/>
      <c r="G429" s="256" t="s">
        <v>735</v>
      </c>
      <c r="H429" s="234"/>
      <c r="I429" s="236" t="s">
        <v>18</v>
      </c>
    </row>
    <row r="430" customHeight="1" spans="3:17">
      <c r="C430" s="233">
        <v>252611431</v>
      </c>
      <c r="D430" s="233" t="s">
        <v>676</v>
      </c>
      <c r="E430" s="234"/>
      <c r="F430" s="234"/>
      <c r="G430" s="256" t="s">
        <v>677</v>
      </c>
      <c r="H430" s="234"/>
      <c r="I430" s="236" t="s">
        <v>23</v>
      </c>
      <c r="J430" s="230">
        <f>COUNTIF(J2:J427,"L")</f>
        <v>175</v>
      </c>
      <c r="O430" s="257" t="s">
        <v>23</v>
      </c>
      <c r="Q430" s="230">
        <f>COUNTIF(Q2:Q427,"L")</f>
        <v>175</v>
      </c>
    </row>
    <row r="431" customHeight="1" spans="3:17">
      <c r="C431" s="233">
        <v>252611432</v>
      </c>
      <c r="D431" s="233" t="s">
        <v>750</v>
      </c>
      <c r="E431" s="234"/>
      <c r="F431" s="234"/>
      <c r="G431" s="235" t="s">
        <v>751</v>
      </c>
      <c r="H431" s="234"/>
      <c r="I431" s="236" t="s">
        <v>23</v>
      </c>
      <c r="J431" s="230">
        <f>COUNTIF(J2:J427,"P")</f>
        <v>251</v>
      </c>
      <c r="O431" s="257" t="s">
        <v>18</v>
      </c>
      <c r="Q431" s="230">
        <f>COUNTIF(Q2:Q427,"P")</f>
        <v>251</v>
      </c>
    </row>
    <row r="432" customHeight="1" spans="3:17">
      <c r="C432" s="233">
        <v>252611433</v>
      </c>
      <c r="D432" s="233" t="s">
        <v>762</v>
      </c>
      <c r="E432" s="234"/>
      <c r="F432" s="234"/>
      <c r="G432" s="235" t="s">
        <v>763</v>
      </c>
      <c r="H432" s="234"/>
      <c r="I432" s="236" t="s">
        <v>23</v>
      </c>
    </row>
    <row r="433" customHeight="1" spans="3:9">
      <c r="C433" s="233">
        <v>252611434</v>
      </c>
      <c r="D433" s="233" t="s">
        <v>842</v>
      </c>
      <c r="E433" s="234"/>
      <c r="F433" s="234"/>
      <c r="G433" s="235" t="s">
        <v>843</v>
      </c>
      <c r="H433" s="234"/>
      <c r="I433" s="236" t="s">
        <v>18</v>
      </c>
    </row>
    <row r="434" customHeight="1" spans="3:9">
      <c r="C434" s="233">
        <v>252611435</v>
      </c>
      <c r="D434" s="233" t="s">
        <v>850</v>
      </c>
      <c r="E434" s="234"/>
      <c r="F434" s="234"/>
      <c r="G434" s="258" t="s">
        <v>851</v>
      </c>
      <c r="H434" s="234"/>
      <c r="I434" s="236" t="s">
        <v>23</v>
      </c>
    </row>
    <row r="435" customHeight="1" spans="3:9">
      <c r="C435" s="233">
        <v>252611436</v>
      </c>
      <c r="D435" s="233" t="s">
        <v>874</v>
      </c>
      <c r="E435" s="234"/>
      <c r="F435" s="234"/>
      <c r="G435" s="256" t="s">
        <v>875</v>
      </c>
      <c r="H435" s="235"/>
      <c r="I435" s="239" t="s">
        <v>23</v>
      </c>
    </row>
    <row r="438" customHeight="1" spans="3:9">
      <c r="G438" s="257" t="s">
        <v>23</v>
      </c>
      <c r="I438" s="230">
        <f>COUNTIF(I2:I427,"L")</f>
        <v>178</v>
      </c>
    </row>
    <row r="439" customHeight="1" spans="3:9">
      <c r="G439" s="257" t="s">
        <v>18</v>
      </c>
      <c r="I439" s="230">
        <f>COUNTIF(I2:I427,"P")</f>
        <v>248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577"/>
  <sheetViews>
    <sheetView workbookViewId="0">
      <selection activeCell="I14" sqref="I14"/>
    </sheetView>
  </sheetViews>
  <sheetFormatPr defaultColWidth="9.15" defaultRowHeight="14.4"/>
  <cols>
    <col min="2" max="2" width="36.2916666666667" customWidth="1"/>
    <col min="4" max="4" width="37.2916666666667" customWidth="1"/>
    <col min="5" max="5" width="18.5666666666667" customWidth="1"/>
    <col min="6" max="6" width="18" customWidth="1"/>
    <col min="9" max="9" width="36.2916666666667" customWidth="1"/>
    <col min="10" max="10" width="18.1416666666667" customWidth="1"/>
    <col min="11" max="11" width="18.2916666666667" customWidth="1"/>
  </cols>
  <sheetData>
    <row r="3" spans="2:6">
      <c r="B3" s="174" t="s">
        <v>1106</v>
      </c>
      <c r="C3" t="e">
        <f>VLOOKUP(B3,D:D,1,FALSE())</f>
        <v>#N/A</v>
      </c>
      <c r="D3" s="156" t="s">
        <v>4042</v>
      </c>
      <c r="E3" s="198" t="s">
        <v>1759</v>
      </c>
      <c r="F3" s="198" t="s">
        <v>1759</v>
      </c>
    </row>
    <row r="4" spans="2:6">
      <c r="B4" s="174" t="s">
        <v>1485</v>
      </c>
      <c r="D4" s="165" t="s">
        <v>1485</v>
      </c>
      <c r="E4" s="199" t="s">
        <v>2040</v>
      </c>
      <c r="F4" s="199" t="s">
        <v>2040</v>
      </c>
    </row>
    <row r="5" spans="2:6">
      <c r="B5" s="174" t="s">
        <v>1874</v>
      </c>
      <c r="D5" s="159" t="s">
        <v>4043</v>
      </c>
      <c r="E5" s="156" t="s">
        <v>1105</v>
      </c>
      <c r="F5" s="156" t="s">
        <v>1105</v>
      </c>
    </row>
    <row r="6" spans="2:6">
      <c r="B6" s="200" t="s">
        <v>1876</v>
      </c>
      <c r="D6" s="165" t="s">
        <v>1876</v>
      </c>
      <c r="E6" s="165" t="s">
        <v>1484</v>
      </c>
      <c r="F6" s="165" t="s">
        <v>1484</v>
      </c>
    </row>
    <row r="7" spans="2:6">
      <c r="B7" s="174" t="s">
        <v>1200</v>
      </c>
      <c r="D7" s="159" t="s">
        <v>4044</v>
      </c>
      <c r="E7" s="198" t="s">
        <v>1873</v>
      </c>
      <c r="F7" s="198" t="s">
        <v>1873</v>
      </c>
    </row>
    <row r="8" spans="2:6">
      <c r="B8" s="174" t="s">
        <v>1108</v>
      </c>
      <c r="D8" s="165" t="s">
        <v>1108</v>
      </c>
      <c r="E8" s="199" t="s">
        <v>1875</v>
      </c>
      <c r="F8" s="199" t="s">
        <v>1875</v>
      </c>
    </row>
    <row r="9" spans="2:6">
      <c r="B9" s="174" t="s">
        <v>1110</v>
      </c>
      <c r="D9" s="156" t="s">
        <v>1110</v>
      </c>
      <c r="E9" s="198" t="s">
        <v>1199</v>
      </c>
      <c r="F9" s="198" t="s">
        <v>1199</v>
      </c>
    </row>
    <row r="10" spans="2:6">
      <c r="B10" s="174" t="s">
        <v>1112</v>
      </c>
      <c r="D10" s="162" t="s">
        <v>4045</v>
      </c>
      <c r="E10" s="165" t="s">
        <v>1107</v>
      </c>
      <c r="F10" s="165" t="s">
        <v>1107</v>
      </c>
    </row>
    <row r="11" spans="2:6">
      <c r="B11" s="174" t="s">
        <v>1202</v>
      </c>
      <c r="D11" s="159" t="s">
        <v>1202</v>
      </c>
      <c r="E11" s="201" t="s">
        <v>1109</v>
      </c>
      <c r="F11" s="201" t="s">
        <v>1109</v>
      </c>
    </row>
    <row r="12" spans="2:6">
      <c r="B12" s="174" t="s">
        <v>1388</v>
      </c>
      <c r="D12" s="165" t="s">
        <v>1388</v>
      </c>
      <c r="E12" s="162" t="s">
        <v>1111</v>
      </c>
      <c r="F12" s="162" t="s">
        <v>1111</v>
      </c>
    </row>
    <row r="13" spans="2:6">
      <c r="B13" s="174" t="s">
        <v>1390</v>
      </c>
      <c r="D13" s="156" t="s">
        <v>1390</v>
      </c>
      <c r="E13" s="159" t="s">
        <v>1201</v>
      </c>
      <c r="F13" s="159" t="s">
        <v>1201</v>
      </c>
    </row>
    <row r="14" spans="2:6">
      <c r="B14" s="174" t="s">
        <v>1776</v>
      </c>
      <c r="D14" s="162" t="s">
        <v>1776</v>
      </c>
      <c r="E14" s="165" t="s">
        <v>1387</v>
      </c>
      <c r="F14" s="165" t="s">
        <v>1387</v>
      </c>
    </row>
    <row r="15" spans="2:6">
      <c r="B15" s="174" t="s">
        <v>1679</v>
      </c>
      <c r="D15" s="156" t="s">
        <v>1679</v>
      </c>
      <c r="E15" s="201" t="s">
        <v>1389</v>
      </c>
      <c r="F15" s="201" t="s">
        <v>1389</v>
      </c>
    </row>
    <row r="16" spans="2:6">
      <c r="B16" s="200" t="s">
        <v>4046</v>
      </c>
      <c r="D16" s="162" t="s">
        <v>4046</v>
      </c>
      <c r="E16" s="162">
        <v>3084436220</v>
      </c>
      <c r="F16" s="162" t="s">
        <v>1775</v>
      </c>
    </row>
    <row r="17" spans="2:11">
      <c r="B17" s="174" t="s">
        <v>1878</v>
      </c>
      <c r="D17" s="159" t="s">
        <v>1878</v>
      </c>
      <c r="E17" s="201" t="s">
        <v>1678</v>
      </c>
      <c r="F17" s="201" t="s">
        <v>1678</v>
      </c>
    </row>
    <row r="18" spans="2:11">
      <c r="B18" s="174" t="s">
        <v>1294</v>
      </c>
      <c r="D18" s="162" t="s">
        <v>4047</v>
      </c>
      <c r="E18" s="162" t="s">
        <v>4048</v>
      </c>
      <c r="F18" s="162" t="s">
        <v>4048</v>
      </c>
    </row>
    <row r="19" spans="2:11">
      <c r="B19" s="200" t="s">
        <v>1204</v>
      </c>
      <c r="D19" s="159" t="s">
        <v>1204</v>
      </c>
      <c r="E19" s="159" t="s">
        <v>4049</v>
      </c>
      <c r="F19" s="159" t="s">
        <v>1877</v>
      </c>
    </row>
    <row r="20" spans="2:11">
      <c r="B20" s="174" t="s">
        <v>1880</v>
      </c>
      <c r="D20" s="162" t="s">
        <v>1880</v>
      </c>
      <c r="E20" s="162" t="s">
        <v>1293</v>
      </c>
      <c r="F20" s="162" t="s">
        <v>1293</v>
      </c>
    </row>
    <row r="21" spans="2:11">
      <c r="B21" s="174" t="s">
        <v>1392</v>
      </c>
      <c r="D21" s="156" t="s">
        <v>4050</v>
      </c>
      <c r="E21" s="156" t="s">
        <v>1225</v>
      </c>
      <c r="F21" s="156" t="s">
        <v>1225</v>
      </c>
      <c r="I21" s="202" t="s">
        <v>4051</v>
      </c>
      <c r="J21" s="202" t="s">
        <v>1203</v>
      </c>
      <c r="K21" s="202" t="s">
        <v>1203</v>
      </c>
    </row>
    <row r="22" spans="2:11">
      <c r="B22" s="174" t="s">
        <v>1972</v>
      </c>
      <c r="D22" s="165" t="s">
        <v>1972</v>
      </c>
      <c r="E22" s="162" t="s">
        <v>1680</v>
      </c>
      <c r="F22" s="162" t="s">
        <v>1680</v>
      </c>
    </row>
    <row r="23" spans="2:11">
      <c r="B23" s="174" t="s">
        <v>1487</v>
      </c>
      <c r="D23" s="159" t="s">
        <v>1487</v>
      </c>
      <c r="E23" s="156" t="s">
        <v>1391</v>
      </c>
      <c r="F23" s="156" t="s">
        <v>1391</v>
      </c>
    </row>
    <row r="24" spans="2:11">
      <c r="B24" s="174" t="s">
        <v>1489</v>
      </c>
      <c r="D24" s="165" t="s">
        <v>4052</v>
      </c>
      <c r="E24" s="165" t="s">
        <v>1971</v>
      </c>
      <c r="F24" s="165" t="s">
        <v>1971</v>
      </c>
    </row>
    <row r="25" spans="2:11">
      <c r="B25" s="174" t="s">
        <v>1581</v>
      </c>
      <c r="D25" s="159" t="s">
        <v>1581</v>
      </c>
      <c r="E25" s="159" t="s">
        <v>1486</v>
      </c>
      <c r="F25" s="159" t="s">
        <v>1486</v>
      </c>
    </row>
    <row r="26" spans="2:11">
      <c r="B26" s="203" t="s">
        <v>1491</v>
      </c>
      <c r="C26" s="204"/>
      <c r="D26" s="205" t="s">
        <v>1491</v>
      </c>
      <c r="E26" s="205" t="s">
        <v>1580</v>
      </c>
      <c r="F26" s="205" t="s">
        <v>1580</v>
      </c>
      <c r="G26" s="204"/>
      <c r="H26" s="204"/>
      <c r="I26" s="206" t="s">
        <v>1581</v>
      </c>
      <c r="J26" s="206" t="s">
        <v>1488</v>
      </c>
      <c r="K26" s="206" t="s">
        <v>1488</v>
      </c>
    </row>
    <row r="27" spans="2:11">
      <c r="B27" s="200" t="s">
        <v>1681</v>
      </c>
      <c r="D27" s="162" t="s">
        <v>4053</v>
      </c>
      <c r="E27" s="162" t="s">
        <v>1879</v>
      </c>
      <c r="F27" s="162" t="s">
        <v>1879</v>
      </c>
    </row>
    <row r="28" spans="2:11">
      <c r="B28" s="174" t="s">
        <v>1882</v>
      </c>
      <c r="D28" s="162" t="s">
        <v>4054</v>
      </c>
      <c r="E28" s="162" t="s">
        <v>1580</v>
      </c>
      <c r="F28" s="162" t="s">
        <v>1580</v>
      </c>
    </row>
    <row r="29" spans="2:11">
      <c r="B29" s="174" t="s">
        <v>1206</v>
      </c>
      <c r="D29" s="156" t="s">
        <v>1206</v>
      </c>
      <c r="E29" s="198" t="s">
        <v>1490</v>
      </c>
      <c r="F29" s="198" t="s">
        <v>1490</v>
      </c>
    </row>
    <row r="30" spans="2:11">
      <c r="B30" s="200" t="s">
        <v>1493</v>
      </c>
      <c r="D30" s="165" t="s">
        <v>1493</v>
      </c>
      <c r="E30" s="162" t="s">
        <v>1881</v>
      </c>
      <c r="F30" s="162" t="s">
        <v>1881</v>
      </c>
    </row>
    <row r="31" spans="2:11">
      <c r="B31" s="174" t="s">
        <v>1683</v>
      </c>
      <c r="D31" s="156" t="s">
        <v>1683</v>
      </c>
      <c r="E31" s="201" t="s">
        <v>1205</v>
      </c>
      <c r="F31" s="201" t="s">
        <v>1205</v>
      </c>
    </row>
    <row r="32" spans="2:11">
      <c r="B32" s="174" t="s">
        <v>1778</v>
      </c>
      <c r="D32" s="162" t="s">
        <v>1778</v>
      </c>
      <c r="E32" s="165" t="s">
        <v>1492</v>
      </c>
      <c r="F32" s="165" t="s">
        <v>1492</v>
      </c>
    </row>
    <row r="33" spans="2:6">
      <c r="B33" s="174" t="s">
        <v>4055</v>
      </c>
      <c r="D33" s="156" t="s">
        <v>4055</v>
      </c>
      <c r="E33" s="156" t="s">
        <v>1682</v>
      </c>
      <c r="F33" s="156" t="s">
        <v>1682</v>
      </c>
    </row>
    <row r="34" spans="2:6">
      <c r="B34" s="174" t="s">
        <v>1884</v>
      </c>
      <c r="D34" s="165" t="s">
        <v>4056</v>
      </c>
      <c r="E34" s="162" t="s">
        <v>1777</v>
      </c>
      <c r="F34" s="162" t="s">
        <v>1777</v>
      </c>
    </row>
    <row r="35" spans="2:6">
      <c r="B35" s="174" t="s">
        <v>1974</v>
      </c>
      <c r="D35" s="159" t="s">
        <v>1974</v>
      </c>
      <c r="E35" s="156" t="s">
        <v>910</v>
      </c>
      <c r="F35" s="156" t="s">
        <v>910</v>
      </c>
    </row>
    <row r="36" spans="2:6">
      <c r="B36" s="174" t="s">
        <v>1976</v>
      </c>
      <c r="D36" s="162" t="s">
        <v>1976</v>
      </c>
      <c r="E36" s="165" t="s">
        <v>1883</v>
      </c>
      <c r="F36" s="165" t="s">
        <v>1883</v>
      </c>
    </row>
    <row r="37" spans="2:6">
      <c r="B37" s="207" t="s">
        <v>1780</v>
      </c>
      <c r="D37" s="156" t="s">
        <v>1780</v>
      </c>
      <c r="E37" s="159">
        <v>3107439880</v>
      </c>
      <c r="F37" s="159" t="s">
        <v>1973</v>
      </c>
    </row>
    <row r="38" spans="2:6">
      <c r="B38" s="174" t="s">
        <v>913</v>
      </c>
      <c r="D38" s="162" t="s">
        <v>913</v>
      </c>
      <c r="E38" s="162" t="s">
        <v>1975</v>
      </c>
      <c r="F38" s="162" t="s">
        <v>1975</v>
      </c>
    </row>
    <row r="39" spans="2:6">
      <c r="B39" s="200" t="s">
        <v>1685</v>
      </c>
      <c r="D39" s="159" t="s">
        <v>4057</v>
      </c>
      <c r="E39" s="156" t="s">
        <v>1779</v>
      </c>
      <c r="F39" s="156" t="s">
        <v>1779</v>
      </c>
    </row>
    <row r="40" spans="2:6">
      <c r="B40" s="174" t="s">
        <v>1114</v>
      </c>
      <c r="D40" s="165" t="s">
        <v>4058</v>
      </c>
      <c r="E40" s="162" t="s">
        <v>912</v>
      </c>
      <c r="F40" s="162" t="s">
        <v>912</v>
      </c>
    </row>
    <row r="41" spans="2:6">
      <c r="B41" s="174" t="s">
        <v>4059</v>
      </c>
      <c r="D41" s="159" t="s">
        <v>4059</v>
      </c>
      <c r="E41" s="159" t="s">
        <v>1684</v>
      </c>
      <c r="F41" s="159" t="s">
        <v>1684</v>
      </c>
    </row>
    <row r="42" spans="2:6">
      <c r="B42" s="174" t="s">
        <v>1978</v>
      </c>
      <c r="D42" s="165" t="s">
        <v>1978</v>
      </c>
      <c r="E42" s="165" t="s">
        <v>1113</v>
      </c>
      <c r="F42" s="165" t="s">
        <v>1113</v>
      </c>
    </row>
    <row r="43" spans="2:6">
      <c r="B43" s="174" t="s">
        <v>1782</v>
      </c>
      <c r="D43" s="156" t="s">
        <v>1782</v>
      </c>
      <c r="E43" s="198" t="s">
        <v>914</v>
      </c>
      <c r="F43" s="198" t="s">
        <v>914</v>
      </c>
    </row>
    <row r="44" spans="2:6">
      <c r="B44" s="174" t="s">
        <v>917</v>
      </c>
      <c r="D44" s="162" t="s">
        <v>917</v>
      </c>
      <c r="E44" s="199" t="s">
        <v>1977</v>
      </c>
      <c r="F44" s="199" t="s">
        <v>1977</v>
      </c>
    </row>
    <row r="45" spans="2:6">
      <c r="B45" s="174" t="s">
        <v>1394</v>
      </c>
      <c r="D45" s="156" t="s">
        <v>1394</v>
      </c>
      <c r="E45" s="156" t="s">
        <v>1781</v>
      </c>
      <c r="F45" s="156" t="s">
        <v>1781</v>
      </c>
    </row>
    <row r="46" spans="2:6">
      <c r="B46" s="174" t="s">
        <v>1116</v>
      </c>
      <c r="D46" s="162" t="s">
        <v>4060</v>
      </c>
      <c r="E46" s="162" t="s">
        <v>916</v>
      </c>
      <c r="F46" s="162" t="s">
        <v>916</v>
      </c>
    </row>
    <row r="47" spans="2:6">
      <c r="B47" s="174" t="s">
        <v>1583</v>
      </c>
      <c r="D47" s="159" t="s">
        <v>1583</v>
      </c>
      <c r="E47" s="201" t="s">
        <v>1393</v>
      </c>
      <c r="F47" s="201" t="s">
        <v>1393</v>
      </c>
    </row>
    <row r="48" spans="2:6">
      <c r="B48" s="174" t="s">
        <v>1005</v>
      </c>
      <c r="D48" s="162" t="s">
        <v>4061</v>
      </c>
      <c r="E48" s="162" t="s">
        <v>1115</v>
      </c>
      <c r="F48" s="162" t="s">
        <v>1115</v>
      </c>
    </row>
    <row r="49" spans="2:11">
      <c r="B49" s="174" t="s">
        <v>1118</v>
      </c>
      <c r="D49" s="159" t="s">
        <v>1118</v>
      </c>
      <c r="E49" s="159" t="s">
        <v>1582</v>
      </c>
      <c r="F49" s="159" t="s">
        <v>1582</v>
      </c>
    </row>
    <row r="50" spans="2:11">
      <c r="B50" s="200" t="s">
        <v>919</v>
      </c>
      <c r="D50" s="162" t="s">
        <v>919</v>
      </c>
      <c r="E50" s="162" t="s">
        <v>1004</v>
      </c>
      <c r="F50" s="162" t="s">
        <v>1004</v>
      </c>
    </row>
    <row r="51" spans="2:11">
      <c r="B51" s="174" t="s">
        <v>1495</v>
      </c>
      <c r="D51" s="159" t="s">
        <v>4062</v>
      </c>
      <c r="E51" s="198" t="s">
        <v>1117</v>
      </c>
      <c r="F51" s="198" t="s">
        <v>1117</v>
      </c>
    </row>
    <row r="52" spans="2:11">
      <c r="B52" s="174" t="s">
        <v>1497</v>
      </c>
      <c r="D52" s="165" t="s">
        <v>4063</v>
      </c>
      <c r="E52" s="162" t="s">
        <v>918</v>
      </c>
      <c r="F52" s="162" t="s">
        <v>918</v>
      </c>
    </row>
    <row r="53" spans="2:11">
      <c r="B53" s="174" t="s">
        <v>1007</v>
      </c>
      <c r="D53" s="159" t="s">
        <v>1007</v>
      </c>
      <c r="E53" s="159" t="s">
        <v>1494</v>
      </c>
      <c r="F53" s="159" t="s">
        <v>1494</v>
      </c>
    </row>
    <row r="54" spans="2:11">
      <c r="B54" s="174" t="s">
        <v>1585</v>
      </c>
      <c r="D54" s="165" t="s">
        <v>1585</v>
      </c>
      <c r="E54" s="199" t="s">
        <v>1496</v>
      </c>
      <c r="F54" s="199" t="s">
        <v>1496</v>
      </c>
    </row>
    <row r="55" spans="2:11">
      <c r="B55" s="174" t="s">
        <v>1208</v>
      </c>
      <c r="D55" s="159" t="s">
        <v>1208</v>
      </c>
      <c r="E55" s="159" t="s">
        <v>1006</v>
      </c>
      <c r="F55" s="159" t="s">
        <v>1006</v>
      </c>
    </row>
    <row r="56" spans="2:11">
      <c r="B56" s="174" t="s">
        <v>1210</v>
      </c>
      <c r="D56" s="165" t="s">
        <v>1210</v>
      </c>
      <c r="E56" s="165" t="s">
        <v>1584</v>
      </c>
      <c r="F56" s="165" t="s">
        <v>1584</v>
      </c>
    </row>
    <row r="57" spans="2:11">
      <c r="B57" s="174" t="s">
        <v>1687</v>
      </c>
      <c r="D57" s="159" t="s">
        <v>1687</v>
      </c>
      <c r="E57" s="159" t="s">
        <v>1207</v>
      </c>
      <c r="F57" s="159" t="s">
        <v>1207</v>
      </c>
    </row>
    <row r="58" spans="2:11">
      <c r="B58" s="174" t="s">
        <v>921</v>
      </c>
      <c r="D58" s="162" t="s">
        <v>921</v>
      </c>
      <c r="E58" s="165" t="s">
        <v>1209</v>
      </c>
      <c r="F58" s="165" t="s">
        <v>1209</v>
      </c>
    </row>
    <row r="59" spans="2:11">
      <c r="B59" s="174" t="s">
        <v>1120</v>
      </c>
      <c r="D59" s="159" t="s">
        <v>4064</v>
      </c>
      <c r="E59" s="159" t="s">
        <v>1686</v>
      </c>
      <c r="F59" s="159" t="s">
        <v>1686</v>
      </c>
    </row>
    <row r="60" spans="2:11">
      <c r="B60" s="174" t="s">
        <v>1296</v>
      </c>
      <c r="D60" s="162" t="s">
        <v>4065</v>
      </c>
      <c r="E60" s="208" t="s">
        <v>920</v>
      </c>
      <c r="F60" s="208" t="s">
        <v>920</v>
      </c>
    </row>
    <row r="61" spans="2:11">
      <c r="B61" s="174" t="s">
        <v>1499</v>
      </c>
      <c r="D61" s="156" t="s">
        <v>1499</v>
      </c>
      <c r="E61" s="159" t="s">
        <v>1119</v>
      </c>
      <c r="F61" s="159" t="s">
        <v>1119</v>
      </c>
    </row>
    <row r="62" spans="2:11">
      <c r="B62" s="203" t="s">
        <v>1298</v>
      </c>
      <c r="C62" s="204"/>
      <c r="D62" s="206" t="s">
        <v>1298</v>
      </c>
      <c r="E62" s="209" t="s">
        <v>1295</v>
      </c>
      <c r="F62" s="209" t="s">
        <v>1295</v>
      </c>
      <c r="G62" s="204"/>
      <c r="H62" s="204"/>
      <c r="I62" s="205" t="s">
        <v>4066</v>
      </c>
      <c r="J62" s="205" t="s">
        <v>1498</v>
      </c>
      <c r="K62" s="205" t="s">
        <v>1498</v>
      </c>
    </row>
    <row r="63" spans="2:11">
      <c r="B63" s="174" t="s">
        <v>1886</v>
      </c>
      <c r="D63" s="165" t="s">
        <v>1886</v>
      </c>
      <c r="E63" s="162" t="s">
        <v>1297</v>
      </c>
      <c r="F63" s="162" t="s">
        <v>1297</v>
      </c>
    </row>
    <row r="64" spans="2:11">
      <c r="B64" s="210" t="s">
        <v>1587</v>
      </c>
    </row>
    <row r="65" spans="2:11">
      <c r="B65" s="203" t="s">
        <v>1123</v>
      </c>
      <c r="C65" s="204"/>
      <c r="D65" s="206" t="s">
        <v>1123</v>
      </c>
      <c r="E65" s="206" t="s">
        <v>1885</v>
      </c>
      <c r="F65" s="206" t="s">
        <v>1885</v>
      </c>
      <c r="G65" s="204"/>
      <c r="H65" s="204"/>
      <c r="I65" s="205" t="s">
        <v>1123</v>
      </c>
      <c r="J65" s="205" t="s">
        <v>1297</v>
      </c>
      <c r="K65" s="205" t="s">
        <v>1297</v>
      </c>
    </row>
    <row r="66" spans="2:11">
      <c r="B66" s="174" t="s">
        <v>1980</v>
      </c>
      <c r="D66" s="162" t="s">
        <v>1980</v>
      </c>
      <c r="E66" s="208" t="s">
        <v>1122</v>
      </c>
      <c r="F66" s="208" t="s">
        <v>1122</v>
      </c>
    </row>
    <row r="67" spans="2:11">
      <c r="B67" s="174" t="s">
        <v>1689</v>
      </c>
      <c r="D67" s="159" t="s">
        <v>1689</v>
      </c>
      <c r="E67" s="198" t="s">
        <v>1979</v>
      </c>
      <c r="F67" s="198" t="s">
        <v>1979</v>
      </c>
    </row>
    <row r="68" spans="2:11">
      <c r="B68" s="174" t="s">
        <v>923</v>
      </c>
      <c r="D68" s="165" t="s">
        <v>4067</v>
      </c>
      <c r="E68" s="162" t="s">
        <v>1979</v>
      </c>
      <c r="F68" s="162" t="s">
        <v>1979</v>
      </c>
    </row>
    <row r="69" spans="2:11">
      <c r="B69" s="174" t="s">
        <v>4068</v>
      </c>
      <c r="D69" s="159" t="s">
        <v>4068</v>
      </c>
      <c r="E69" s="159" t="s">
        <v>1688</v>
      </c>
      <c r="F69" s="159" t="s">
        <v>1688</v>
      </c>
    </row>
    <row r="70" spans="2:11">
      <c r="B70" s="174" t="s">
        <v>1010</v>
      </c>
      <c r="D70" s="165" t="s">
        <v>4069</v>
      </c>
      <c r="E70" s="165" t="s">
        <v>922</v>
      </c>
      <c r="F70" s="165" t="s">
        <v>922</v>
      </c>
    </row>
    <row r="71" spans="2:11">
      <c r="B71" s="174" t="s">
        <v>1012</v>
      </c>
      <c r="D71" s="156" t="s">
        <v>1012</v>
      </c>
      <c r="E71" s="198">
        <v>1617231006</v>
      </c>
      <c r="F71" s="198" t="s">
        <v>4070</v>
      </c>
    </row>
    <row r="72" spans="2:11">
      <c r="B72" s="200" t="s">
        <v>1691</v>
      </c>
      <c r="D72" s="162" t="s">
        <v>1691</v>
      </c>
      <c r="E72" s="165" t="s">
        <v>1009</v>
      </c>
      <c r="F72" s="165" t="s">
        <v>1009</v>
      </c>
    </row>
    <row r="73" spans="2:11">
      <c r="B73" s="174" t="s">
        <v>925</v>
      </c>
      <c r="D73" s="159" t="s">
        <v>4071</v>
      </c>
      <c r="E73" s="156" t="s">
        <v>1011</v>
      </c>
      <c r="F73" s="156" t="s">
        <v>1011</v>
      </c>
    </row>
    <row r="74" spans="2:11">
      <c r="B74" s="174" t="s">
        <v>1125</v>
      </c>
      <c r="D74" s="165" t="s">
        <v>4072</v>
      </c>
      <c r="E74" s="208" t="s">
        <v>1690</v>
      </c>
      <c r="F74" s="208" t="s">
        <v>1690</v>
      </c>
    </row>
    <row r="75" spans="2:11">
      <c r="B75" s="174" t="s">
        <v>1212</v>
      </c>
      <c r="D75" s="159" t="s">
        <v>4073</v>
      </c>
      <c r="E75" s="159" t="s">
        <v>924</v>
      </c>
      <c r="F75" s="159" t="s">
        <v>4074</v>
      </c>
    </row>
    <row r="76" spans="2:11">
      <c r="B76" s="203" t="s">
        <v>1982</v>
      </c>
      <c r="C76" s="204"/>
      <c r="D76" s="205" t="s">
        <v>1982</v>
      </c>
      <c r="E76" s="205" t="s">
        <v>1211</v>
      </c>
      <c r="F76" s="205" t="s">
        <v>1211</v>
      </c>
      <c r="G76" s="204"/>
      <c r="H76" s="204"/>
      <c r="I76" s="206" t="s">
        <v>4075</v>
      </c>
      <c r="J76" s="206" t="s">
        <v>1124</v>
      </c>
      <c r="K76" s="206" t="s">
        <v>1124</v>
      </c>
    </row>
    <row r="77" spans="2:11">
      <c r="B77" s="200" t="s">
        <v>1501</v>
      </c>
      <c r="D77" s="162" t="s">
        <v>1501</v>
      </c>
      <c r="E77" s="165" t="s">
        <v>1299</v>
      </c>
      <c r="F77" s="165" t="s">
        <v>1299</v>
      </c>
    </row>
    <row r="78" spans="2:11">
      <c r="B78" s="174" t="s">
        <v>1888</v>
      </c>
      <c r="D78" s="159" t="s">
        <v>4076</v>
      </c>
      <c r="E78" s="198" t="s">
        <v>1981</v>
      </c>
      <c r="F78" s="198" t="s">
        <v>1981</v>
      </c>
    </row>
    <row r="79" spans="2:11">
      <c r="B79" s="174" t="s">
        <v>1984</v>
      </c>
      <c r="D79" s="162" t="s">
        <v>4077</v>
      </c>
      <c r="E79" s="162" t="s">
        <v>1500</v>
      </c>
      <c r="F79" s="162" t="s">
        <v>1500</v>
      </c>
    </row>
    <row r="80" spans="2:11">
      <c r="B80" s="174" t="s">
        <v>1396</v>
      </c>
      <c r="D80" s="156" t="s">
        <v>1396</v>
      </c>
      <c r="E80" s="198" t="s">
        <v>1887</v>
      </c>
      <c r="F80" s="198" t="s">
        <v>1887</v>
      </c>
    </row>
    <row r="81" spans="2:11">
      <c r="B81" s="200" t="s">
        <v>1589</v>
      </c>
      <c r="D81" s="162" t="s">
        <v>4078</v>
      </c>
      <c r="E81" s="162" t="s">
        <v>1983</v>
      </c>
      <c r="F81" s="162" t="s">
        <v>1983</v>
      </c>
    </row>
    <row r="82" spans="2:11">
      <c r="B82" s="210" t="s">
        <v>1300</v>
      </c>
      <c r="D82" s="168"/>
      <c r="E82" s="168"/>
      <c r="F82" s="168"/>
    </row>
    <row r="83" spans="2:11">
      <c r="B83" s="200" t="s">
        <v>1014</v>
      </c>
      <c r="D83" s="159" t="s">
        <v>4079</v>
      </c>
      <c r="E83" s="156" t="s">
        <v>1395</v>
      </c>
      <c r="F83" s="156" t="s">
        <v>1395</v>
      </c>
    </row>
    <row r="84" spans="2:11">
      <c r="B84" s="174" t="s">
        <v>1693</v>
      </c>
      <c r="D84" s="162" t="s">
        <v>4080</v>
      </c>
      <c r="E84" s="162" t="s">
        <v>1588</v>
      </c>
      <c r="F84" s="162" t="s">
        <v>1588</v>
      </c>
    </row>
    <row r="85" spans="2:11">
      <c r="B85" s="174" t="s">
        <v>1695</v>
      </c>
      <c r="D85" s="156" t="s">
        <v>1695</v>
      </c>
      <c r="E85" s="159" t="s">
        <v>1013</v>
      </c>
      <c r="F85" s="159" t="s">
        <v>1013</v>
      </c>
    </row>
    <row r="86" spans="2:11">
      <c r="B86" s="174" t="s">
        <v>1016</v>
      </c>
      <c r="D86" s="165" t="s">
        <v>1016</v>
      </c>
      <c r="E86" s="162" t="s">
        <v>1692</v>
      </c>
      <c r="F86" s="162" t="s">
        <v>1692</v>
      </c>
    </row>
    <row r="87" spans="2:11">
      <c r="B87" s="174" t="s">
        <v>1697</v>
      </c>
      <c r="D87" s="159" t="s">
        <v>1697</v>
      </c>
      <c r="E87" s="156" t="s">
        <v>1694</v>
      </c>
      <c r="F87" s="156" t="s">
        <v>1694</v>
      </c>
    </row>
    <row r="88" spans="2:11">
      <c r="B88" s="174" t="s">
        <v>1503</v>
      </c>
      <c r="D88" s="165" t="s">
        <v>1503</v>
      </c>
      <c r="E88" s="199" t="s">
        <v>1015</v>
      </c>
      <c r="F88" s="199" t="s">
        <v>1015</v>
      </c>
    </row>
    <row r="89" spans="2:11">
      <c r="B89" s="174" t="s">
        <v>1591</v>
      </c>
      <c r="D89" s="159" t="s">
        <v>1591</v>
      </c>
      <c r="E89" s="198" t="s">
        <v>1696</v>
      </c>
      <c r="F89" s="198" t="s">
        <v>1696</v>
      </c>
    </row>
    <row r="90" spans="2:11">
      <c r="B90" s="174" t="s">
        <v>1505</v>
      </c>
      <c r="D90" s="165" t="s">
        <v>1505</v>
      </c>
      <c r="E90" s="165" t="s">
        <v>1502</v>
      </c>
      <c r="F90" s="165" t="s">
        <v>1502</v>
      </c>
    </row>
    <row r="91" spans="2:11">
      <c r="B91" s="174" t="s">
        <v>1302</v>
      </c>
      <c r="D91" s="159" t="s">
        <v>4081</v>
      </c>
      <c r="E91" s="159" t="s">
        <v>1590</v>
      </c>
      <c r="F91" s="159" t="s">
        <v>1590</v>
      </c>
    </row>
    <row r="92" spans="2:11">
      <c r="B92" s="174" t="s">
        <v>927</v>
      </c>
      <c r="D92" s="165" t="s">
        <v>927</v>
      </c>
      <c r="E92" s="165" t="s">
        <v>1504</v>
      </c>
      <c r="F92" s="165" t="s">
        <v>1504</v>
      </c>
    </row>
    <row r="93" spans="2:11">
      <c r="B93" s="174" t="s">
        <v>1304</v>
      </c>
      <c r="D93" s="156" t="s">
        <v>1304</v>
      </c>
      <c r="E93" s="198" t="s">
        <v>1301</v>
      </c>
      <c r="F93" s="198" t="s">
        <v>1301</v>
      </c>
    </row>
    <row r="94" spans="2:11">
      <c r="B94" s="174" t="s">
        <v>1214</v>
      </c>
      <c r="D94" s="162" t="s">
        <v>1214</v>
      </c>
      <c r="E94" s="165" t="s">
        <v>926</v>
      </c>
      <c r="F94" s="165" t="s">
        <v>926</v>
      </c>
    </row>
    <row r="95" spans="2:11">
      <c r="B95" s="174" t="s">
        <v>1127</v>
      </c>
      <c r="D95" s="156" t="s">
        <v>1127</v>
      </c>
      <c r="E95" s="156" t="s">
        <v>1303</v>
      </c>
      <c r="F95" s="156" t="s">
        <v>1303</v>
      </c>
    </row>
    <row r="96" spans="2:11">
      <c r="B96" s="203" t="s">
        <v>1890</v>
      </c>
      <c r="C96" s="204"/>
      <c r="D96" s="206" t="s">
        <v>1890</v>
      </c>
      <c r="E96" s="206" t="s">
        <v>1213</v>
      </c>
      <c r="F96" s="206" t="s">
        <v>1213</v>
      </c>
      <c r="G96" s="204"/>
      <c r="H96" s="204"/>
      <c r="I96" s="205" t="s">
        <v>1890</v>
      </c>
      <c r="J96" s="205" t="s">
        <v>1126</v>
      </c>
      <c r="K96" s="205" t="s">
        <v>1126</v>
      </c>
    </row>
    <row r="97" spans="2:6">
      <c r="B97" s="174" t="s">
        <v>1398</v>
      </c>
      <c r="D97" s="165" t="s">
        <v>1398</v>
      </c>
      <c r="E97" s="199" t="s">
        <v>1889</v>
      </c>
      <c r="F97" s="199" t="s">
        <v>1889</v>
      </c>
    </row>
    <row r="98" spans="2:6">
      <c r="B98" s="174" t="s">
        <v>1986</v>
      </c>
      <c r="D98" s="159" t="s">
        <v>4082</v>
      </c>
      <c r="E98" s="198" t="s">
        <v>1889</v>
      </c>
      <c r="F98" s="198" t="s">
        <v>1889</v>
      </c>
    </row>
    <row r="99" spans="2:6">
      <c r="B99" s="174" t="s">
        <v>1784</v>
      </c>
      <c r="D99" s="162" t="s">
        <v>1784</v>
      </c>
      <c r="E99" s="165" t="s">
        <v>1397</v>
      </c>
      <c r="F99" s="165" t="s">
        <v>1397</v>
      </c>
    </row>
    <row r="100" spans="2:6">
      <c r="B100" s="200" t="s">
        <v>1400</v>
      </c>
      <c r="D100" s="159" t="s">
        <v>1400</v>
      </c>
      <c r="E100" s="159" t="s">
        <v>1985</v>
      </c>
      <c r="F100" s="159" t="s">
        <v>1985</v>
      </c>
    </row>
    <row r="101" spans="2:6">
      <c r="B101" s="174" t="s">
        <v>1507</v>
      </c>
      <c r="D101" s="162" t="s">
        <v>4083</v>
      </c>
      <c r="E101" s="162" t="s">
        <v>1783</v>
      </c>
      <c r="F101" s="162" t="s">
        <v>1783</v>
      </c>
    </row>
    <row r="102" spans="2:6">
      <c r="B102" s="174" t="s">
        <v>1593</v>
      </c>
      <c r="D102" s="156" t="s">
        <v>1593</v>
      </c>
      <c r="E102" s="159" t="s">
        <v>1399</v>
      </c>
      <c r="F102" s="159" t="s">
        <v>1399</v>
      </c>
    </row>
    <row r="103" spans="2:6">
      <c r="B103" s="174" t="s">
        <v>1216</v>
      </c>
      <c r="D103" s="162" t="s">
        <v>1216</v>
      </c>
      <c r="E103" s="162">
        <v>3092643458</v>
      </c>
      <c r="F103" s="162">
        <v>3092643458</v>
      </c>
    </row>
    <row r="104" spans="2:6">
      <c r="B104" s="174" t="s">
        <v>1595</v>
      </c>
      <c r="D104" s="156" t="s">
        <v>1595</v>
      </c>
      <c r="E104" s="156" t="s">
        <v>1592</v>
      </c>
      <c r="F104" s="156" t="s">
        <v>1592</v>
      </c>
    </row>
    <row r="105" spans="2:6">
      <c r="B105" s="174" t="s">
        <v>929</v>
      </c>
      <c r="D105" s="162" t="s">
        <v>929</v>
      </c>
      <c r="E105" s="162" t="s">
        <v>1215</v>
      </c>
      <c r="F105" s="162" t="s">
        <v>1215</v>
      </c>
    </row>
    <row r="106" spans="2:6">
      <c r="B106" s="174" t="s">
        <v>1018</v>
      </c>
      <c r="D106" s="156" t="s">
        <v>1018</v>
      </c>
      <c r="E106" s="201" t="s">
        <v>1594</v>
      </c>
      <c r="F106" s="201" t="s">
        <v>1594</v>
      </c>
    </row>
    <row r="107" spans="2:6">
      <c r="B107" s="174" t="s">
        <v>1129</v>
      </c>
      <c r="D107" s="165" t="s">
        <v>1129</v>
      </c>
      <c r="E107" s="208" t="s">
        <v>928</v>
      </c>
      <c r="F107" s="208" t="s">
        <v>928</v>
      </c>
    </row>
    <row r="108" spans="2:6">
      <c r="B108" s="174" t="s">
        <v>1699</v>
      </c>
      <c r="D108" s="156" t="s">
        <v>1699</v>
      </c>
      <c r="E108" s="201" t="s">
        <v>1017</v>
      </c>
      <c r="F108" s="201" t="s">
        <v>1017</v>
      </c>
    </row>
    <row r="109" spans="2:6">
      <c r="B109" s="174" t="s">
        <v>1020</v>
      </c>
      <c r="D109" s="165" t="s">
        <v>1020</v>
      </c>
      <c r="E109" s="165" t="s">
        <v>1128</v>
      </c>
      <c r="F109" s="165" t="s">
        <v>1128</v>
      </c>
    </row>
    <row r="110" spans="2:6">
      <c r="B110" s="174" t="s">
        <v>1892</v>
      </c>
      <c r="D110" s="159" t="s">
        <v>1892</v>
      </c>
      <c r="E110" s="156" t="s">
        <v>1698</v>
      </c>
      <c r="F110" s="156" t="s">
        <v>1698</v>
      </c>
    </row>
    <row r="111" spans="2:6">
      <c r="B111" s="174" t="s">
        <v>1597</v>
      </c>
      <c r="D111" s="165" t="s">
        <v>4084</v>
      </c>
      <c r="E111" s="165" t="s">
        <v>1019</v>
      </c>
      <c r="F111" s="165" t="s">
        <v>1019</v>
      </c>
    </row>
    <row r="112" spans="2:6">
      <c r="B112" s="174" t="s">
        <v>1599</v>
      </c>
      <c r="D112" s="159" t="s">
        <v>1599</v>
      </c>
      <c r="E112" s="159" t="s">
        <v>1891</v>
      </c>
      <c r="F112" s="159" t="s">
        <v>1891</v>
      </c>
    </row>
    <row r="113" spans="2:11">
      <c r="B113" s="174" t="s">
        <v>1786</v>
      </c>
      <c r="D113" s="165" t="s">
        <v>1786</v>
      </c>
      <c r="E113" s="165" t="s">
        <v>1596</v>
      </c>
      <c r="F113" s="165" t="s">
        <v>1596</v>
      </c>
    </row>
    <row r="114" spans="2:11">
      <c r="B114" s="174" t="s">
        <v>1402</v>
      </c>
      <c r="D114" s="159" t="s">
        <v>4085</v>
      </c>
      <c r="E114" s="198" t="s">
        <v>1598</v>
      </c>
      <c r="F114" s="198" t="s">
        <v>1598</v>
      </c>
    </row>
    <row r="115" spans="2:11">
      <c r="B115" s="210" t="s">
        <v>1306</v>
      </c>
      <c r="I115" s="202" t="s">
        <v>4086</v>
      </c>
      <c r="J115" s="202" t="s">
        <v>1401</v>
      </c>
      <c r="K115" s="202" t="s">
        <v>1401</v>
      </c>
    </row>
    <row r="116" spans="2:11">
      <c r="B116" s="174" t="s">
        <v>1788</v>
      </c>
      <c r="D116" s="165" t="s">
        <v>1788</v>
      </c>
      <c r="E116" s="165" t="s">
        <v>1785</v>
      </c>
      <c r="F116" s="165" t="s">
        <v>1785</v>
      </c>
    </row>
    <row r="117" spans="2:11">
      <c r="B117" s="200" t="s">
        <v>931</v>
      </c>
      <c r="D117" s="162" t="s">
        <v>931</v>
      </c>
      <c r="E117" s="165">
        <v>3092452338</v>
      </c>
      <c r="F117" s="165">
        <v>3092452338</v>
      </c>
    </row>
    <row r="118" spans="2:11">
      <c r="B118" s="174" t="s">
        <v>1509</v>
      </c>
      <c r="D118" s="159" t="s">
        <v>1509</v>
      </c>
      <c r="E118" s="156" t="s">
        <v>4087</v>
      </c>
      <c r="F118" s="156" t="s">
        <v>4087</v>
      </c>
    </row>
    <row r="119" spans="2:11">
      <c r="B119" s="174" t="s">
        <v>1022</v>
      </c>
      <c r="D119" s="162" t="s">
        <v>1022</v>
      </c>
      <c r="E119" s="208" t="s">
        <v>930</v>
      </c>
      <c r="F119" s="208" t="s">
        <v>930</v>
      </c>
    </row>
    <row r="120" spans="2:11">
      <c r="B120" s="174" t="s">
        <v>1024</v>
      </c>
      <c r="D120" s="159" t="s">
        <v>4088</v>
      </c>
      <c r="E120" s="159" t="s">
        <v>1508</v>
      </c>
      <c r="F120" s="159" t="s">
        <v>1508</v>
      </c>
    </row>
    <row r="121" spans="2:11">
      <c r="B121" s="174" t="s">
        <v>1601</v>
      </c>
      <c r="D121" s="162" t="s">
        <v>4089</v>
      </c>
      <c r="E121" s="162" t="s">
        <v>1021</v>
      </c>
      <c r="F121" s="162" t="s">
        <v>1021</v>
      </c>
    </row>
    <row r="122" spans="2:11">
      <c r="B122" s="174" t="s">
        <v>4090</v>
      </c>
      <c r="D122" s="159" t="s">
        <v>4090</v>
      </c>
      <c r="E122" s="198" t="s">
        <v>1023</v>
      </c>
      <c r="F122" s="198" t="s">
        <v>1023</v>
      </c>
    </row>
    <row r="123" spans="2:11">
      <c r="B123" s="174" t="s">
        <v>1308</v>
      </c>
      <c r="D123" s="162" t="s">
        <v>4091</v>
      </c>
      <c r="E123" s="162" t="s">
        <v>1600</v>
      </c>
      <c r="F123" s="162" t="s">
        <v>1600</v>
      </c>
    </row>
    <row r="124" spans="2:11">
      <c r="B124" s="200" t="s">
        <v>1218</v>
      </c>
      <c r="D124" s="156" t="s">
        <v>1218</v>
      </c>
      <c r="E124" s="159">
        <v>3105837808</v>
      </c>
      <c r="F124" s="159">
        <v>3105837808</v>
      </c>
    </row>
    <row r="125" spans="2:11">
      <c r="B125" s="174" t="s">
        <v>1220</v>
      </c>
      <c r="D125" s="162" t="s">
        <v>1220</v>
      </c>
      <c r="E125" s="162" t="s">
        <v>1307</v>
      </c>
      <c r="F125" s="162" t="s">
        <v>1307</v>
      </c>
    </row>
    <row r="126" spans="2:11">
      <c r="B126" s="174" t="s">
        <v>1790</v>
      </c>
      <c r="D126" s="159" t="s">
        <v>1790</v>
      </c>
      <c r="E126" s="156" t="s">
        <v>1217</v>
      </c>
      <c r="F126" s="156" t="s">
        <v>1217</v>
      </c>
    </row>
    <row r="127" spans="2:11">
      <c r="B127" s="174" t="s">
        <v>1026</v>
      </c>
      <c r="D127" s="165" t="s">
        <v>4092</v>
      </c>
      <c r="E127" s="162" t="s">
        <v>1219</v>
      </c>
      <c r="F127" s="162" t="s">
        <v>1219</v>
      </c>
    </row>
    <row r="128" spans="2:11">
      <c r="B128" s="174" t="s">
        <v>417</v>
      </c>
      <c r="D128" s="156" t="s">
        <v>4093</v>
      </c>
      <c r="E128" s="159" t="s">
        <v>1789</v>
      </c>
      <c r="F128" s="159" t="s">
        <v>1789</v>
      </c>
    </row>
    <row r="129" spans="2:6">
      <c r="B129" s="210" t="s">
        <v>1988</v>
      </c>
      <c r="D129" s="211"/>
      <c r="E129" s="168"/>
      <c r="F129" s="168"/>
    </row>
    <row r="130" spans="2:6">
      <c r="B130" s="210" t="s">
        <v>1990</v>
      </c>
      <c r="D130" s="211"/>
      <c r="E130" s="168"/>
      <c r="F130" s="168"/>
    </row>
    <row r="131" spans="2:6">
      <c r="B131" s="174" t="s">
        <v>1028</v>
      </c>
      <c r="D131" s="165" t="s">
        <v>4094</v>
      </c>
      <c r="E131" s="165" t="s">
        <v>1025</v>
      </c>
      <c r="F131" s="165" t="s">
        <v>1025</v>
      </c>
    </row>
    <row r="132" spans="2:6">
      <c r="B132" s="174" t="s">
        <v>1603</v>
      </c>
      <c r="D132" s="159" t="s">
        <v>1603</v>
      </c>
      <c r="E132" s="201" t="s">
        <v>4095</v>
      </c>
      <c r="F132" s="201" t="s">
        <v>4095</v>
      </c>
    </row>
    <row r="133" spans="2:6">
      <c r="B133" s="174" t="s">
        <v>1222</v>
      </c>
      <c r="D133" s="162" t="s">
        <v>1222</v>
      </c>
      <c r="E133" s="165" t="s">
        <v>1027</v>
      </c>
      <c r="F133" s="165" t="s">
        <v>1027</v>
      </c>
    </row>
    <row r="134" spans="2:6">
      <c r="B134" s="174" t="s">
        <v>1310</v>
      </c>
      <c r="D134" s="156" t="s">
        <v>1310</v>
      </c>
      <c r="E134" s="159" t="s">
        <v>1602</v>
      </c>
      <c r="F134" s="159" t="s">
        <v>1602</v>
      </c>
    </row>
    <row r="135" spans="2:6">
      <c r="B135" s="174" t="s">
        <v>1312</v>
      </c>
      <c r="D135" s="162" t="s">
        <v>1312</v>
      </c>
      <c r="E135" s="162" t="s">
        <v>1221</v>
      </c>
      <c r="F135" s="162" t="s">
        <v>1221</v>
      </c>
    </row>
    <row r="136" spans="2:6">
      <c r="B136" s="174" t="s">
        <v>1224</v>
      </c>
      <c r="D136" s="156" t="s">
        <v>1224</v>
      </c>
      <c r="E136" s="156" t="s">
        <v>1309</v>
      </c>
      <c r="F136" s="156" t="s">
        <v>1309</v>
      </c>
    </row>
    <row r="137" spans="2:6">
      <c r="B137" s="174" t="s">
        <v>1701</v>
      </c>
      <c r="D137" s="165" t="s">
        <v>4096</v>
      </c>
      <c r="E137" s="162" t="s">
        <v>1311</v>
      </c>
      <c r="F137" s="162" t="s">
        <v>1311</v>
      </c>
    </row>
    <row r="138" spans="2:6">
      <c r="B138" s="174" t="s">
        <v>1030</v>
      </c>
      <c r="D138" s="156" t="s">
        <v>1030</v>
      </c>
      <c r="E138" s="156" t="s">
        <v>1223</v>
      </c>
      <c r="F138" s="156" t="s">
        <v>1223</v>
      </c>
    </row>
    <row r="139" spans="2:6">
      <c r="B139" s="174" t="s">
        <v>1314</v>
      </c>
      <c r="D139" s="165" t="s">
        <v>4097</v>
      </c>
      <c r="E139" s="199" t="s">
        <v>1700</v>
      </c>
      <c r="F139" s="199" t="s">
        <v>1700</v>
      </c>
    </row>
    <row r="140" spans="2:6">
      <c r="B140" s="174" t="s">
        <v>1605</v>
      </c>
      <c r="D140" s="156" t="s">
        <v>1605</v>
      </c>
      <c r="E140" s="156" t="s">
        <v>1029</v>
      </c>
      <c r="F140" s="156" t="s">
        <v>1029</v>
      </c>
    </row>
    <row r="141" spans="2:6">
      <c r="B141" s="174" t="s">
        <v>1793</v>
      </c>
      <c r="D141" s="162" t="s">
        <v>4098</v>
      </c>
      <c r="E141" s="199" t="s">
        <v>1313</v>
      </c>
      <c r="F141" s="199" t="s">
        <v>1313</v>
      </c>
    </row>
    <row r="142" spans="2:6">
      <c r="B142" s="174" t="s">
        <v>1992</v>
      </c>
      <c r="D142" s="159" t="s">
        <v>1992</v>
      </c>
      <c r="E142" s="156" t="s">
        <v>1604</v>
      </c>
      <c r="F142" s="156" t="s">
        <v>1604</v>
      </c>
    </row>
    <row r="143" spans="2:6">
      <c r="B143" s="174" t="s">
        <v>1511</v>
      </c>
      <c r="D143" s="165" t="s">
        <v>1511</v>
      </c>
      <c r="E143" s="162" t="s">
        <v>1792</v>
      </c>
      <c r="F143" s="162" t="s">
        <v>1792</v>
      </c>
    </row>
    <row r="144" spans="2:6">
      <c r="B144" s="174" t="s">
        <v>1894</v>
      </c>
      <c r="D144" s="159" t="s">
        <v>1894</v>
      </c>
      <c r="E144" s="198" t="s">
        <v>1991</v>
      </c>
      <c r="F144" s="198" t="s">
        <v>1991</v>
      </c>
    </row>
    <row r="145" spans="2:6">
      <c r="B145" s="174" t="s">
        <v>1994</v>
      </c>
      <c r="D145" s="162" t="s">
        <v>1994</v>
      </c>
      <c r="E145" s="165" t="s">
        <v>1510</v>
      </c>
      <c r="F145" s="165" t="s">
        <v>1510</v>
      </c>
    </row>
    <row r="146" spans="2:6">
      <c r="B146" s="174" t="s">
        <v>1996</v>
      </c>
      <c r="D146" s="159" t="s">
        <v>1996</v>
      </c>
      <c r="E146" s="159" t="s">
        <v>1893</v>
      </c>
      <c r="F146" s="159" t="s">
        <v>1893</v>
      </c>
    </row>
    <row r="147" spans="2:6">
      <c r="B147" s="174" t="s">
        <v>1032</v>
      </c>
      <c r="D147" s="162" t="s">
        <v>1032</v>
      </c>
      <c r="E147" s="162" t="s">
        <v>1993</v>
      </c>
      <c r="F147" s="162" t="s">
        <v>1993</v>
      </c>
    </row>
    <row r="148" spans="2:6">
      <c r="B148" s="174" t="s">
        <v>1998</v>
      </c>
      <c r="D148" s="156" t="s">
        <v>4099</v>
      </c>
      <c r="E148" s="159" t="s">
        <v>1995</v>
      </c>
      <c r="F148" s="159" t="s">
        <v>1995</v>
      </c>
    </row>
    <row r="149" spans="2:6">
      <c r="B149" s="174" t="s">
        <v>1795</v>
      </c>
      <c r="D149" s="162" t="s">
        <v>1795</v>
      </c>
      <c r="E149" s="208" t="s">
        <v>1031</v>
      </c>
      <c r="F149" s="208" t="s">
        <v>1031</v>
      </c>
    </row>
    <row r="150" spans="2:6">
      <c r="B150" s="174" t="s">
        <v>1797</v>
      </c>
      <c r="D150" s="159" t="s">
        <v>1797</v>
      </c>
      <c r="E150" s="156" t="s">
        <v>1997</v>
      </c>
      <c r="F150" s="156" t="s">
        <v>1997</v>
      </c>
    </row>
    <row r="151" spans="2:6">
      <c r="B151" s="174" t="s">
        <v>1513</v>
      </c>
      <c r="D151" s="162" t="s">
        <v>1513</v>
      </c>
      <c r="E151" s="208" t="s">
        <v>1794</v>
      </c>
      <c r="F151" s="208" t="s">
        <v>1794</v>
      </c>
    </row>
    <row r="152" spans="2:6">
      <c r="B152" s="174" t="s">
        <v>1515</v>
      </c>
      <c r="D152" s="159" t="s">
        <v>1515</v>
      </c>
      <c r="E152" s="159" t="s">
        <v>1796</v>
      </c>
      <c r="F152" s="159" t="s">
        <v>1796</v>
      </c>
    </row>
    <row r="153" spans="2:6">
      <c r="B153" s="174" t="s">
        <v>1703</v>
      </c>
      <c r="D153" s="165" t="s">
        <v>1703</v>
      </c>
      <c r="E153" s="162" t="s">
        <v>1512</v>
      </c>
      <c r="F153" s="162" t="s">
        <v>1512</v>
      </c>
    </row>
    <row r="154" spans="2:6">
      <c r="B154" s="174" t="s">
        <v>1607</v>
      </c>
      <c r="D154" s="159" t="s">
        <v>4100</v>
      </c>
      <c r="E154" s="159" t="s">
        <v>1514</v>
      </c>
      <c r="F154" s="159" t="s">
        <v>1514</v>
      </c>
    </row>
    <row r="155" spans="2:6">
      <c r="B155" s="210" t="s">
        <v>1226</v>
      </c>
      <c r="D155" s="168"/>
      <c r="E155" s="168"/>
      <c r="F155" s="168"/>
    </row>
    <row r="156" spans="2:6">
      <c r="B156" s="174" t="s">
        <v>2000</v>
      </c>
      <c r="D156" s="162" t="s">
        <v>2000</v>
      </c>
      <c r="E156" s="165" t="s">
        <v>1702</v>
      </c>
      <c r="F156" s="165" t="s">
        <v>1702</v>
      </c>
    </row>
    <row r="157" spans="2:6">
      <c r="B157" s="174" t="s">
        <v>1609</v>
      </c>
      <c r="D157" s="159" t="s">
        <v>1609</v>
      </c>
      <c r="E157" s="159" t="s">
        <v>1606</v>
      </c>
      <c r="F157" s="159" t="s">
        <v>1606</v>
      </c>
    </row>
    <row r="158" spans="2:6">
      <c r="B158" s="174" t="s">
        <v>1896</v>
      </c>
      <c r="D158" s="162" t="s">
        <v>1896</v>
      </c>
      <c r="E158" s="208" t="s">
        <v>1999</v>
      </c>
      <c r="F158" s="208" t="s">
        <v>1999</v>
      </c>
    </row>
    <row r="159" spans="2:6">
      <c r="B159" s="174" t="s">
        <v>1799</v>
      </c>
      <c r="D159" s="159" t="s">
        <v>1799</v>
      </c>
      <c r="E159" s="159" t="s">
        <v>1608</v>
      </c>
      <c r="F159" s="159" t="s">
        <v>1608</v>
      </c>
    </row>
    <row r="160" spans="2:6">
      <c r="B160" s="174" t="s">
        <v>1898</v>
      </c>
      <c r="D160" s="165" t="s">
        <v>1898</v>
      </c>
      <c r="E160" s="208" t="s">
        <v>1895</v>
      </c>
      <c r="F160" s="208" t="s">
        <v>1895</v>
      </c>
    </row>
    <row r="161" spans="2:9">
      <c r="B161" s="174" t="s">
        <v>1035</v>
      </c>
      <c r="D161" s="159" t="s">
        <v>1035</v>
      </c>
      <c r="E161" s="159">
        <v>3092684937</v>
      </c>
      <c r="F161" s="159">
        <v>3092684937</v>
      </c>
    </row>
    <row r="162" spans="2:9">
      <c r="B162" s="174" t="s">
        <v>1404</v>
      </c>
      <c r="D162" s="163" t="s">
        <v>4101</v>
      </c>
      <c r="E162" s="163" t="s">
        <v>1897</v>
      </c>
      <c r="F162" s="163" t="s">
        <v>1897</v>
      </c>
      <c r="I162" t="s">
        <v>4102</v>
      </c>
    </row>
    <row r="163" spans="2:9">
      <c r="B163" s="174" t="s">
        <v>1705</v>
      </c>
      <c r="D163" s="159" t="s">
        <v>4103</v>
      </c>
      <c r="E163" s="198" t="s">
        <v>1034</v>
      </c>
      <c r="F163" s="198" t="s">
        <v>1034</v>
      </c>
    </row>
    <row r="164" spans="2:9">
      <c r="B164" s="174" t="s">
        <v>1228</v>
      </c>
      <c r="D164" s="165" t="s">
        <v>1228</v>
      </c>
      <c r="E164" s="208" t="s">
        <v>1403</v>
      </c>
      <c r="F164" s="208" t="s">
        <v>1403</v>
      </c>
    </row>
    <row r="165" spans="2:9">
      <c r="B165" s="174" t="s">
        <v>1900</v>
      </c>
      <c r="D165" s="159" t="s">
        <v>1900</v>
      </c>
      <c r="E165" s="198" t="s">
        <v>1704</v>
      </c>
      <c r="F165" s="198" t="s">
        <v>1704</v>
      </c>
    </row>
    <row r="166" spans="2:9">
      <c r="B166" s="174" t="s">
        <v>2002</v>
      </c>
      <c r="D166" s="165" t="s">
        <v>2002</v>
      </c>
      <c r="E166" s="165" t="s">
        <v>1227</v>
      </c>
      <c r="F166" s="165" t="s">
        <v>1227</v>
      </c>
    </row>
    <row r="167" spans="2:9">
      <c r="B167" s="174" t="s">
        <v>2004</v>
      </c>
      <c r="D167" s="156" t="s">
        <v>4104</v>
      </c>
      <c r="E167" s="159" t="s">
        <v>1899</v>
      </c>
      <c r="F167" s="159" t="s">
        <v>1899</v>
      </c>
    </row>
    <row r="168" spans="2:9">
      <c r="B168" s="174" t="s">
        <v>1902</v>
      </c>
      <c r="D168" s="162" t="s">
        <v>1902</v>
      </c>
      <c r="E168" s="199">
        <v>3093017921</v>
      </c>
      <c r="F168" s="199">
        <v>3093017921</v>
      </c>
    </row>
    <row r="169" spans="2:9">
      <c r="B169" s="174" t="s">
        <v>1230</v>
      </c>
      <c r="D169" s="156" t="s">
        <v>4105</v>
      </c>
      <c r="E169" s="201" t="s">
        <v>2003</v>
      </c>
      <c r="F169" s="201" t="s">
        <v>2003</v>
      </c>
    </row>
    <row r="170" spans="2:9">
      <c r="B170" s="200" t="s">
        <v>1316</v>
      </c>
      <c r="D170" s="162" t="s">
        <v>1316</v>
      </c>
      <c r="E170" s="162" t="s">
        <v>1901</v>
      </c>
      <c r="F170" s="162" t="s">
        <v>1901</v>
      </c>
    </row>
    <row r="171" spans="2:9">
      <c r="B171" s="174" t="s">
        <v>932</v>
      </c>
      <c r="D171" s="156" t="s">
        <v>932</v>
      </c>
      <c r="E171" s="156" t="s">
        <v>1229</v>
      </c>
      <c r="F171" s="156" t="s">
        <v>1229</v>
      </c>
    </row>
    <row r="172" spans="2:9">
      <c r="B172" s="174" t="s">
        <v>1037</v>
      </c>
      <c r="D172" s="165" t="s">
        <v>1037</v>
      </c>
      <c r="E172" s="162" t="s">
        <v>1315</v>
      </c>
      <c r="F172" s="162" t="s">
        <v>1315</v>
      </c>
    </row>
    <row r="173" spans="2:9">
      <c r="B173" s="200" t="s">
        <v>1318</v>
      </c>
      <c r="D173" s="156" t="s">
        <v>1318</v>
      </c>
      <c r="E173" s="156" t="s">
        <v>4106</v>
      </c>
      <c r="F173" s="156" t="s">
        <v>4106</v>
      </c>
    </row>
    <row r="174" spans="2:9">
      <c r="B174" s="174" t="s">
        <v>1039</v>
      </c>
      <c r="D174" s="162" t="s">
        <v>1039</v>
      </c>
      <c r="E174" s="199">
        <v>3103985470</v>
      </c>
      <c r="F174" s="199">
        <v>3103985470</v>
      </c>
    </row>
    <row r="175" spans="2:9">
      <c r="B175" s="174" t="s">
        <v>1232</v>
      </c>
      <c r="D175" s="159" t="s">
        <v>4107</v>
      </c>
      <c r="E175" s="201" t="s">
        <v>1317</v>
      </c>
      <c r="F175" s="201" t="s">
        <v>1317</v>
      </c>
    </row>
    <row r="176" spans="2:9">
      <c r="B176" s="174" t="s">
        <v>1801</v>
      </c>
      <c r="D176" s="165" t="s">
        <v>1801</v>
      </c>
      <c r="E176" s="162" t="s">
        <v>1038</v>
      </c>
      <c r="F176" s="162" t="s">
        <v>1038</v>
      </c>
    </row>
    <row r="177" spans="2:9">
      <c r="B177" s="174" t="s">
        <v>934</v>
      </c>
      <c r="D177" s="159" t="s">
        <v>934</v>
      </c>
      <c r="E177" s="159" t="s">
        <v>1231</v>
      </c>
      <c r="F177" s="159" t="s">
        <v>1231</v>
      </c>
    </row>
    <row r="178" spans="2:9">
      <c r="B178" s="174" t="s">
        <v>1803</v>
      </c>
      <c r="D178" s="162" t="s">
        <v>4108</v>
      </c>
      <c r="E178" s="165" t="s">
        <v>1800</v>
      </c>
      <c r="F178" s="165" t="s">
        <v>1800</v>
      </c>
    </row>
    <row r="179" ht="15" customHeight="1" spans="2:9">
      <c r="B179" s="200" t="s">
        <v>1904</v>
      </c>
      <c r="D179" s="159" t="s">
        <v>1904</v>
      </c>
      <c r="E179" s="159" t="s">
        <v>933</v>
      </c>
      <c r="F179" s="159" t="s">
        <v>933</v>
      </c>
    </row>
    <row r="180" spans="2:9">
      <c r="B180" s="174" t="s">
        <v>1131</v>
      </c>
      <c r="D180" s="165" t="s">
        <v>1131</v>
      </c>
      <c r="E180" s="162" t="s">
        <v>1802</v>
      </c>
      <c r="F180" s="162" t="s">
        <v>1802</v>
      </c>
    </row>
    <row r="181" spans="2:9">
      <c r="B181" s="174" t="s">
        <v>1707</v>
      </c>
      <c r="D181" s="159" t="s">
        <v>1707</v>
      </c>
      <c r="E181" s="159" t="s">
        <v>1903</v>
      </c>
      <c r="F181" s="159" t="s">
        <v>1903</v>
      </c>
    </row>
    <row r="182" spans="2:9">
      <c r="B182" s="174" t="s">
        <v>4109</v>
      </c>
      <c r="D182" s="162" t="s">
        <v>4109</v>
      </c>
      <c r="E182" s="165" t="s">
        <v>1130</v>
      </c>
      <c r="F182" s="165" t="s">
        <v>1130</v>
      </c>
    </row>
    <row r="183" spans="2:9">
      <c r="B183" s="200" t="s">
        <v>1611</v>
      </c>
      <c r="D183" s="156" t="s">
        <v>1611</v>
      </c>
      <c r="E183" s="159" t="s">
        <v>1706</v>
      </c>
      <c r="F183" s="159" t="s">
        <v>1706</v>
      </c>
    </row>
    <row r="184" spans="2:9">
      <c r="B184" s="174" t="s">
        <v>1709</v>
      </c>
      <c r="D184" s="162" t="s">
        <v>1709</v>
      </c>
      <c r="E184" s="162" t="s">
        <v>4110</v>
      </c>
      <c r="F184" s="162" t="s">
        <v>4110</v>
      </c>
    </row>
    <row r="185" spans="2:9">
      <c r="B185" s="174" t="s">
        <v>1805</v>
      </c>
      <c r="D185" s="159" t="s">
        <v>1805</v>
      </c>
      <c r="E185" s="156" t="s">
        <v>1610</v>
      </c>
      <c r="F185" s="156" t="s">
        <v>1610</v>
      </c>
    </row>
    <row r="186" spans="2:9">
      <c r="B186" s="174" t="s">
        <v>1807</v>
      </c>
      <c r="D186" s="165" t="s">
        <v>4111</v>
      </c>
      <c r="E186" s="162" t="s">
        <v>1708</v>
      </c>
      <c r="F186" s="162" t="s">
        <v>1708</v>
      </c>
    </row>
    <row r="187" spans="2:9">
      <c r="B187" s="174" t="s">
        <v>1406</v>
      </c>
      <c r="D187" s="156" t="s">
        <v>1406</v>
      </c>
      <c r="E187" s="159">
        <v>3104934369</v>
      </c>
      <c r="F187" s="159">
        <v>3104934369</v>
      </c>
    </row>
    <row r="188" spans="2:9">
      <c r="B188" s="174" t="s">
        <v>1041</v>
      </c>
      <c r="D188" s="165" t="s">
        <v>1041</v>
      </c>
      <c r="E188" s="165" t="s">
        <v>1806</v>
      </c>
      <c r="F188" s="165" t="s">
        <v>1806</v>
      </c>
    </row>
    <row r="189" spans="2:9">
      <c r="B189" s="174" t="s">
        <v>1613</v>
      </c>
      <c r="D189" s="156" t="s">
        <v>1613</v>
      </c>
      <c r="E189" s="156" t="s">
        <v>1405</v>
      </c>
      <c r="F189" s="156" t="s">
        <v>1405</v>
      </c>
    </row>
    <row r="190" spans="2:9">
      <c r="B190" s="174" t="s">
        <v>1809</v>
      </c>
      <c r="D190" s="163" t="s">
        <v>4112</v>
      </c>
      <c r="E190" s="163" t="s">
        <v>1040</v>
      </c>
      <c r="F190" s="163" t="s">
        <v>1040</v>
      </c>
      <c r="I190" t="s">
        <v>4113</v>
      </c>
    </row>
    <row r="191" spans="2:9">
      <c r="B191" s="200" t="s">
        <v>1408</v>
      </c>
      <c r="D191" s="159" t="s">
        <v>1408</v>
      </c>
      <c r="E191" s="156" t="s">
        <v>1612</v>
      </c>
      <c r="F191" s="156" t="s">
        <v>1612</v>
      </c>
    </row>
    <row r="192" spans="2:9">
      <c r="B192" s="174" t="s">
        <v>1811</v>
      </c>
      <c r="D192" s="162" t="s">
        <v>1811</v>
      </c>
      <c r="E192" s="208" t="s">
        <v>1808</v>
      </c>
      <c r="F192" s="208" t="s">
        <v>1808</v>
      </c>
    </row>
    <row r="193" spans="2:11">
      <c r="B193" s="174" t="s">
        <v>1615</v>
      </c>
      <c r="D193" s="159" t="s">
        <v>4114</v>
      </c>
      <c r="E193" s="159" t="s">
        <v>1407</v>
      </c>
      <c r="F193" s="159" t="s">
        <v>1407</v>
      </c>
    </row>
    <row r="194" spans="2:11">
      <c r="B194" s="203" t="s">
        <v>1410</v>
      </c>
      <c r="C194" s="204"/>
      <c r="D194" s="206" t="s">
        <v>1410</v>
      </c>
      <c r="E194" s="206" t="s">
        <v>1810</v>
      </c>
      <c r="F194" s="206" t="s">
        <v>1810</v>
      </c>
      <c r="G194" s="204"/>
      <c r="H194" s="204"/>
      <c r="I194" s="205" t="s">
        <v>1410</v>
      </c>
      <c r="J194" s="205" t="s">
        <v>1614</v>
      </c>
      <c r="K194" s="205" t="s">
        <v>1614</v>
      </c>
    </row>
    <row r="195" spans="2:11">
      <c r="B195" s="174" t="s">
        <v>1412</v>
      </c>
      <c r="D195" s="156" t="s">
        <v>1412</v>
      </c>
      <c r="E195" s="156" t="s">
        <v>1409</v>
      </c>
      <c r="F195" s="156" t="s">
        <v>1409</v>
      </c>
      <c r="I195" s="206" t="s">
        <v>1410</v>
      </c>
      <c r="J195" s="206" t="s">
        <v>1409</v>
      </c>
      <c r="K195" s="206" t="s">
        <v>1409</v>
      </c>
    </row>
    <row r="196" spans="2:11">
      <c r="B196" s="174" t="s">
        <v>1320</v>
      </c>
      <c r="D196" s="165" t="s">
        <v>1320</v>
      </c>
      <c r="E196" s="165" t="s">
        <v>1409</v>
      </c>
      <c r="F196" s="165" t="s">
        <v>1409</v>
      </c>
    </row>
    <row r="197" spans="2:11">
      <c r="B197" s="203" t="s">
        <v>1414</v>
      </c>
      <c r="C197" s="204"/>
      <c r="D197" s="205" t="s">
        <v>4115</v>
      </c>
      <c r="E197" s="205" t="s">
        <v>1411</v>
      </c>
      <c r="F197" s="205" t="s">
        <v>1411</v>
      </c>
      <c r="G197" s="204"/>
      <c r="H197" s="204"/>
      <c r="I197" s="206" t="s">
        <v>4115</v>
      </c>
      <c r="J197" s="206" t="s">
        <v>1319</v>
      </c>
      <c r="K197" s="206" t="s">
        <v>1319</v>
      </c>
    </row>
    <row r="198" spans="2:11">
      <c r="B198" s="174" t="s">
        <v>1517</v>
      </c>
      <c r="D198" s="156" t="s">
        <v>4116</v>
      </c>
      <c r="E198" s="201">
        <v>3096941268</v>
      </c>
      <c r="F198" s="201">
        <v>3096941268</v>
      </c>
    </row>
    <row r="199" spans="2:11">
      <c r="B199" s="174" t="s">
        <v>1416</v>
      </c>
      <c r="D199" s="162" t="s">
        <v>4117</v>
      </c>
      <c r="E199" s="199">
        <v>3096941268</v>
      </c>
      <c r="F199" s="199">
        <v>3096941268</v>
      </c>
    </row>
    <row r="200" spans="2:11">
      <c r="B200" s="200" t="s">
        <v>1813</v>
      </c>
      <c r="D200" s="156" t="s">
        <v>4118</v>
      </c>
      <c r="E200" s="156">
        <v>3096607280</v>
      </c>
      <c r="F200" s="156">
        <v>3096607280</v>
      </c>
    </row>
    <row r="201" spans="2:11">
      <c r="B201" s="174" t="s">
        <v>2007</v>
      </c>
      <c r="D201" s="162" t="s">
        <v>2007</v>
      </c>
      <c r="E201" s="162" t="s">
        <v>1415</v>
      </c>
      <c r="F201" s="162" t="s">
        <v>1415</v>
      </c>
    </row>
    <row r="202" spans="2:11">
      <c r="B202" s="174" t="s">
        <v>1418</v>
      </c>
      <c r="D202" s="159" t="s">
        <v>1418</v>
      </c>
      <c r="E202" s="201" t="s">
        <v>1812</v>
      </c>
      <c r="F202" s="201" t="s">
        <v>1812</v>
      </c>
    </row>
    <row r="203" spans="2:11">
      <c r="B203" s="174" t="s">
        <v>1617</v>
      </c>
      <c r="D203" s="165" t="s">
        <v>4119</v>
      </c>
      <c r="E203" s="162" t="s">
        <v>2006</v>
      </c>
      <c r="F203" s="162" t="s">
        <v>2006</v>
      </c>
    </row>
    <row r="204" spans="2:11">
      <c r="B204" s="174" t="s">
        <v>1420</v>
      </c>
      <c r="D204" s="159" t="s">
        <v>4120</v>
      </c>
      <c r="E204" s="198" t="s">
        <v>1417</v>
      </c>
      <c r="F204" s="198" t="s">
        <v>1417</v>
      </c>
    </row>
    <row r="205" spans="2:11">
      <c r="B205" s="174" t="s">
        <v>1322</v>
      </c>
      <c r="D205" s="165" t="s">
        <v>4121</v>
      </c>
      <c r="E205" s="165" t="s">
        <v>1616</v>
      </c>
      <c r="F205" s="165" t="s">
        <v>1616</v>
      </c>
    </row>
    <row r="206" spans="2:11">
      <c r="B206" s="174" t="s">
        <v>1043</v>
      </c>
      <c r="D206" s="156" t="s">
        <v>4122</v>
      </c>
      <c r="E206" s="198" t="s">
        <v>1419</v>
      </c>
      <c r="F206" s="198" t="s">
        <v>1419</v>
      </c>
    </row>
    <row r="207" spans="2:11">
      <c r="B207" s="174" t="s">
        <v>936</v>
      </c>
      <c r="D207" s="165" t="s">
        <v>936</v>
      </c>
      <c r="E207" s="165" t="s">
        <v>1321</v>
      </c>
      <c r="F207" s="165" t="s">
        <v>1321</v>
      </c>
    </row>
    <row r="208" spans="2:11">
      <c r="B208" s="174" t="s">
        <v>1519</v>
      </c>
      <c r="D208" s="156" t="s">
        <v>1519</v>
      </c>
      <c r="E208" s="156" t="s">
        <v>1042</v>
      </c>
      <c r="F208" s="156" t="s">
        <v>1042</v>
      </c>
    </row>
    <row r="209" spans="2:11">
      <c r="B209" s="174" t="s">
        <v>1815</v>
      </c>
      <c r="D209" s="165" t="s">
        <v>4123</v>
      </c>
      <c r="E209" s="199" t="s">
        <v>935</v>
      </c>
      <c r="F209" s="199" t="s">
        <v>935</v>
      </c>
    </row>
    <row r="210" spans="2:11">
      <c r="B210" s="174" t="s">
        <v>1324</v>
      </c>
      <c r="D210" s="159" t="s">
        <v>1324</v>
      </c>
      <c r="E210" s="201" t="s">
        <v>1518</v>
      </c>
      <c r="F210" s="201" t="s">
        <v>1518</v>
      </c>
    </row>
    <row r="211" spans="2:11">
      <c r="B211" s="174" t="s">
        <v>1422</v>
      </c>
      <c r="D211" s="162" t="s">
        <v>1422</v>
      </c>
      <c r="E211" s="165" t="s">
        <v>1814</v>
      </c>
      <c r="F211" s="165" t="s">
        <v>1814</v>
      </c>
    </row>
    <row r="212" spans="2:11">
      <c r="B212" s="174" t="s">
        <v>1521</v>
      </c>
      <c r="D212" s="159" t="s">
        <v>1521</v>
      </c>
      <c r="E212" s="198" t="s">
        <v>1323</v>
      </c>
      <c r="F212" s="198" t="s">
        <v>1323</v>
      </c>
    </row>
    <row r="213" spans="2:11">
      <c r="B213" s="174" t="s">
        <v>1817</v>
      </c>
      <c r="D213" s="165" t="s">
        <v>1817</v>
      </c>
      <c r="E213" s="162" t="s">
        <v>1421</v>
      </c>
      <c r="F213" s="162" t="s">
        <v>1421</v>
      </c>
    </row>
    <row r="214" spans="2:11">
      <c r="B214" s="210" t="s">
        <v>1234</v>
      </c>
    </row>
    <row r="215" spans="2:11">
      <c r="B215" s="174" t="s">
        <v>4124</v>
      </c>
      <c r="D215" s="159" t="s">
        <v>4124</v>
      </c>
      <c r="E215" s="159" t="s">
        <v>1520</v>
      </c>
      <c r="F215" s="159" t="s">
        <v>1520</v>
      </c>
      <c r="I215" s="212" t="s">
        <v>4125</v>
      </c>
      <c r="J215" s="213" t="s">
        <v>1816</v>
      </c>
      <c r="K215" s="213" t="s">
        <v>1816</v>
      </c>
    </row>
    <row r="216" spans="2:11">
      <c r="B216" s="174" t="s">
        <v>1906</v>
      </c>
      <c r="D216" s="156" t="s">
        <v>4126</v>
      </c>
      <c r="E216" s="159" t="s">
        <v>1045</v>
      </c>
      <c r="F216" s="159" t="s">
        <v>1045</v>
      </c>
    </row>
    <row r="217" spans="2:11">
      <c r="B217" s="174" t="s">
        <v>1822</v>
      </c>
      <c r="D217" s="162" t="s">
        <v>1822</v>
      </c>
      <c r="E217" s="165" t="s">
        <v>1029</v>
      </c>
      <c r="F217" s="165" t="s">
        <v>1029</v>
      </c>
    </row>
    <row r="218" spans="2:11">
      <c r="B218" s="174" t="s">
        <v>1619</v>
      </c>
      <c r="D218" s="156" t="s">
        <v>1619</v>
      </c>
      <c r="E218" s="156" t="s">
        <v>1905</v>
      </c>
      <c r="F218" s="156" t="s">
        <v>1905</v>
      </c>
    </row>
    <row r="219" spans="2:11">
      <c r="B219" s="174" t="s">
        <v>938</v>
      </c>
      <c r="D219" s="162" t="s">
        <v>938</v>
      </c>
      <c r="E219" s="162" t="s">
        <v>1821</v>
      </c>
      <c r="F219" s="162" t="s">
        <v>1821</v>
      </c>
    </row>
    <row r="220" spans="2:11">
      <c r="B220" s="174" t="s">
        <v>941</v>
      </c>
      <c r="D220" s="159" t="s">
        <v>941</v>
      </c>
      <c r="E220" s="156" t="s">
        <v>1618</v>
      </c>
      <c r="F220" s="156" t="s">
        <v>1618</v>
      </c>
    </row>
    <row r="221" spans="2:11">
      <c r="B221" s="174" t="s">
        <v>1711</v>
      </c>
      <c r="D221" s="162" t="s">
        <v>1711</v>
      </c>
      <c r="E221" s="162" t="s">
        <v>937</v>
      </c>
      <c r="F221" s="162" t="s">
        <v>937</v>
      </c>
    </row>
    <row r="222" spans="2:11">
      <c r="B222" s="174" t="s">
        <v>1048</v>
      </c>
      <c r="D222" s="156" t="s">
        <v>1048</v>
      </c>
      <c r="E222" s="159" t="s">
        <v>940</v>
      </c>
      <c r="F222" s="159" t="s">
        <v>940</v>
      </c>
    </row>
    <row r="223" spans="2:11">
      <c r="B223" s="174" t="s">
        <v>1713</v>
      </c>
      <c r="D223" s="162" t="s">
        <v>1713</v>
      </c>
      <c r="E223" s="208" t="s">
        <v>1710</v>
      </c>
      <c r="F223" s="208" t="s">
        <v>1710</v>
      </c>
    </row>
    <row r="224" spans="2:11">
      <c r="B224" s="174" t="s">
        <v>1824</v>
      </c>
      <c r="D224" s="159" t="s">
        <v>4127</v>
      </c>
      <c r="E224" s="201" t="s">
        <v>1047</v>
      </c>
      <c r="F224" s="201" t="s">
        <v>1047</v>
      </c>
    </row>
    <row r="225" spans="2:6">
      <c r="B225" s="174" t="s">
        <v>1236</v>
      </c>
      <c r="D225" s="162" t="s">
        <v>1236</v>
      </c>
      <c r="E225" s="162" t="s">
        <v>1712</v>
      </c>
      <c r="F225" s="162" t="s">
        <v>1712</v>
      </c>
    </row>
    <row r="226" spans="2:6">
      <c r="B226" s="174" t="s">
        <v>1424</v>
      </c>
      <c r="D226" s="159" t="s">
        <v>4128</v>
      </c>
      <c r="E226" s="198" t="s">
        <v>1823</v>
      </c>
      <c r="F226" s="198" t="s">
        <v>1823</v>
      </c>
    </row>
    <row r="227" spans="2:6">
      <c r="B227" s="174" t="s">
        <v>1523</v>
      </c>
      <c r="D227" s="162" t="s">
        <v>4129</v>
      </c>
      <c r="E227" s="162" t="s">
        <v>1235</v>
      </c>
      <c r="F227" s="162" t="s">
        <v>1235</v>
      </c>
    </row>
    <row r="228" spans="2:6">
      <c r="B228" s="174" t="s">
        <v>1238</v>
      </c>
      <c r="D228" s="156" t="s">
        <v>1238</v>
      </c>
      <c r="E228" s="159" t="s">
        <v>1423</v>
      </c>
      <c r="F228" s="159" t="s">
        <v>1423</v>
      </c>
    </row>
    <row r="229" spans="2:6">
      <c r="B229" s="174" t="s">
        <v>4130</v>
      </c>
      <c r="D229" s="165" t="s">
        <v>4130</v>
      </c>
      <c r="E229" s="162" t="s">
        <v>1522</v>
      </c>
      <c r="F229" s="162" t="s">
        <v>1522</v>
      </c>
    </row>
    <row r="230" spans="2:6">
      <c r="B230" s="174" t="s">
        <v>1621</v>
      </c>
      <c r="D230" s="159" t="s">
        <v>4131</v>
      </c>
      <c r="E230" s="156" t="s">
        <v>1237</v>
      </c>
      <c r="F230" s="156" t="s">
        <v>1237</v>
      </c>
    </row>
    <row r="231" spans="2:6">
      <c r="B231" s="174" t="s">
        <v>1426</v>
      </c>
      <c r="D231" s="162" t="s">
        <v>1426</v>
      </c>
      <c r="E231" s="165" t="s">
        <v>1132</v>
      </c>
      <c r="F231" s="165" t="s">
        <v>1132</v>
      </c>
    </row>
    <row r="232" spans="2:6">
      <c r="B232" s="200" t="s">
        <v>1135</v>
      </c>
      <c r="D232" s="156" t="s">
        <v>4132</v>
      </c>
      <c r="E232" s="198" t="s">
        <v>1620</v>
      </c>
      <c r="F232" s="198" t="s">
        <v>1620</v>
      </c>
    </row>
    <row r="233" spans="2:6">
      <c r="B233" s="174" t="s">
        <v>1050</v>
      </c>
      <c r="D233" s="162" t="s">
        <v>1050</v>
      </c>
      <c r="E233" s="162" t="s">
        <v>1425</v>
      </c>
      <c r="F233" s="162" t="s">
        <v>1425</v>
      </c>
    </row>
    <row r="234" spans="2:6">
      <c r="B234" s="174" t="s">
        <v>943</v>
      </c>
      <c r="D234" s="159" t="s">
        <v>4133</v>
      </c>
      <c r="E234" s="156">
        <v>3097211597</v>
      </c>
      <c r="F234" s="156">
        <v>3097211597</v>
      </c>
    </row>
    <row r="235" spans="2:6">
      <c r="B235" s="174" t="s">
        <v>1240</v>
      </c>
      <c r="D235" s="165" t="s">
        <v>1240</v>
      </c>
      <c r="E235" s="208" t="s">
        <v>4134</v>
      </c>
      <c r="F235" s="208" t="s">
        <v>1049</v>
      </c>
    </row>
    <row r="236" spans="2:6">
      <c r="B236" s="174" t="s">
        <v>1623</v>
      </c>
      <c r="D236" s="156" t="s">
        <v>1623</v>
      </c>
      <c r="E236" s="159" t="s">
        <v>942</v>
      </c>
      <c r="F236" s="159" t="s">
        <v>942</v>
      </c>
    </row>
    <row r="237" spans="2:6">
      <c r="B237" s="210" t="s">
        <v>1525</v>
      </c>
    </row>
    <row r="238" spans="2:6">
      <c r="B238" s="174" t="s">
        <v>1052</v>
      </c>
      <c r="D238" s="162" t="s">
        <v>1052</v>
      </c>
      <c r="E238" s="165" t="s">
        <v>1239</v>
      </c>
      <c r="F238" s="165" t="s">
        <v>1239</v>
      </c>
    </row>
    <row r="239" spans="2:6">
      <c r="B239" s="174" t="s">
        <v>1908</v>
      </c>
      <c r="D239" s="159" t="s">
        <v>1908</v>
      </c>
      <c r="E239" s="156" t="s">
        <v>1622</v>
      </c>
      <c r="F239" s="156" t="s">
        <v>1622</v>
      </c>
    </row>
    <row r="240" spans="2:6">
      <c r="B240" s="200" t="s">
        <v>1826</v>
      </c>
      <c r="D240" s="165" t="s">
        <v>1826</v>
      </c>
      <c r="E240" s="162" t="s">
        <v>1051</v>
      </c>
      <c r="F240" s="162" t="s">
        <v>1051</v>
      </c>
    </row>
    <row r="241" spans="2:6">
      <c r="B241" s="174" t="s">
        <v>1054</v>
      </c>
      <c r="D241" s="156" t="s">
        <v>1054</v>
      </c>
      <c r="E241" s="159" t="s">
        <v>1907</v>
      </c>
      <c r="F241" s="159" t="s">
        <v>1907</v>
      </c>
    </row>
    <row r="242" spans="2:6">
      <c r="B242" s="174" t="s">
        <v>4135</v>
      </c>
      <c r="D242" s="162" t="s">
        <v>4135</v>
      </c>
      <c r="E242" s="165" t="s">
        <v>1825</v>
      </c>
      <c r="F242" s="165" t="s">
        <v>1825</v>
      </c>
    </row>
    <row r="243" spans="2:6">
      <c r="B243" s="174" t="s">
        <v>1715</v>
      </c>
      <c r="D243" s="156" t="s">
        <v>1715</v>
      </c>
      <c r="E243" s="201" t="s">
        <v>1053</v>
      </c>
      <c r="F243" s="201" t="s">
        <v>1053</v>
      </c>
    </row>
    <row r="244" spans="2:6">
      <c r="B244" s="174" t="s">
        <v>1326</v>
      </c>
      <c r="D244" s="165" t="s">
        <v>1326</v>
      </c>
      <c r="E244" s="162" t="s">
        <v>4136</v>
      </c>
      <c r="F244" s="162" t="s">
        <v>4136</v>
      </c>
    </row>
    <row r="245" spans="2:6">
      <c r="B245" s="174" t="s">
        <v>1828</v>
      </c>
      <c r="D245" s="159" t="s">
        <v>4137</v>
      </c>
      <c r="E245" s="156">
        <v>1617261131</v>
      </c>
      <c r="F245" s="156" t="s">
        <v>1714</v>
      </c>
    </row>
    <row r="246" spans="2:6">
      <c r="B246" s="174" t="s">
        <v>1055</v>
      </c>
      <c r="D246" s="165" t="s">
        <v>1055</v>
      </c>
      <c r="E246" s="165" t="s">
        <v>1325</v>
      </c>
      <c r="F246" s="165" t="s">
        <v>1325</v>
      </c>
    </row>
    <row r="247" spans="2:6">
      <c r="B247" s="174" t="s">
        <v>1137</v>
      </c>
      <c r="D247" s="156" t="s">
        <v>1137</v>
      </c>
      <c r="E247" s="198" t="s">
        <v>1827</v>
      </c>
      <c r="F247" s="198" t="s">
        <v>1827</v>
      </c>
    </row>
    <row r="248" spans="2:6">
      <c r="B248" s="200" t="s">
        <v>1830</v>
      </c>
      <c r="D248" s="162" t="s">
        <v>4138</v>
      </c>
      <c r="E248" s="165" t="s">
        <v>4139</v>
      </c>
      <c r="F248" s="165" t="s">
        <v>4139</v>
      </c>
    </row>
    <row r="249" spans="2:6">
      <c r="B249" s="200" t="s">
        <v>1139</v>
      </c>
      <c r="D249" s="156" t="s">
        <v>1139</v>
      </c>
      <c r="E249" s="156" t="s">
        <v>1136</v>
      </c>
      <c r="F249" s="156" t="s">
        <v>1136</v>
      </c>
    </row>
    <row r="250" spans="2:6">
      <c r="B250" s="174" t="s">
        <v>2009</v>
      </c>
      <c r="D250" s="165" t="s">
        <v>2009</v>
      </c>
      <c r="E250" s="162" t="s">
        <v>1829</v>
      </c>
      <c r="F250" s="162" t="s">
        <v>1829</v>
      </c>
    </row>
    <row r="251" spans="2:6">
      <c r="B251" s="174" t="s">
        <v>1057</v>
      </c>
      <c r="D251" s="159" t="s">
        <v>1057</v>
      </c>
      <c r="E251" s="156" t="s">
        <v>1138</v>
      </c>
      <c r="F251" s="156" t="s">
        <v>1138</v>
      </c>
    </row>
    <row r="252" spans="2:6">
      <c r="B252" s="174" t="s">
        <v>1242</v>
      </c>
      <c r="D252" s="165" t="s">
        <v>1242</v>
      </c>
      <c r="E252" s="165" t="s">
        <v>2008</v>
      </c>
      <c r="F252" s="165" t="s">
        <v>2008</v>
      </c>
    </row>
    <row r="253" spans="2:6">
      <c r="B253" s="174" t="s">
        <v>1244</v>
      </c>
      <c r="D253" s="159" t="s">
        <v>1244</v>
      </c>
      <c r="E253" s="159" t="s">
        <v>1056</v>
      </c>
      <c r="F253" s="159" t="s">
        <v>1056</v>
      </c>
    </row>
    <row r="254" spans="2:6">
      <c r="B254" s="174" t="s">
        <v>1246</v>
      </c>
      <c r="D254" s="165" t="s">
        <v>4140</v>
      </c>
      <c r="E254" s="165" t="s">
        <v>1241</v>
      </c>
      <c r="F254" s="165" t="s">
        <v>1241</v>
      </c>
    </row>
    <row r="255" spans="2:6">
      <c r="B255" s="174" t="s">
        <v>2011</v>
      </c>
      <c r="D255" s="156" t="s">
        <v>2011</v>
      </c>
      <c r="E255" s="159" t="s">
        <v>1243</v>
      </c>
      <c r="F255" s="159" t="s">
        <v>1243</v>
      </c>
    </row>
    <row r="256" spans="2:6">
      <c r="B256" s="174" t="s">
        <v>1910</v>
      </c>
      <c r="D256" s="165" t="s">
        <v>1910</v>
      </c>
      <c r="E256" s="165" t="s">
        <v>1245</v>
      </c>
      <c r="F256" s="165" t="s">
        <v>1245</v>
      </c>
    </row>
    <row r="257" spans="2:11">
      <c r="B257" s="174" t="s">
        <v>1717</v>
      </c>
      <c r="D257" s="159" t="s">
        <v>1717</v>
      </c>
      <c r="E257" s="156" t="s">
        <v>2010</v>
      </c>
      <c r="F257" s="156" t="s">
        <v>2010</v>
      </c>
    </row>
    <row r="258" spans="2:11">
      <c r="B258" s="214" t="s">
        <v>1527</v>
      </c>
      <c r="C258" s="204"/>
      <c r="D258" s="206" t="s">
        <v>1527</v>
      </c>
      <c r="E258" s="206" t="s">
        <v>1909</v>
      </c>
      <c r="F258" s="206" t="s">
        <v>1909</v>
      </c>
      <c r="G258" s="204"/>
      <c r="H258" s="204"/>
      <c r="I258" s="205" t="s">
        <v>1527</v>
      </c>
      <c r="J258" s="215" t="s">
        <v>1716</v>
      </c>
      <c r="K258" s="215" t="s">
        <v>1716</v>
      </c>
    </row>
    <row r="259" spans="2:11">
      <c r="B259" s="174" t="s">
        <v>1832</v>
      </c>
      <c r="D259" s="216" t="s">
        <v>1832</v>
      </c>
      <c r="E259" s="217" t="s">
        <v>1526</v>
      </c>
      <c r="F259" s="217" t="s">
        <v>1526</v>
      </c>
      <c r="I259" s="206" t="s">
        <v>1527</v>
      </c>
      <c r="J259" s="209" t="s">
        <v>1526</v>
      </c>
      <c r="K259" s="209" t="s">
        <v>1526</v>
      </c>
    </row>
    <row r="260" spans="2:11">
      <c r="B260" s="174" t="s">
        <v>4141</v>
      </c>
      <c r="D260" s="157" t="s">
        <v>4142</v>
      </c>
      <c r="E260" s="218" t="s">
        <v>1923</v>
      </c>
      <c r="F260" s="218" t="s">
        <v>1923</v>
      </c>
      <c r="I260" t="s">
        <v>4143</v>
      </c>
    </row>
    <row r="261" spans="2:11">
      <c r="B261" s="210" t="s">
        <v>1719</v>
      </c>
      <c r="D261" s="85"/>
      <c r="E261" s="104"/>
      <c r="F261" s="104"/>
    </row>
    <row r="262" spans="2:11">
      <c r="B262" s="174" t="s">
        <v>1428</v>
      </c>
      <c r="D262" s="157" t="s">
        <v>4144</v>
      </c>
      <c r="E262" s="157" t="s">
        <v>1720</v>
      </c>
      <c r="F262" s="157" t="s">
        <v>1720</v>
      </c>
      <c r="I262" t="s">
        <v>4143</v>
      </c>
    </row>
    <row r="263" spans="2:11">
      <c r="B263" s="210" t="s">
        <v>945</v>
      </c>
    </row>
    <row r="264" spans="2:11">
      <c r="B264" s="174" t="s">
        <v>1430</v>
      </c>
      <c r="D264" s="156" t="s">
        <v>1430</v>
      </c>
      <c r="E264" s="198" t="s">
        <v>1831</v>
      </c>
      <c r="F264" s="198" t="s">
        <v>1831</v>
      </c>
    </row>
    <row r="265" spans="2:11">
      <c r="B265" s="174" t="s">
        <v>1432</v>
      </c>
      <c r="D265" s="165" t="s">
        <v>1432</v>
      </c>
      <c r="E265" s="162" t="s">
        <v>1724</v>
      </c>
      <c r="F265" s="162" t="s">
        <v>1724</v>
      </c>
    </row>
    <row r="266" spans="2:11">
      <c r="B266" s="200" t="s">
        <v>947</v>
      </c>
      <c r="D266" s="159" t="s">
        <v>947</v>
      </c>
      <c r="E266" s="201" t="s">
        <v>1429</v>
      </c>
      <c r="F266" s="201" t="s">
        <v>1429</v>
      </c>
    </row>
    <row r="267" spans="2:11">
      <c r="B267" s="174" t="s">
        <v>1248</v>
      </c>
      <c r="D267" s="162" t="s">
        <v>1248</v>
      </c>
      <c r="E267" s="199" t="s">
        <v>1431</v>
      </c>
      <c r="F267" s="199" t="s">
        <v>1431</v>
      </c>
    </row>
    <row r="268" spans="2:11">
      <c r="B268" s="203" t="s">
        <v>1141</v>
      </c>
      <c r="C268" s="204"/>
      <c r="D268" s="205" t="s">
        <v>1141</v>
      </c>
      <c r="E268" s="205" t="s">
        <v>946</v>
      </c>
      <c r="F268" s="205" t="s">
        <v>946</v>
      </c>
      <c r="G268" s="204"/>
      <c r="H268" s="204"/>
      <c r="I268" s="206" t="s">
        <v>1141</v>
      </c>
      <c r="J268" s="209" t="s">
        <v>1247</v>
      </c>
      <c r="K268" s="209" t="s">
        <v>1247</v>
      </c>
    </row>
    <row r="269" spans="2:11">
      <c r="B269" s="174" t="s">
        <v>1912</v>
      </c>
      <c r="D269" s="159" t="s">
        <v>1912</v>
      </c>
      <c r="E269" s="198" t="s">
        <v>1140</v>
      </c>
      <c r="F269" s="198" t="s">
        <v>1140</v>
      </c>
    </row>
    <row r="270" spans="2:11">
      <c r="B270" s="174" t="s">
        <v>1250</v>
      </c>
      <c r="D270" s="165" t="s">
        <v>4145</v>
      </c>
      <c r="E270" s="162" t="s">
        <v>1140</v>
      </c>
      <c r="F270" s="162" t="s">
        <v>1140</v>
      </c>
    </row>
    <row r="271" spans="2:11">
      <c r="B271" s="174" t="s">
        <v>1328</v>
      </c>
      <c r="D271" s="159" t="s">
        <v>1328</v>
      </c>
      <c r="E271" s="159" t="s">
        <v>1911</v>
      </c>
      <c r="F271" s="159" t="s">
        <v>1911</v>
      </c>
    </row>
    <row r="272" spans="2:11">
      <c r="B272" s="174" t="s">
        <v>949</v>
      </c>
      <c r="D272" s="162" t="s">
        <v>949</v>
      </c>
      <c r="E272" s="165" t="s">
        <v>1249</v>
      </c>
      <c r="F272" s="165" t="s">
        <v>1249</v>
      </c>
    </row>
    <row r="273" spans="2:6">
      <c r="B273" s="174" t="s">
        <v>1252</v>
      </c>
      <c r="D273" s="159" t="s">
        <v>1252</v>
      </c>
      <c r="E273" s="159" t="s">
        <v>1327</v>
      </c>
      <c r="F273" s="159" t="s">
        <v>1327</v>
      </c>
    </row>
    <row r="274" spans="2:6">
      <c r="B274" s="174" t="s">
        <v>1330</v>
      </c>
      <c r="D274" s="162" t="s">
        <v>1330</v>
      </c>
      <c r="E274" s="208" t="s">
        <v>948</v>
      </c>
      <c r="F274" s="208" t="s">
        <v>948</v>
      </c>
    </row>
    <row r="275" spans="2:6">
      <c r="B275" s="174" t="s">
        <v>1625</v>
      </c>
      <c r="D275" s="159" t="s">
        <v>1625</v>
      </c>
      <c r="E275" s="159" t="s">
        <v>1251</v>
      </c>
      <c r="F275" s="159" t="s">
        <v>1251</v>
      </c>
    </row>
    <row r="276" spans="2:6">
      <c r="B276" s="174" t="s">
        <v>1529</v>
      </c>
      <c r="D276" s="165" t="s">
        <v>1529</v>
      </c>
      <c r="E276" s="162" t="s">
        <v>1329</v>
      </c>
      <c r="F276" s="162" t="s">
        <v>1329</v>
      </c>
    </row>
    <row r="277" spans="2:6">
      <c r="B277" s="174" t="s">
        <v>2013</v>
      </c>
      <c r="D277" s="156" t="s">
        <v>4146</v>
      </c>
      <c r="E277" s="156" t="s">
        <v>1058</v>
      </c>
      <c r="F277" s="156" t="s">
        <v>1058</v>
      </c>
    </row>
    <row r="278" spans="2:6">
      <c r="B278" s="174" t="s">
        <v>1059</v>
      </c>
      <c r="D278" s="156" t="s">
        <v>1059</v>
      </c>
      <c r="E278" s="159" t="s">
        <v>1624</v>
      </c>
      <c r="F278" s="159" t="s">
        <v>1624</v>
      </c>
    </row>
    <row r="279" spans="2:6">
      <c r="B279" s="174" t="s">
        <v>1531</v>
      </c>
      <c r="D279" s="165" t="s">
        <v>1531</v>
      </c>
      <c r="E279" s="165" t="s">
        <v>1528</v>
      </c>
      <c r="F279" s="165" t="s">
        <v>1528</v>
      </c>
    </row>
    <row r="280" spans="2:6">
      <c r="B280" s="174" t="s">
        <v>1914</v>
      </c>
      <c r="D280" s="165" t="s">
        <v>1914</v>
      </c>
      <c r="E280" s="165" t="s">
        <v>1530</v>
      </c>
      <c r="F280" s="165" t="s">
        <v>1530</v>
      </c>
    </row>
    <row r="281" spans="2:6">
      <c r="B281" s="174" t="s">
        <v>1332</v>
      </c>
      <c r="D281" s="159" t="s">
        <v>1332</v>
      </c>
      <c r="E281" s="156" t="s">
        <v>2012</v>
      </c>
      <c r="F281" s="156" t="s">
        <v>2012</v>
      </c>
    </row>
    <row r="282" spans="2:6">
      <c r="B282" s="174" t="s">
        <v>1627</v>
      </c>
      <c r="D282" s="156" t="s">
        <v>1627</v>
      </c>
      <c r="E282" s="159" t="s">
        <v>1331</v>
      </c>
      <c r="F282" s="159" t="s">
        <v>1331</v>
      </c>
    </row>
    <row r="283" spans="2:6">
      <c r="B283" s="174" t="s">
        <v>1143</v>
      </c>
      <c r="D283" s="162" t="s">
        <v>1143</v>
      </c>
      <c r="E283" s="190" t="s">
        <v>1917</v>
      </c>
      <c r="F283" s="190" t="s">
        <v>1917</v>
      </c>
    </row>
    <row r="284" spans="2:6">
      <c r="B284" s="174" t="s">
        <v>1721</v>
      </c>
      <c r="D284" s="156" t="s">
        <v>1721</v>
      </c>
      <c r="E284" s="201" t="s">
        <v>1626</v>
      </c>
      <c r="F284" s="201" t="s">
        <v>1626</v>
      </c>
    </row>
    <row r="285" spans="2:6">
      <c r="B285" s="174" t="s">
        <v>1916</v>
      </c>
      <c r="D285" s="165" t="s">
        <v>1916</v>
      </c>
      <c r="E285" s="208" t="s">
        <v>1142</v>
      </c>
      <c r="F285" s="208" t="s">
        <v>1142</v>
      </c>
    </row>
    <row r="286" spans="2:6">
      <c r="B286" s="174" t="s">
        <v>1334</v>
      </c>
      <c r="D286" s="162" t="s">
        <v>1334</v>
      </c>
      <c r="E286" s="165" t="s">
        <v>1915</v>
      </c>
      <c r="F286" s="165" t="s">
        <v>1915</v>
      </c>
    </row>
    <row r="287" spans="2:6">
      <c r="B287" s="174" t="s">
        <v>1254</v>
      </c>
      <c r="D287" s="156" t="s">
        <v>1254</v>
      </c>
      <c r="E287" s="156" t="s">
        <v>1427</v>
      </c>
      <c r="F287" s="156" t="s">
        <v>4147</v>
      </c>
    </row>
    <row r="288" spans="2:6">
      <c r="B288" s="174" t="s">
        <v>1336</v>
      </c>
      <c r="D288" s="165" t="s">
        <v>4148</v>
      </c>
      <c r="E288" s="162" t="s">
        <v>1333</v>
      </c>
      <c r="F288" s="162" t="s">
        <v>1333</v>
      </c>
    </row>
    <row r="289" spans="2:11">
      <c r="B289" s="174" t="s">
        <v>1434</v>
      </c>
      <c r="D289" s="156" t="s">
        <v>1434</v>
      </c>
      <c r="E289" s="156" t="s">
        <v>1253</v>
      </c>
      <c r="F289" s="156" t="s">
        <v>1253</v>
      </c>
    </row>
    <row r="290" spans="2:11">
      <c r="B290" s="210" t="s">
        <v>1723</v>
      </c>
      <c r="D290" s="104"/>
      <c r="E290" s="104"/>
      <c r="F290" s="104"/>
    </row>
    <row r="291" spans="2:11">
      <c r="B291" s="174" t="s">
        <v>951</v>
      </c>
      <c r="D291" s="163" t="s">
        <v>951</v>
      </c>
      <c r="E291" s="219" t="s">
        <v>1335</v>
      </c>
      <c r="F291" s="219" t="s">
        <v>1335</v>
      </c>
    </row>
    <row r="292" spans="2:11">
      <c r="B292" s="174" t="s">
        <v>1725</v>
      </c>
      <c r="D292" s="162" t="s">
        <v>4149</v>
      </c>
      <c r="E292" s="208" t="s">
        <v>1526</v>
      </c>
      <c r="F292" s="208" t="s">
        <v>1526</v>
      </c>
    </row>
    <row r="293" spans="2:11">
      <c r="B293" s="174" t="s">
        <v>1061</v>
      </c>
      <c r="D293" s="159" t="s">
        <v>1061</v>
      </c>
      <c r="E293" s="156" t="s">
        <v>1433</v>
      </c>
      <c r="F293" s="156" t="s">
        <v>1433</v>
      </c>
    </row>
    <row r="294" spans="2:11">
      <c r="B294" s="174" t="s">
        <v>2015</v>
      </c>
      <c r="D294" s="165" t="s">
        <v>4150</v>
      </c>
      <c r="E294" s="165" t="s">
        <v>950</v>
      </c>
      <c r="F294" s="165" t="s">
        <v>950</v>
      </c>
    </row>
    <row r="295" spans="2:11">
      <c r="B295" s="174" t="s">
        <v>953</v>
      </c>
      <c r="D295" s="159" t="s">
        <v>953</v>
      </c>
      <c r="E295" s="159" t="s">
        <v>1060</v>
      </c>
      <c r="F295" s="159" t="s">
        <v>1060</v>
      </c>
    </row>
    <row r="296" spans="2:11">
      <c r="B296" s="174" t="s">
        <v>1629</v>
      </c>
      <c r="D296" s="162" t="s">
        <v>4151</v>
      </c>
      <c r="E296" s="165" t="s">
        <v>2014</v>
      </c>
      <c r="F296" s="165" t="s">
        <v>2014</v>
      </c>
    </row>
    <row r="297" spans="2:11">
      <c r="B297" s="174" t="s">
        <v>2017</v>
      </c>
      <c r="D297" s="156" t="s">
        <v>2017</v>
      </c>
      <c r="E297" s="159" t="s">
        <v>952</v>
      </c>
      <c r="F297" s="159" t="s">
        <v>4152</v>
      </c>
    </row>
    <row r="298" spans="2:11">
      <c r="B298" s="174" t="s">
        <v>1148</v>
      </c>
      <c r="D298" s="165" t="s">
        <v>1148</v>
      </c>
      <c r="E298" s="162" t="s">
        <v>1628</v>
      </c>
      <c r="F298" s="162" t="s">
        <v>1628</v>
      </c>
    </row>
    <row r="299" spans="2:11">
      <c r="B299" s="174" t="s">
        <v>1918</v>
      </c>
      <c r="D299" s="190" t="s">
        <v>4153</v>
      </c>
      <c r="E299" s="165" t="s">
        <v>1913</v>
      </c>
      <c r="F299" s="165" t="s">
        <v>1913</v>
      </c>
    </row>
    <row r="300" spans="2:11">
      <c r="B300" s="174" t="s">
        <v>1631</v>
      </c>
      <c r="D300" s="156" t="s">
        <v>1631</v>
      </c>
      <c r="E300" s="201" t="s">
        <v>2016</v>
      </c>
      <c r="F300" s="201" t="s">
        <v>2016</v>
      </c>
    </row>
    <row r="301" spans="2:11">
      <c r="B301" s="174" t="s">
        <v>1256</v>
      </c>
      <c r="D301" s="165" t="s">
        <v>4154</v>
      </c>
      <c r="E301" s="165" t="s">
        <v>1147</v>
      </c>
      <c r="F301" s="165" t="s">
        <v>1147</v>
      </c>
    </row>
    <row r="302" spans="2:11">
      <c r="B302" s="174" t="s">
        <v>1633</v>
      </c>
      <c r="D302" s="159" t="s">
        <v>1633</v>
      </c>
      <c r="E302" s="201" t="s">
        <v>1630</v>
      </c>
      <c r="F302" s="201" t="s">
        <v>1630</v>
      </c>
    </row>
    <row r="303" spans="2:11">
      <c r="B303" s="203" t="s">
        <v>1920</v>
      </c>
      <c r="C303" s="204"/>
      <c r="D303" s="206" t="s">
        <v>1920</v>
      </c>
      <c r="E303" s="206" t="s">
        <v>1255</v>
      </c>
      <c r="F303" s="206" t="s">
        <v>1255</v>
      </c>
      <c r="G303" s="204"/>
      <c r="H303" s="204"/>
      <c r="I303" s="206" t="s">
        <v>4155</v>
      </c>
      <c r="J303" s="206" t="s">
        <v>4156</v>
      </c>
      <c r="K303" s="206">
        <v>3091199482</v>
      </c>
    </row>
    <row r="304" spans="2:11">
      <c r="B304" s="220" t="s">
        <v>1727</v>
      </c>
      <c r="D304" s="156" t="s">
        <v>1727</v>
      </c>
      <c r="E304" s="159" t="s">
        <v>1632</v>
      </c>
      <c r="F304" s="159" t="s">
        <v>1632</v>
      </c>
    </row>
    <row r="305" spans="2:11">
      <c r="B305" s="174" t="s">
        <v>1533</v>
      </c>
      <c r="D305" s="165" t="s">
        <v>4157</v>
      </c>
      <c r="E305" s="165" t="s">
        <v>1919</v>
      </c>
      <c r="F305" s="165" t="s">
        <v>1919</v>
      </c>
    </row>
    <row r="306" spans="2:11">
      <c r="B306" s="200" t="s">
        <v>2019</v>
      </c>
      <c r="D306" s="156" t="s">
        <v>2019</v>
      </c>
      <c r="E306" s="156" t="s">
        <v>1726</v>
      </c>
      <c r="F306" s="156" t="s">
        <v>1726</v>
      </c>
    </row>
    <row r="307" spans="2:11">
      <c r="B307" s="203" t="s">
        <v>1535</v>
      </c>
      <c r="C307" s="204"/>
      <c r="D307" s="206" t="s">
        <v>4158</v>
      </c>
      <c r="E307" s="206" t="s">
        <v>1532</v>
      </c>
      <c r="F307" s="206" t="s">
        <v>1532</v>
      </c>
      <c r="G307" s="204"/>
      <c r="H307" s="204"/>
      <c r="I307" s="205" t="s">
        <v>4158</v>
      </c>
      <c r="J307" s="215" t="s">
        <v>2018</v>
      </c>
      <c r="K307" s="215" t="s">
        <v>2018</v>
      </c>
    </row>
    <row r="308" spans="2:11">
      <c r="B308" s="174" t="s">
        <v>2021</v>
      </c>
      <c r="D308" s="159" t="s">
        <v>4159</v>
      </c>
      <c r="E308" s="156" t="s">
        <v>1534</v>
      </c>
      <c r="F308" s="156" t="s">
        <v>1534</v>
      </c>
    </row>
    <row r="309" spans="2:11">
      <c r="B309" s="203" t="s">
        <v>1338</v>
      </c>
      <c r="C309" s="204"/>
      <c r="D309" s="206" t="s">
        <v>1338</v>
      </c>
      <c r="E309" s="209" t="s">
        <v>4160</v>
      </c>
      <c r="F309" s="209" t="s">
        <v>4160</v>
      </c>
      <c r="G309" s="204"/>
      <c r="H309" s="204"/>
      <c r="I309" s="206" t="s">
        <v>4161</v>
      </c>
      <c r="J309" s="209" t="s">
        <v>1534</v>
      </c>
      <c r="K309" s="209" t="s">
        <v>1534</v>
      </c>
    </row>
    <row r="310" spans="2:11">
      <c r="B310" s="174" t="s">
        <v>1834</v>
      </c>
      <c r="D310" s="156" t="s">
        <v>1834</v>
      </c>
      <c r="E310" s="198" t="s">
        <v>2020</v>
      </c>
      <c r="F310" s="198" t="s">
        <v>2020</v>
      </c>
    </row>
    <row r="311" spans="2:11">
      <c r="B311" s="174" t="s">
        <v>1340</v>
      </c>
      <c r="D311" s="162" t="s">
        <v>1340</v>
      </c>
      <c r="E311" s="162" t="s">
        <v>1337</v>
      </c>
      <c r="F311" s="162" t="s">
        <v>1337</v>
      </c>
    </row>
    <row r="312" spans="2:11">
      <c r="B312" s="174" t="s">
        <v>1063</v>
      </c>
      <c r="D312" s="156" t="s">
        <v>4162</v>
      </c>
      <c r="E312" s="156" t="s">
        <v>1833</v>
      </c>
      <c r="F312" s="156" t="s">
        <v>1833</v>
      </c>
    </row>
    <row r="313" spans="2:11">
      <c r="B313" s="174" t="s">
        <v>2023</v>
      </c>
      <c r="D313" s="162" t="s">
        <v>2023</v>
      </c>
      <c r="E313" s="162" t="s">
        <v>1339</v>
      </c>
      <c r="F313" s="162" t="s">
        <v>1339</v>
      </c>
    </row>
    <row r="314" spans="2:11">
      <c r="B314" s="174" t="s">
        <v>1922</v>
      </c>
      <c r="D314" s="159" t="s">
        <v>1922</v>
      </c>
      <c r="E314" s="156" t="s">
        <v>1062</v>
      </c>
      <c r="F314" s="156" t="s">
        <v>1062</v>
      </c>
    </row>
    <row r="315" spans="2:11">
      <c r="B315" s="203" t="s">
        <v>2025</v>
      </c>
      <c r="C315" s="204"/>
      <c r="D315" s="206" t="s">
        <v>4163</v>
      </c>
      <c r="E315" s="209" t="s">
        <v>2022</v>
      </c>
      <c r="F315" s="209" t="s">
        <v>2022</v>
      </c>
      <c r="G315" s="204"/>
      <c r="H315" s="204"/>
      <c r="I315" s="205" t="s">
        <v>4163</v>
      </c>
      <c r="J315" s="215" t="s">
        <v>1921</v>
      </c>
      <c r="K315" s="215" t="s">
        <v>1921</v>
      </c>
    </row>
    <row r="316" spans="2:11">
      <c r="B316" s="200" t="s">
        <v>1342</v>
      </c>
      <c r="D316" s="165" t="s">
        <v>4164</v>
      </c>
      <c r="E316" s="199" t="s">
        <v>2024</v>
      </c>
      <c r="F316" s="199" t="s">
        <v>2024</v>
      </c>
    </row>
    <row r="317" spans="2:11">
      <c r="B317" s="174" t="s">
        <v>1436</v>
      </c>
      <c r="D317" s="156" t="s">
        <v>1436</v>
      </c>
      <c r="E317" s="201" t="s">
        <v>2024</v>
      </c>
      <c r="F317" s="201" t="s">
        <v>2024</v>
      </c>
    </row>
    <row r="318" spans="2:11">
      <c r="B318" s="174" t="s">
        <v>1729</v>
      </c>
      <c r="D318" s="165" t="s">
        <v>4165</v>
      </c>
      <c r="E318" s="165" t="s">
        <v>1341</v>
      </c>
      <c r="F318" s="165" t="s">
        <v>1341</v>
      </c>
    </row>
    <row r="319" spans="2:11">
      <c r="B319" s="174" t="s">
        <v>1537</v>
      </c>
      <c r="D319" s="159" t="s">
        <v>4166</v>
      </c>
      <c r="E319" s="156" t="s">
        <v>1435</v>
      </c>
      <c r="F319" s="156" t="s">
        <v>1435</v>
      </c>
    </row>
    <row r="320" spans="2:11">
      <c r="B320" s="174" t="s">
        <v>1836</v>
      </c>
      <c r="D320" s="162" t="s">
        <v>1836</v>
      </c>
      <c r="E320" s="165" t="s">
        <v>1728</v>
      </c>
      <c r="F320" s="165" t="s">
        <v>1728</v>
      </c>
    </row>
    <row r="321" spans="2:11">
      <c r="B321" s="214" t="s">
        <v>1924</v>
      </c>
      <c r="C321" s="204"/>
      <c r="D321" s="205" t="s">
        <v>1924</v>
      </c>
      <c r="E321" s="205" t="s">
        <v>1536</v>
      </c>
      <c r="F321" s="205" t="s">
        <v>1536</v>
      </c>
      <c r="G321" s="204"/>
      <c r="H321" s="204"/>
      <c r="I321" s="206" t="s">
        <v>1924</v>
      </c>
      <c r="J321" s="209" t="s">
        <v>1835</v>
      </c>
      <c r="K321" s="209" t="s">
        <v>1835</v>
      </c>
    </row>
    <row r="322" spans="2:11">
      <c r="B322" s="174" t="s">
        <v>1539</v>
      </c>
      <c r="D322" s="162" t="s">
        <v>1539</v>
      </c>
      <c r="E322" s="162" t="s">
        <v>1923</v>
      </c>
      <c r="F322" s="162" t="s">
        <v>1923</v>
      </c>
    </row>
    <row r="323" spans="2:11">
      <c r="B323" s="174" t="s">
        <v>1438</v>
      </c>
      <c r="D323" s="156" t="s">
        <v>1438</v>
      </c>
      <c r="E323" s="156" t="s">
        <v>1144</v>
      </c>
      <c r="F323" s="156" t="s">
        <v>1144</v>
      </c>
    </row>
    <row r="324" spans="2:11">
      <c r="B324" s="221" t="s">
        <v>955</v>
      </c>
      <c r="D324" s="165" t="s">
        <v>955</v>
      </c>
      <c r="E324" s="162">
        <v>3109423529</v>
      </c>
      <c r="F324" s="162">
        <v>3109423529</v>
      </c>
    </row>
    <row r="325" spans="2:11">
      <c r="B325" s="174" t="s">
        <v>1635</v>
      </c>
      <c r="D325" s="156" t="s">
        <v>1635</v>
      </c>
      <c r="E325" s="156">
        <v>3096412917</v>
      </c>
      <c r="F325" s="156">
        <v>3096412917</v>
      </c>
    </row>
    <row r="326" spans="2:11">
      <c r="B326" s="174" t="s">
        <v>957</v>
      </c>
      <c r="D326" s="162" t="s">
        <v>957</v>
      </c>
      <c r="E326" s="199" t="s">
        <v>954</v>
      </c>
      <c r="F326" s="199" t="s">
        <v>954</v>
      </c>
    </row>
    <row r="327" spans="2:11">
      <c r="B327" s="174" t="s">
        <v>1637</v>
      </c>
      <c r="D327" s="156" t="s">
        <v>4167</v>
      </c>
      <c r="E327" s="198" t="s">
        <v>1540</v>
      </c>
      <c r="F327" s="198" t="s">
        <v>1540</v>
      </c>
      <c r="I327" t="s">
        <v>4168</v>
      </c>
    </row>
    <row r="328" spans="2:11">
      <c r="B328" s="174" t="s">
        <v>1541</v>
      </c>
      <c r="D328" s="159" t="s">
        <v>1541</v>
      </c>
      <c r="E328" s="156" t="s">
        <v>1634</v>
      </c>
      <c r="F328" s="156" t="s">
        <v>1634</v>
      </c>
    </row>
    <row r="329" spans="2:11">
      <c r="B329" s="174" t="s">
        <v>4169</v>
      </c>
      <c r="D329" s="162" t="s">
        <v>4170</v>
      </c>
      <c r="E329" s="162" t="s">
        <v>956</v>
      </c>
      <c r="F329" s="162" t="s">
        <v>956</v>
      </c>
    </row>
    <row r="330" spans="2:11">
      <c r="B330" s="174" t="s">
        <v>4171</v>
      </c>
      <c r="D330" s="159" t="s">
        <v>4171</v>
      </c>
      <c r="E330" s="156" t="s">
        <v>1636</v>
      </c>
      <c r="F330" s="156" t="s">
        <v>1636</v>
      </c>
    </row>
    <row r="331" spans="2:11">
      <c r="B331" s="174" t="s">
        <v>1065</v>
      </c>
      <c r="D331" s="162" t="s">
        <v>4172</v>
      </c>
      <c r="E331" s="162" t="s">
        <v>1919</v>
      </c>
      <c r="F331" s="162" t="s">
        <v>1919</v>
      </c>
    </row>
    <row r="332" spans="2:11">
      <c r="B332" s="174" t="s">
        <v>1067</v>
      </c>
      <c r="D332" s="159" t="s">
        <v>4173</v>
      </c>
      <c r="E332" s="159" t="s">
        <v>4174</v>
      </c>
      <c r="F332" s="159" t="s">
        <v>4174</v>
      </c>
    </row>
    <row r="333" spans="2:11">
      <c r="B333" s="200" t="s">
        <v>1258</v>
      </c>
      <c r="D333" s="165" t="s">
        <v>1258</v>
      </c>
      <c r="E333" s="162" t="s">
        <v>1064</v>
      </c>
      <c r="F333" s="162" t="s">
        <v>1064</v>
      </c>
    </row>
    <row r="334" spans="2:11">
      <c r="B334" s="174" t="s">
        <v>1731</v>
      </c>
      <c r="D334" s="159" t="s">
        <v>1731</v>
      </c>
      <c r="E334" s="159" t="s">
        <v>1066</v>
      </c>
      <c r="F334" s="159" t="s">
        <v>1066</v>
      </c>
    </row>
    <row r="335" spans="2:11">
      <c r="B335" s="203" t="s">
        <v>1543</v>
      </c>
      <c r="C335" s="204"/>
      <c r="D335" s="206" t="s">
        <v>1543</v>
      </c>
      <c r="E335" s="206" t="s">
        <v>1257</v>
      </c>
      <c r="F335" s="206" t="s">
        <v>1257</v>
      </c>
      <c r="G335" s="204"/>
      <c r="H335" s="204"/>
      <c r="I335" s="205" t="s">
        <v>4175</v>
      </c>
      <c r="J335" s="205">
        <v>3099962280</v>
      </c>
      <c r="K335" s="205">
        <v>3099962280</v>
      </c>
    </row>
    <row r="336" spans="2:11">
      <c r="B336" s="174" t="s">
        <v>1260</v>
      </c>
      <c r="D336" s="162" t="s">
        <v>4176</v>
      </c>
      <c r="E336" s="162" t="s">
        <v>1542</v>
      </c>
      <c r="F336" s="162" t="s">
        <v>1542</v>
      </c>
    </row>
    <row r="337" spans="2:6">
      <c r="B337" s="174" t="s">
        <v>1440</v>
      </c>
      <c r="D337" s="156" t="s">
        <v>1440</v>
      </c>
      <c r="E337" s="156" t="s">
        <v>1542</v>
      </c>
      <c r="F337" s="156" t="s">
        <v>1542</v>
      </c>
    </row>
    <row r="338" spans="2:6">
      <c r="B338" s="174" t="s">
        <v>1262</v>
      </c>
      <c r="D338" s="162" t="s">
        <v>4177</v>
      </c>
      <c r="E338" s="162" t="s">
        <v>1259</v>
      </c>
      <c r="F338" s="162" t="s">
        <v>1259</v>
      </c>
    </row>
    <row r="339" spans="2:6">
      <c r="B339" s="174" t="s">
        <v>959</v>
      </c>
      <c r="D339" s="159" t="s">
        <v>959</v>
      </c>
      <c r="E339" s="156" t="s">
        <v>1439</v>
      </c>
      <c r="F339" s="156" t="s">
        <v>1439</v>
      </c>
    </row>
    <row r="340" spans="2:6">
      <c r="B340" s="174" t="s">
        <v>1733</v>
      </c>
      <c r="D340" s="162" t="s">
        <v>1733</v>
      </c>
      <c r="E340" s="162" t="s">
        <v>1261</v>
      </c>
      <c r="F340" s="162" t="s">
        <v>1261</v>
      </c>
    </row>
    <row r="341" spans="2:6">
      <c r="B341" s="174" t="s">
        <v>1442</v>
      </c>
      <c r="D341" s="159" t="s">
        <v>1442</v>
      </c>
      <c r="E341" s="159" t="s">
        <v>958</v>
      </c>
      <c r="F341" s="159" t="s">
        <v>958</v>
      </c>
    </row>
    <row r="342" spans="2:6">
      <c r="B342" s="174" t="s">
        <v>1545</v>
      </c>
      <c r="D342" s="162" t="s">
        <v>1545</v>
      </c>
      <c r="E342" s="162" t="s">
        <v>1732</v>
      </c>
      <c r="F342" s="162" t="s">
        <v>1732</v>
      </c>
    </row>
    <row r="343" spans="2:6">
      <c r="B343" s="174" t="s">
        <v>1926</v>
      </c>
      <c r="D343" s="156" t="s">
        <v>1926</v>
      </c>
      <c r="E343" s="198">
        <v>3096598873</v>
      </c>
      <c r="F343" s="198">
        <v>3096598873</v>
      </c>
    </row>
    <row r="344" spans="2:6">
      <c r="B344" s="174" t="s">
        <v>1547</v>
      </c>
      <c r="D344" s="162" t="s">
        <v>1547</v>
      </c>
      <c r="E344" s="208" t="s">
        <v>1544</v>
      </c>
      <c r="F344" s="208" t="s">
        <v>1544</v>
      </c>
    </row>
    <row r="345" spans="2:6">
      <c r="B345" s="200" t="s">
        <v>1549</v>
      </c>
      <c r="D345" s="159" t="s">
        <v>4178</v>
      </c>
      <c r="E345" s="201" t="s">
        <v>1925</v>
      </c>
      <c r="F345" s="201" t="s">
        <v>1925</v>
      </c>
    </row>
    <row r="346" spans="2:6">
      <c r="B346" s="174" t="s">
        <v>1264</v>
      </c>
      <c r="D346" s="165" t="s">
        <v>4179</v>
      </c>
      <c r="E346" s="208" t="s">
        <v>1546</v>
      </c>
      <c r="F346" s="208" t="s">
        <v>1546</v>
      </c>
    </row>
    <row r="347" spans="2:6">
      <c r="B347" s="174" t="s">
        <v>1150</v>
      </c>
      <c r="D347" s="159" t="s">
        <v>1150</v>
      </c>
      <c r="E347" s="198" t="s">
        <v>1548</v>
      </c>
      <c r="F347" s="198" t="s">
        <v>1548</v>
      </c>
    </row>
    <row r="348" spans="2:6">
      <c r="B348" s="200" t="s">
        <v>1069</v>
      </c>
      <c r="D348" s="162" t="s">
        <v>1069</v>
      </c>
      <c r="E348" s="199" t="s">
        <v>1263</v>
      </c>
      <c r="F348" s="199" t="s">
        <v>1263</v>
      </c>
    </row>
    <row r="349" spans="2:6">
      <c r="B349" s="174" t="s">
        <v>1735</v>
      </c>
      <c r="D349" s="156" t="s">
        <v>4180</v>
      </c>
      <c r="E349" s="159" t="s">
        <v>1149</v>
      </c>
      <c r="F349" s="159" t="s">
        <v>1149</v>
      </c>
    </row>
    <row r="350" spans="2:6">
      <c r="B350" s="174" t="s">
        <v>1444</v>
      </c>
      <c r="D350" s="165" t="s">
        <v>1444</v>
      </c>
      <c r="E350" s="162" t="s">
        <v>1068</v>
      </c>
      <c r="F350" s="162" t="s">
        <v>1068</v>
      </c>
    </row>
    <row r="351" spans="2:6">
      <c r="B351" s="174" t="s">
        <v>1266</v>
      </c>
      <c r="D351" s="156" t="s">
        <v>1266</v>
      </c>
      <c r="E351" s="156" t="s">
        <v>1734</v>
      </c>
      <c r="F351" s="156" t="s">
        <v>1734</v>
      </c>
    </row>
    <row r="352" spans="2:6">
      <c r="B352" s="174" t="s">
        <v>1344</v>
      </c>
      <c r="D352" s="165" t="s">
        <v>1344</v>
      </c>
      <c r="E352" s="165" t="s">
        <v>1443</v>
      </c>
      <c r="F352" s="165" t="s">
        <v>1443</v>
      </c>
    </row>
    <row r="353" spans="2:11">
      <c r="B353" s="174" t="s">
        <v>961</v>
      </c>
      <c r="D353" s="156" t="s">
        <v>961</v>
      </c>
      <c r="E353" s="156" t="s">
        <v>1265</v>
      </c>
      <c r="F353" s="156" t="s">
        <v>1265</v>
      </c>
    </row>
    <row r="354" spans="2:11">
      <c r="B354" s="174" t="s">
        <v>1268</v>
      </c>
      <c r="D354" s="165" t="s">
        <v>1268</v>
      </c>
      <c r="E354" s="165" t="s">
        <v>1343</v>
      </c>
      <c r="F354" s="165" t="s">
        <v>1343</v>
      </c>
    </row>
    <row r="355" spans="2:11">
      <c r="B355" s="174" t="s">
        <v>1641</v>
      </c>
      <c r="D355" s="156" t="s">
        <v>1641</v>
      </c>
      <c r="E355" s="156" t="s">
        <v>960</v>
      </c>
      <c r="F355" s="156" t="s">
        <v>960</v>
      </c>
    </row>
    <row r="356" spans="2:11">
      <c r="B356" s="174" t="s">
        <v>963</v>
      </c>
      <c r="D356" s="162" t="s">
        <v>4181</v>
      </c>
      <c r="E356" s="165" t="s">
        <v>1267</v>
      </c>
      <c r="F356" s="165" t="s">
        <v>1267</v>
      </c>
    </row>
    <row r="357" spans="2:11">
      <c r="B357" s="174" t="s">
        <v>1446</v>
      </c>
      <c r="D357" s="156" t="s">
        <v>4182</v>
      </c>
      <c r="E357" s="201" t="s">
        <v>1640</v>
      </c>
      <c r="F357" s="201" t="s">
        <v>1640</v>
      </c>
    </row>
    <row r="358" spans="2:11">
      <c r="B358" s="174" t="s">
        <v>1346</v>
      </c>
      <c r="D358" s="165" t="s">
        <v>1346</v>
      </c>
      <c r="E358" s="208" t="s">
        <v>962</v>
      </c>
      <c r="F358" s="208" t="s">
        <v>962</v>
      </c>
    </row>
    <row r="359" spans="2:11">
      <c r="B359" s="174" t="s">
        <v>2027</v>
      </c>
      <c r="D359" s="159" t="s">
        <v>2027</v>
      </c>
      <c r="E359" s="201" t="s">
        <v>1445</v>
      </c>
      <c r="F359" s="201" t="s">
        <v>1445</v>
      </c>
    </row>
    <row r="360" spans="2:11">
      <c r="B360" s="174" t="s">
        <v>965</v>
      </c>
      <c r="D360" s="162" t="s">
        <v>965</v>
      </c>
      <c r="E360" s="165" t="s">
        <v>1345</v>
      </c>
      <c r="F360" s="165" t="s">
        <v>1345</v>
      </c>
    </row>
    <row r="361" spans="2:11">
      <c r="B361" s="174" t="s">
        <v>1270</v>
      </c>
      <c r="D361" s="159" t="s">
        <v>1270</v>
      </c>
      <c r="E361" s="159" t="s">
        <v>2026</v>
      </c>
      <c r="F361" s="159" t="s">
        <v>2026</v>
      </c>
    </row>
    <row r="362" spans="2:11">
      <c r="B362" s="174" t="s">
        <v>1152</v>
      </c>
      <c r="D362" s="165" t="s">
        <v>1152</v>
      </c>
      <c r="E362" s="208" t="s">
        <v>964</v>
      </c>
      <c r="F362" s="208" t="s">
        <v>964</v>
      </c>
    </row>
    <row r="363" spans="2:11">
      <c r="B363" s="203" t="s">
        <v>2029</v>
      </c>
      <c r="C363" s="204"/>
      <c r="D363" s="205" t="s">
        <v>2029</v>
      </c>
      <c r="E363" s="215" t="s">
        <v>1269</v>
      </c>
      <c r="F363" s="215" t="s">
        <v>1269</v>
      </c>
      <c r="G363" s="204"/>
      <c r="H363" s="204"/>
      <c r="I363" s="206" t="s">
        <v>4183</v>
      </c>
      <c r="J363" s="206" t="s">
        <v>1151</v>
      </c>
      <c r="K363" s="206" t="s">
        <v>1151</v>
      </c>
    </row>
    <row r="364" spans="2:11">
      <c r="B364" s="174" t="s">
        <v>1071</v>
      </c>
      <c r="D364" s="156" t="s">
        <v>1071</v>
      </c>
      <c r="E364" s="156" t="s">
        <v>2028</v>
      </c>
      <c r="F364" s="156" t="s">
        <v>2028</v>
      </c>
    </row>
    <row r="365" spans="2:11">
      <c r="B365" s="174" t="s">
        <v>967</v>
      </c>
      <c r="D365" s="165" t="s">
        <v>967</v>
      </c>
      <c r="E365" s="162" t="s">
        <v>2028</v>
      </c>
      <c r="F365" s="162" t="s">
        <v>2028</v>
      </c>
    </row>
    <row r="366" spans="2:11">
      <c r="B366" s="174" t="s">
        <v>1928</v>
      </c>
    </row>
    <row r="367" spans="2:11">
      <c r="B367" s="174" t="s">
        <v>1448</v>
      </c>
      <c r="D367" s="159" t="s">
        <v>1448</v>
      </c>
      <c r="E367" s="201">
        <v>3099921407</v>
      </c>
      <c r="F367" s="201">
        <v>3099921407</v>
      </c>
    </row>
    <row r="368" spans="2:11">
      <c r="B368" s="174" t="s">
        <v>1838</v>
      </c>
    </row>
    <row r="369" spans="2:6">
      <c r="B369" s="174" t="s">
        <v>1840</v>
      </c>
      <c r="D369" s="165" t="s">
        <v>1840</v>
      </c>
      <c r="E369" s="199" t="s">
        <v>966</v>
      </c>
      <c r="F369" s="199" t="s">
        <v>966</v>
      </c>
    </row>
    <row r="370" spans="2:6">
      <c r="B370" s="174" t="s">
        <v>1272</v>
      </c>
      <c r="D370" s="159" t="s">
        <v>1272</v>
      </c>
      <c r="E370" s="159" t="s">
        <v>1447</v>
      </c>
      <c r="F370" s="159" t="s">
        <v>1447</v>
      </c>
    </row>
    <row r="371" spans="2:6">
      <c r="B371" s="200" t="s">
        <v>1154</v>
      </c>
      <c r="D371" s="165" t="s">
        <v>4184</v>
      </c>
      <c r="E371" s="165" t="s">
        <v>1839</v>
      </c>
      <c r="F371" s="165" t="s">
        <v>1839</v>
      </c>
    </row>
    <row r="372" spans="2:6">
      <c r="B372" s="174" t="s">
        <v>1639</v>
      </c>
      <c r="D372" s="159" t="s">
        <v>4185</v>
      </c>
      <c r="E372" s="159" t="s">
        <v>1271</v>
      </c>
      <c r="F372" s="159" t="s">
        <v>1271</v>
      </c>
    </row>
    <row r="373" spans="2:6">
      <c r="B373" s="174" t="s">
        <v>4186</v>
      </c>
      <c r="D373" s="162" t="s">
        <v>1156</v>
      </c>
      <c r="E373" s="165" t="s">
        <v>1153</v>
      </c>
      <c r="F373" s="165" t="s">
        <v>1153</v>
      </c>
    </row>
    <row r="374" spans="2:6">
      <c r="B374" s="174" t="s">
        <v>1661</v>
      </c>
    </row>
    <row r="375" spans="2:6">
      <c r="B375" s="174" t="s">
        <v>2031</v>
      </c>
      <c r="D375" s="156" t="s">
        <v>2031</v>
      </c>
      <c r="E375" s="159" t="s">
        <v>1638</v>
      </c>
      <c r="F375" s="159" t="s">
        <v>1638</v>
      </c>
    </row>
    <row r="376" spans="2:6">
      <c r="B376" s="174" t="s">
        <v>1930</v>
      </c>
      <c r="D376" s="165" t="s">
        <v>1930</v>
      </c>
      <c r="E376" s="162" t="s">
        <v>1155</v>
      </c>
      <c r="F376" s="162" t="s">
        <v>1155</v>
      </c>
    </row>
    <row r="377" spans="2:6">
      <c r="B377" s="174" t="s">
        <v>4187</v>
      </c>
      <c r="D377" s="159" t="s">
        <v>1073</v>
      </c>
      <c r="E377" s="156" t="s">
        <v>2030</v>
      </c>
      <c r="F377" s="156" t="s">
        <v>2030</v>
      </c>
    </row>
    <row r="378" spans="2:6">
      <c r="B378" s="174" t="s">
        <v>1737</v>
      </c>
      <c r="D378" s="165" t="s">
        <v>1737</v>
      </c>
      <c r="E378" s="199" t="s">
        <v>1929</v>
      </c>
      <c r="F378" s="199" t="s">
        <v>1929</v>
      </c>
    </row>
    <row r="379" spans="2:6">
      <c r="B379" s="174" t="s">
        <v>1739</v>
      </c>
      <c r="D379" s="159" t="s">
        <v>1739</v>
      </c>
      <c r="E379" s="198" t="s">
        <v>4188</v>
      </c>
      <c r="F379" s="198" t="s">
        <v>1072</v>
      </c>
    </row>
    <row r="380" spans="2:6">
      <c r="B380" s="174" t="s">
        <v>1274</v>
      </c>
      <c r="D380" s="165" t="s">
        <v>1274</v>
      </c>
      <c r="E380" s="165" t="s">
        <v>1736</v>
      </c>
      <c r="F380" s="165" t="s">
        <v>1736</v>
      </c>
    </row>
    <row r="381" spans="2:6">
      <c r="B381" s="174" t="s">
        <v>1740</v>
      </c>
      <c r="D381" s="156" t="s">
        <v>1740</v>
      </c>
      <c r="E381" s="159" t="s">
        <v>1738</v>
      </c>
      <c r="F381" s="159" t="s">
        <v>1738</v>
      </c>
    </row>
    <row r="382" spans="2:6">
      <c r="B382" s="174" t="s">
        <v>1276</v>
      </c>
      <c r="D382" s="162" t="s">
        <v>4189</v>
      </c>
      <c r="E382" s="199" t="s">
        <v>1273</v>
      </c>
      <c r="F382" s="199" t="s">
        <v>1273</v>
      </c>
    </row>
    <row r="383" spans="2:6">
      <c r="B383" s="174" t="s">
        <v>1450</v>
      </c>
      <c r="D383" s="159" t="s">
        <v>1450</v>
      </c>
      <c r="E383" s="156" t="s">
        <v>1506</v>
      </c>
      <c r="F383" s="156" t="s">
        <v>1506</v>
      </c>
    </row>
    <row r="384" spans="2:6">
      <c r="B384" s="174" t="s">
        <v>1452</v>
      </c>
      <c r="D384" s="165" t="s">
        <v>1452</v>
      </c>
      <c r="E384" s="162" t="s">
        <v>1275</v>
      </c>
      <c r="F384" s="162" t="s">
        <v>1275</v>
      </c>
    </row>
    <row r="385" spans="2:6">
      <c r="B385" s="174" t="s">
        <v>1643</v>
      </c>
      <c r="D385" s="159" t="s">
        <v>1643</v>
      </c>
      <c r="E385" s="159" t="s">
        <v>1449</v>
      </c>
      <c r="F385" s="159" t="s">
        <v>1449</v>
      </c>
    </row>
    <row r="386" spans="2:6">
      <c r="B386" s="174" t="s">
        <v>2033</v>
      </c>
      <c r="D386" s="162" t="s">
        <v>4190</v>
      </c>
      <c r="E386" s="199" t="s">
        <v>1451</v>
      </c>
      <c r="F386" s="199" t="s">
        <v>1451</v>
      </c>
    </row>
    <row r="387" spans="2:6">
      <c r="B387" s="174" t="s">
        <v>1932</v>
      </c>
      <c r="D387" s="156" t="s">
        <v>4191</v>
      </c>
      <c r="E387" s="198" t="s">
        <v>1642</v>
      </c>
      <c r="F387" s="198" t="s">
        <v>1642</v>
      </c>
    </row>
    <row r="388" spans="2:6">
      <c r="B388" s="174" t="s">
        <v>2035</v>
      </c>
      <c r="D388" s="162" t="s">
        <v>2035</v>
      </c>
      <c r="E388" s="162" t="s">
        <v>2032</v>
      </c>
      <c r="F388" s="162" t="s">
        <v>2032</v>
      </c>
    </row>
    <row r="389" spans="2:6">
      <c r="B389" s="174" t="s">
        <v>1934</v>
      </c>
      <c r="D389" s="156" t="s">
        <v>4192</v>
      </c>
      <c r="E389" s="156" t="s">
        <v>1931</v>
      </c>
      <c r="F389" s="156" t="s">
        <v>1931</v>
      </c>
    </row>
    <row r="390" spans="2:6">
      <c r="B390" s="174" t="s">
        <v>1936</v>
      </c>
      <c r="D390" s="165" t="s">
        <v>4193</v>
      </c>
      <c r="E390" s="162" t="s">
        <v>2034</v>
      </c>
      <c r="F390" s="162" t="s">
        <v>2034</v>
      </c>
    </row>
    <row r="391" spans="2:6">
      <c r="B391" s="174" t="s">
        <v>4194</v>
      </c>
      <c r="D391" s="156" t="s">
        <v>4195</v>
      </c>
      <c r="E391" s="156" t="s">
        <v>1933</v>
      </c>
      <c r="F391" s="156" t="s">
        <v>1933</v>
      </c>
    </row>
    <row r="392" spans="2:6">
      <c r="B392" s="174" t="s">
        <v>1940</v>
      </c>
      <c r="D392" s="162" t="s">
        <v>1940</v>
      </c>
      <c r="E392" s="165" t="s">
        <v>1935</v>
      </c>
      <c r="F392" s="165" t="s">
        <v>1935</v>
      </c>
    </row>
    <row r="393" spans="2:6">
      <c r="B393" s="174" t="s">
        <v>1348</v>
      </c>
      <c r="D393" s="156" t="s">
        <v>1348</v>
      </c>
      <c r="E393" s="156" t="s">
        <v>1937</v>
      </c>
      <c r="F393" s="156" t="s">
        <v>1937</v>
      </c>
    </row>
    <row r="394" spans="2:6">
      <c r="B394" s="174" t="s">
        <v>1278</v>
      </c>
      <c r="D394" s="165" t="s">
        <v>1278</v>
      </c>
      <c r="E394" s="162" t="s">
        <v>1939</v>
      </c>
      <c r="F394" s="162" t="s">
        <v>1939</v>
      </c>
    </row>
    <row r="395" spans="2:6">
      <c r="B395" s="174" t="s">
        <v>1842</v>
      </c>
      <c r="D395" s="156" t="s">
        <v>1842</v>
      </c>
      <c r="E395" s="156" t="s">
        <v>1347</v>
      </c>
      <c r="F395" s="156" t="s">
        <v>1347</v>
      </c>
    </row>
    <row r="396" spans="2:6">
      <c r="B396" s="174" t="s">
        <v>969</v>
      </c>
      <c r="D396" s="162" t="s">
        <v>969</v>
      </c>
      <c r="E396" s="199" t="s">
        <v>1277</v>
      </c>
      <c r="F396" s="199" t="s">
        <v>1277</v>
      </c>
    </row>
    <row r="397" spans="2:6">
      <c r="B397" s="174" t="s">
        <v>971</v>
      </c>
      <c r="D397" s="156" t="s">
        <v>4196</v>
      </c>
      <c r="E397" s="156" t="s">
        <v>1841</v>
      </c>
      <c r="F397" s="156" t="s">
        <v>1841</v>
      </c>
    </row>
    <row r="398" spans="2:6">
      <c r="B398" s="174" t="s">
        <v>1454</v>
      </c>
      <c r="D398" s="162" t="s">
        <v>4197</v>
      </c>
      <c r="E398" s="162" t="s">
        <v>968</v>
      </c>
      <c r="F398" s="162" t="s">
        <v>968</v>
      </c>
    </row>
    <row r="399" spans="2:6">
      <c r="B399" s="174" t="s">
        <v>2037</v>
      </c>
      <c r="D399" s="159" t="s">
        <v>4198</v>
      </c>
      <c r="E399" s="201">
        <v>3106616419</v>
      </c>
      <c r="F399" s="201">
        <v>3106616419</v>
      </c>
    </row>
    <row r="400" spans="2:6">
      <c r="B400" s="174" t="s">
        <v>973</v>
      </c>
      <c r="D400" s="165" t="s">
        <v>973</v>
      </c>
      <c r="E400" s="162" t="s">
        <v>1453</v>
      </c>
      <c r="F400" s="162" t="s">
        <v>1453</v>
      </c>
    </row>
    <row r="401" spans="2:6">
      <c r="B401" s="174" t="s">
        <v>1075</v>
      </c>
      <c r="D401" s="159" t="s">
        <v>1075</v>
      </c>
      <c r="E401" s="198" t="s">
        <v>2036</v>
      </c>
      <c r="F401" s="198" t="s">
        <v>2036</v>
      </c>
    </row>
    <row r="402" spans="2:6">
      <c r="B402" s="222" t="s">
        <v>975</v>
      </c>
      <c r="D402" s="162" t="s">
        <v>975</v>
      </c>
      <c r="E402" s="165" t="s">
        <v>972</v>
      </c>
      <c r="F402" s="165" t="s">
        <v>972</v>
      </c>
    </row>
    <row r="403" spans="2:6">
      <c r="B403" s="174" t="s">
        <v>1158</v>
      </c>
      <c r="D403" s="159" t="s">
        <v>1158</v>
      </c>
      <c r="E403" s="198" t="s">
        <v>1074</v>
      </c>
      <c r="F403" s="198" t="s">
        <v>1074</v>
      </c>
    </row>
    <row r="404" spans="2:6">
      <c r="B404" s="174" t="s">
        <v>1456</v>
      </c>
      <c r="D404" s="165" t="s">
        <v>4199</v>
      </c>
      <c r="E404" s="208" t="s">
        <v>974</v>
      </c>
      <c r="F404" s="208" t="s">
        <v>974</v>
      </c>
    </row>
    <row r="405" spans="2:6">
      <c r="B405" s="174" t="s">
        <v>1742</v>
      </c>
      <c r="D405" s="159" t="s">
        <v>1742</v>
      </c>
      <c r="E405" s="159" t="s">
        <v>1157</v>
      </c>
      <c r="F405" s="159" t="s">
        <v>1157</v>
      </c>
    </row>
    <row r="406" spans="2:6">
      <c r="B406" s="174" t="s">
        <v>1844</v>
      </c>
      <c r="D406" s="165" t="s">
        <v>1844</v>
      </c>
      <c r="E406" s="165" t="s">
        <v>1455</v>
      </c>
      <c r="F406" s="165" t="s">
        <v>1455</v>
      </c>
    </row>
    <row r="407" spans="2:6">
      <c r="B407" s="174" t="s">
        <v>977</v>
      </c>
      <c r="D407" s="156" t="s">
        <v>977</v>
      </c>
      <c r="E407" s="159" t="s">
        <v>1741</v>
      </c>
      <c r="F407" s="159" t="s">
        <v>1741</v>
      </c>
    </row>
    <row r="408" spans="2:6">
      <c r="B408" s="174" t="s">
        <v>1551</v>
      </c>
      <c r="D408" s="165" t="s">
        <v>1551</v>
      </c>
      <c r="E408" s="199">
        <v>3098727235</v>
      </c>
      <c r="F408" s="199">
        <v>3098727235</v>
      </c>
    </row>
    <row r="409" spans="2:6">
      <c r="B409" s="174" t="s">
        <v>1744</v>
      </c>
      <c r="D409" s="159" t="s">
        <v>1744</v>
      </c>
      <c r="E409" s="201" t="s">
        <v>976</v>
      </c>
      <c r="F409" s="201" t="s">
        <v>976</v>
      </c>
    </row>
    <row r="410" spans="2:6">
      <c r="B410" s="174" t="s">
        <v>1746</v>
      </c>
      <c r="D410" s="165" t="s">
        <v>1746</v>
      </c>
      <c r="E410" s="165" t="s">
        <v>1550</v>
      </c>
      <c r="F410" s="165" t="s">
        <v>1550</v>
      </c>
    </row>
    <row r="411" spans="2:6">
      <c r="B411" s="174" t="s">
        <v>1077</v>
      </c>
      <c r="D411" s="159" t="s">
        <v>4200</v>
      </c>
      <c r="E411" s="159" t="s">
        <v>1743</v>
      </c>
      <c r="F411" s="159" t="s">
        <v>1743</v>
      </c>
    </row>
    <row r="412" spans="2:6">
      <c r="B412" s="174" t="s">
        <v>1942</v>
      </c>
      <c r="D412" s="165" t="s">
        <v>4201</v>
      </c>
      <c r="E412" s="199" t="s">
        <v>1745</v>
      </c>
      <c r="F412" s="199" t="s">
        <v>1745</v>
      </c>
    </row>
    <row r="413" spans="2:6">
      <c r="B413" s="174" t="s">
        <v>1553</v>
      </c>
      <c r="D413" s="159" t="s">
        <v>4202</v>
      </c>
      <c r="E413" s="159" t="s">
        <v>1076</v>
      </c>
      <c r="F413" s="159" t="s">
        <v>1076</v>
      </c>
    </row>
    <row r="414" spans="2:6">
      <c r="B414" s="174" t="s">
        <v>1944</v>
      </c>
      <c r="D414" s="162" t="s">
        <v>1944</v>
      </c>
      <c r="E414" s="165" t="s">
        <v>1941</v>
      </c>
      <c r="F414" s="165" t="s">
        <v>1941</v>
      </c>
    </row>
    <row r="415" spans="2:6">
      <c r="B415" s="174" t="s">
        <v>1846</v>
      </c>
      <c r="D415" s="156" t="s">
        <v>1846</v>
      </c>
      <c r="E415" s="198" t="s">
        <v>1552</v>
      </c>
      <c r="F415" s="198" t="s">
        <v>1552</v>
      </c>
    </row>
    <row r="416" spans="2:6">
      <c r="B416" s="174" t="s">
        <v>1350</v>
      </c>
      <c r="D416" s="162" t="s">
        <v>1350</v>
      </c>
      <c r="E416" s="162" t="s">
        <v>1943</v>
      </c>
      <c r="F416" s="162" t="s">
        <v>1943</v>
      </c>
    </row>
    <row r="417" spans="2:9">
      <c r="B417" s="174" t="s">
        <v>1458</v>
      </c>
      <c r="D417" s="159" t="s">
        <v>1458</v>
      </c>
      <c r="E417" s="156" t="s">
        <v>1845</v>
      </c>
      <c r="F417" s="156" t="s">
        <v>1845</v>
      </c>
    </row>
    <row r="418" spans="2:9">
      <c r="B418" s="222" t="s">
        <v>2039</v>
      </c>
      <c r="D418" s="165" t="s">
        <v>2039</v>
      </c>
      <c r="E418" s="162">
        <v>3105531281</v>
      </c>
      <c r="F418" s="162">
        <v>3105531281</v>
      </c>
    </row>
    <row r="419" spans="2:9">
      <c r="B419" s="174" t="s">
        <v>1555</v>
      </c>
      <c r="D419" s="156" t="s">
        <v>1555</v>
      </c>
      <c r="E419" s="198" t="s">
        <v>1457</v>
      </c>
      <c r="F419" s="198" t="s">
        <v>1457</v>
      </c>
    </row>
    <row r="420" spans="2:9">
      <c r="B420" s="174" t="s">
        <v>2041</v>
      </c>
      <c r="D420" s="162" t="s">
        <v>4203</v>
      </c>
      <c r="E420" s="165" t="s">
        <v>2038</v>
      </c>
      <c r="F420" s="165" t="s">
        <v>2038</v>
      </c>
      <c r="I420" s="165" t="s">
        <v>4204</v>
      </c>
    </row>
    <row r="421" spans="2:9">
      <c r="B421" s="174" t="s">
        <v>1460</v>
      </c>
      <c r="D421" s="159" t="s">
        <v>1460</v>
      </c>
      <c r="E421" s="201" t="s">
        <v>1554</v>
      </c>
      <c r="F421" s="201" t="s">
        <v>1554</v>
      </c>
    </row>
    <row r="422" spans="2:9">
      <c r="B422" s="174" t="s">
        <v>1280</v>
      </c>
      <c r="D422" s="165" t="s">
        <v>1280</v>
      </c>
      <c r="E422" s="208" t="s">
        <v>2040</v>
      </c>
      <c r="F422" s="208" t="s">
        <v>2040</v>
      </c>
    </row>
    <row r="423" spans="2:9">
      <c r="B423" s="174" t="s">
        <v>1557</v>
      </c>
      <c r="D423" s="159" t="s">
        <v>1557</v>
      </c>
      <c r="E423" s="198" t="s">
        <v>1459</v>
      </c>
      <c r="F423" s="198" t="s">
        <v>1459</v>
      </c>
    </row>
    <row r="424" spans="2:9">
      <c r="B424" s="222" t="s">
        <v>1079</v>
      </c>
      <c r="D424" s="162" t="s">
        <v>4205</v>
      </c>
      <c r="E424" s="199" t="s">
        <v>1279</v>
      </c>
      <c r="F424" s="199" t="s">
        <v>1279</v>
      </c>
    </row>
    <row r="425" spans="2:9">
      <c r="B425" s="174" t="s">
        <v>1848</v>
      </c>
      <c r="D425" s="159" t="s">
        <v>1848</v>
      </c>
      <c r="E425" s="159" t="s">
        <v>4206</v>
      </c>
      <c r="F425" s="159" t="s">
        <v>4206</v>
      </c>
    </row>
    <row r="426" spans="2:9">
      <c r="B426" s="174" t="s">
        <v>980</v>
      </c>
      <c r="D426" s="165" t="s">
        <v>980</v>
      </c>
      <c r="E426" s="162" t="s">
        <v>1078</v>
      </c>
      <c r="F426" s="162" t="s">
        <v>1078</v>
      </c>
    </row>
    <row r="427" spans="2:9">
      <c r="B427" s="174" t="s">
        <v>1352</v>
      </c>
      <c r="D427" s="156" t="s">
        <v>1352</v>
      </c>
      <c r="E427" s="198" t="s">
        <v>1847</v>
      </c>
      <c r="F427" s="198" t="s">
        <v>1847</v>
      </c>
    </row>
    <row r="428" spans="2:9">
      <c r="B428" s="174" t="s">
        <v>1748</v>
      </c>
      <c r="D428" s="165" t="s">
        <v>4207</v>
      </c>
      <c r="E428" s="199" t="s">
        <v>979</v>
      </c>
      <c r="F428" s="199" t="s">
        <v>979</v>
      </c>
    </row>
    <row r="429" spans="2:9">
      <c r="B429" s="174" t="s">
        <v>1850</v>
      </c>
      <c r="D429" s="156" t="s">
        <v>1850</v>
      </c>
      <c r="E429" s="156" t="s">
        <v>1351</v>
      </c>
      <c r="F429" s="156" t="s">
        <v>1351</v>
      </c>
    </row>
    <row r="430" spans="2:9">
      <c r="B430" s="174" t="s">
        <v>1750</v>
      </c>
      <c r="D430" s="165" t="s">
        <v>1750</v>
      </c>
      <c r="E430" s="165" t="s">
        <v>1747</v>
      </c>
      <c r="F430" s="165" t="s">
        <v>1747</v>
      </c>
    </row>
    <row r="431" spans="2:9">
      <c r="B431" s="174" t="s">
        <v>1645</v>
      </c>
      <c r="D431" s="156" t="s">
        <v>1645</v>
      </c>
      <c r="E431" s="201" t="s">
        <v>1849</v>
      </c>
      <c r="F431" s="201" t="s">
        <v>1849</v>
      </c>
    </row>
    <row r="432" spans="2:9">
      <c r="B432" s="174" t="s">
        <v>1852</v>
      </c>
      <c r="D432" s="162" t="s">
        <v>1852</v>
      </c>
      <c r="E432" s="165" t="s">
        <v>1749</v>
      </c>
      <c r="F432" s="165" t="s">
        <v>1749</v>
      </c>
    </row>
    <row r="433" spans="2:11">
      <c r="B433" s="174" t="s">
        <v>1081</v>
      </c>
      <c r="D433" s="156" t="s">
        <v>4208</v>
      </c>
      <c r="E433" s="201" t="s">
        <v>1644</v>
      </c>
      <c r="F433" s="201" t="s">
        <v>1644</v>
      </c>
    </row>
    <row r="434" spans="2:11">
      <c r="B434" s="222" t="s">
        <v>1559</v>
      </c>
      <c r="D434" s="165" t="s">
        <v>1559</v>
      </c>
      <c r="E434" s="208" t="s">
        <v>1851</v>
      </c>
      <c r="F434" s="208" t="s">
        <v>1851</v>
      </c>
    </row>
    <row r="435" spans="2:11">
      <c r="B435" s="174" t="s">
        <v>1160</v>
      </c>
      <c r="D435" s="159" t="s">
        <v>1160</v>
      </c>
      <c r="E435" s="201" t="s">
        <v>1080</v>
      </c>
      <c r="F435" s="201" t="s">
        <v>1080</v>
      </c>
    </row>
    <row r="436" spans="2:11">
      <c r="B436" s="174" t="s">
        <v>1647</v>
      </c>
      <c r="D436" s="165" t="s">
        <v>1647</v>
      </c>
      <c r="E436" s="199" t="s">
        <v>1558</v>
      </c>
      <c r="F436" s="199" t="s">
        <v>1558</v>
      </c>
    </row>
    <row r="437" spans="2:11">
      <c r="B437" s="174" t="s">
        <v>1162</v>
      </c>
      <c r="D437" s="156" t="s">
        <v>1162</v>
      </c>
      <c r="E437" s="159" t="s">
        <v>4209</v>
      </c>
      <c r="F437" s="159" t="s">
        <v>1159</v>
      </c>
    </row>
    <row r="438" spans="2:11">
      <c r="B438" s="174" t="s">
        <v>1164</v>
      </c>
      <c r="D438" s="165" t="s">
        <v>4210</v>
      </c>
      <c r="E438" s="165" t="s">
        <v>1646</v>
      </c>
      <c r="F438" s="165" t="s">
        <v>1646</v>
      </c>
    </row>
    <row r="439" spans="2:11">
      <c r="B439" s="174" t="s">
        <v>1166</v>
      </c>
      <c r="D439" s="156" t="s">
        <v>1166</v>
      </c>
      <c r="E439" s="201" t="s">
        <v>1161</v>
      </c>
      <c r="F439" s="201" t="s">
        <v>1161</v>
      </c>
    </row>
    <row r="440" spans="2:11">
      <c r="B440" s="174" t="s">
        <v>2043</v>
      </c>
      <c r="D440" s="165" t="s">
        <v>4211</v>
      </c>
      <c r="E440" s="199" t="s">
        <v>1163</v>
      </c>
      <c r="F440" s="199" t="s">
        <v>1163</v>
      </c>
    </row>
    <row r="441" spans="2:11">
      <c r="B441" s="174" t="s">
        <v>2045</v>
      </c>
      <c r="D441" s="156" t="s">
        <v>4212</v>
      </c>
      <c r="E441" s="156" t="s">
        <v>1165</v>
      </c>
      <c r="F441" s="156" t="s">
        <v>1165</v>
      </c>
    </row>
    <row r="442" spans="2:11">
      <c r="B442" s="174" t="s">
        <v>2047</v>
      </c>
      <c r="D442" s="162" t="s">
        <v>4213</v>
      </c>
      <c r="E442" s="199" t="s">
        <v>2042</v>
      </c>
      <c r="F442" s="199" t="s">
        <v>2042</v>
      </c>
    </row>
    <row r="443" spans="2:11">
      <c r="B443" s="222" t="s">
        <v>1649</v>
      </c>
      <c r="D443" s="156" t="s">
        <v>1649</v>
      </c>
      <c r="E443" s="156">
        <v>3093067279</v>
      </c>
      <c r="F443" s="156">
        <v>3093067279</v>
      </c>
    </row>
    <row r="444" spans="2:11">
      <c r="B444" s="203" t="s">
        <v>1354</v>
      </c>
      <c r="C444" s="204"/>
      <c r="D444" s="206" t="s">
        <v>1354</v>
      </c>
      <c r="E444" s="206" t="s">
        <v>2046</v>
      </c>
      <c r="F444" s="206" t="s">
        <v>2046</v>
      </c>
      <c r="G444" s="204"/>
      <c r="H444" s="204"/>
      <c r="I444" s="205" t="s">
        <v>1354</v>
      </c>
      <c r="J444" s="205" t="s">
        <v>1648</v>
      </c>
      <c r="K444" s="205" t="s">
        <v>1648</v>
      </c>
    </row>
    <row r="445" spans="2:11">
      <c r="B445" s="222" t="s">
        <v>1168</v>
      </c>
      <c r="D445" s="165" t="s">
        <v>4214</v>
      </c>
      <c r="E445" s="199" t="s">
        <v>1353</v>
      </c>
      <c r="F445" s="199" t="s">
        <v>1353</v>
      </c>
    </row>
    <row r="446" spans="2:11">
      <c r="B446" s="174" t="s">
        <v>1651</v>
      </c>
      <c r="D446" s="156" t="s">
        <v>1651</v>
      </c>
      <c r="E446" s="198" t="s">
        <v>1353</v>
      </c>
      <c r="F446" s="198" t="s">
        <v>1353</v>
      </c>
    </row>
    <row r="447" spans="2:11">
      <c r="B447" s="174" t="s">
        <v>1946</v>
      </c>
      <c r="D447" s="162" t="s">
        <v>4215</v>
      </c>
      <c r="E447" s="165" t="s">
        <v>1167</v>
      </c>
      <c r="F447" s="165" t="s">
        <v>1167</v>
      </c>
    </row>
    <row r="448" spans="2:11">
      <c r="B448" s="174" t="s">
        <v>1170</v>
      </c>
      <c r="D448" s="159" t="s">
        <v>4216</v>
      </c>
      <c r="E448" s="156" t="s">
        <v>1650</v>
      </c>
      <c r="F448" s="156" t="s">
        <v>1650</v>
      </c>
    </row>
    <row r="449" spans="2:11">
      <c r="B449" s="222" t="s">
        <v>1948</v>
      </c>
      <c r="D449" s="165" t="s">
        <v>4217</v>
      </c>
      <c r="E449" s="162" t="s">
        <v>1945</v>
      </c>
      <c r="F449" s="162" t="s">
        <v>1945</v>
      </c>
    </row>
    <row r="450" spans="2:11">
      <c r="B450" s="174" t="s">
        <v>1854</v>
      </c>
      <c r="D450" s="156" t="s">
        <v>1854</v>
      </c>
      <c r="E450" s="159" t="s">
        <v>1169</v>
      </c>
      <c r="F450" s="159" t="s">
        <v>1169</v>
      </c>
    </row>
    <row r="451" spans="2:11">
      <c r="B451" s="174" t="s">
        <v>982</v>
      </c>
      <c r="D451" s="162" t="s">
        <v>4218</v>
      </c>
      <c r="E451" s="165" t="s">
        <v>1947</v>
      </c>
      <c r="F451" s="165" t="s">
        <v>1947</v>
      </c>
    </row>
    <row r="452" spans="2:11">
      <c r="B452" s="174" t="s">
        <v>1172</v>
      </c>
      <c r="D452" s="156" t="s">
        <v>1172</v>
      </c>
      <c r="E452" s="156" t="s">
        <v>1853</v>
      </c>
      <c r="F452" s="156" t="s">
        <v>1853</v>
      </c>
    </row>
    <row r="453" spans="2:11">
      <c r="B453" s="174" t="s">
        <v>1653</v>
      </c>
      <c r="D453" s="165" t="s">
        <v>1653</v>
      </c>
      <c r="E453" s="162" t="s">
        <v>981</v>
      </c>
      <c r="F453" s="162" t="s">
        <v>981</v>
      </c>
    </row>
    <row r="454" spans="2:11">
      <c r="B454" s="174" t="s">
        <v>1174</v>
      </c>
      <c r="D454" s="156" t="s">
        <v>1174</v>
      </c>
      <c r="E454" s="201" t="s">
        <v>1171</v>
      </c>
      <c r="F454" s="201" t="s">
        <v>1171</v>
      </c>
    </row>
    <row r="455" spans="2:11">
      <c r="B455" s="174" t="s">
        <v>1356</v>
      </c>
      <c r="D455" s="165" t="s">
        <v>1356</v>
      </c>
      <c r="E455" s="165" t="s">
        <v>1652</v>
      </c>
      <c r="F455" s="165" t="s">
        <v>1652</v>
      </c>
    </row>
    <row r="456" spans="2:11">
      <c r="B456" s="174" t="s">
        <v>1176</v>
      </c>
      <c r="D456" s="159" t="s">
        <v>1176</v>
      </c>
      <c r="E456" s="156" t="s">
        <v>1173</v>
      </c>
      <c r="F456" s="156" t="s">
        <v>1173</v>
      </c>
    </row>
    <row r="457" spans="2:11">
      <c r="B457" s="174" t="s">
        <v>1358</v>
      </c>
      <c r="D457" s="165" t="s">
        <v>4219</v>
      </c>
      <c r="E457" s="165" t="s">
        <v>1355</v>
      </c>
      <c r="F457" s="165" t="s">
        <v>1355</v>
      </c>
    </row>
    <row r="458" spans="2:11">
      <c r="B458" s="174" t="s">
        <v>1462</v>
      </c>
      <c r="D458" s="159" t="s">
        <v>1462</v>
      </c>
      <c r="E458" s="198" t="s">
        <v>1175</v>
      </c>
      <c r="F458" s="198" t="s">
        <v>1175</v>
      </c>
    </row>
    <row r="459" spans="2:11">
      <c r="B459" s="174" t="s">
        <v>1178</v>
      </c>
      <c r="D459" s="162" t="s">
        <v>4220</v>
      </c>
      <c r="E459" s="165" t="s">
        <v>1357</v>
      </c>
      <c r="F459" s="165" t="s">
        <v>1357</v>
      </c>
    </row>
    <row r="460" spans="2:11">
      <c r="B460" s="174" t="s">
        <v>1083</v>
      </c>
      <c r="D460" s="156" t="s">
        <v>1083</v>
      </c>
      <c r="E460" s="159" t="s">
        <v>1461</v>
      </c>
      <c r="F460" s="159" t="s">
        <v>1461</v>
      </c>
    </row>
    <row r="461" spans="2:11">
      <c r="B461" s="203" t="s">
        <v>1085</v>
      </c>
      <c r="C461" s="204"/>
      <c r="D461" s="206" t="s">
        <v>1085</v>
      </c>
      <c r="E461" s="206" t="s">
        <v>1177</v>
      </c>
      <c r="F461" s="206" t="s">
        <v>1177</v>
      </c>
      <c r="G461" s="204"/>
      <c r="H461" s="204"/>
      <c r="I461" s="205" t="s">
        <v>4221</v>
      </c>
      <c r="J461" s="205" t="s">
        <v>1082</v>
      </c>
      <c r="K461" s="205" t="s">
        <v>1082</v>
      </c>
    </row>
    <row r="462" spans="2:11">
      <c r="B462" s="174" t="s">
        <v>1360</v>
      </c>
      <c r="D462" s="162" t="s">
        <v>1360</v>
      </c>
      <c r="E462" s="199" t="s">
        <v>1084</v>
      </c>
      <c r="F462" s="199" t="s">
        <v>1084</v>
      </c>
    </row>
    <row r="463" spans="2:11">
      <c r="B463" s="174" t="s">
        <v>2049</v>
      </c>
      <c r="D463" s="159" t="s">
        <v>2049</v>
      </c>
      <c r="E463" s="198" t="s">
        <v>1084</v>
      </c>
      <c r="F463" s="198" t="s">
        <v>1084</v>
      </c>
    </row>
    <row r="464" spans="2:11">
      <c r="B464" s="174" t="s">
        <v>2051</v>
      </c>
      <c r="D464" s="162" t="s">
        <v>4222</v>
      </c>
      <c r="E464" s="208" t="s">
        <v>1359</v>
      </c>
      <c r="F464" s="208" t="s">
        <v>1359</v>
      </c>
    </row>
    <row r="465" spans="2:6">
      <c r="B465" s="174" t="s">
        <v>1561</v>
      </c>
      <c r="D465" s="156" t="s">
        <v>4223</v>
      </c>
      <c r="E465" s="159" t="s">
        <v>2048</v>
      </c>
      <c r="F465" s="159" t="s">
        <v>2048</v>
      </c>
    </row>
    <row r="466" spans="2:6">
      <c r="B466" s="174" t="s">
        <v>1362</v>
      </c>
      <c r="D466" s="165" t="s">
        <v>1362</v>
      </c>
      <c r="E466" s="162" t="s">
        <v>2050</v>
      </c>
      <c r="F466" s="162" t="s">
        <v>4224</v>
      </c>
    </row>
    <row r="467" spans="2:6">
      <c r="B467" s="174" t="s">
        <v>1563</v>
      </c>
      <c r="D467" s="156" t="s">
        <v>1563</v>
      </c>
      <c r="E467" s="156">
        <v>3104958866</v>
      </c>
      <c r="F467" s="156">
        <v>3104958866</v>
      </c>
    </row>
    <row r="468" spans="2:6">
      <c r="B468" s="174" t="s">
        <v>1655</v>
      </c>
      <c r="D468" s="165" t="s">
        <v>1655</v>
      </c>
      <c r="E468" s="165" t="s">
        <v>1361</v>
      </c>
      <c r="F468" s="165" t="s">
        <v>1361</v>
      </c>
    </row>
    <row r="469" spans="2:6">
      <c r="B469" s="222" t="s">
        <v>1282</v>
      </c>
      <c r="D469" s="156" t="s">
        <v>1282</v>
      </c>
      <c r="E469" s="156" t="s">
        <v>1562</v>
      </c>
      <c r="F469" s="156" t="s">
        <v>1562</v>
      </c>
    </row>
    <row r="470" spans="2:6">
      <c r="B470" s="174" t="s">
        <v>1087</v>
      </c>
      <c r="D470" s="165" t="s">
        <v>4225</v>
      </c>
      <c r="E470" s="165" t="s">
        <v>1654</v>
      </c>
      <c r="F470" s="165" t="s">
        <v>1654</v>
      </c>
    </row>
    <row r="471" spans="2:6">
      <c r="B471" s="174" t="s">
        <v>1565</v>
      </c>
      <c r="D471" s="156" t="s">
        <v>1565</v>
      </c>
      <c r="E471" s="156" t="s">
        <v>1281</v>
      </c>
      <c r="F471" s="156" t="s">
        <v>1281</v>
      </c>
    </row>
    <row r="472" spans="2:6">
      <c r="B472" s="174" t="s">
        <v>1180</v>
      </c>
      <c r="D472" s="165" t="s">
        <v>1180</v>
      </c>
      <c r="E472" s="199" t="s">
        <v>1086</v>
      </c>
      <c r="F472" s="199" t="s">
        <v>1086</v>
      </c>
    </row>
    <row r="473" spans="2:6">
      <c r="B473" s="174" t="s">
        <v>1464</v>
      </c>
      <c r="D473" s="156" t="s">
        <v>4226</v>
      </c>
      <c r="E473" s="201" t="s">
        <v>1564</v>
      </c>
      <c r="F473" s="201" t="s">
        <v>1564</v>
      </c>
    </row>
    <row r="474" spans="2:6">
      <c r="B474" s="174" t="s">
        <v>1657</v>
      </c>
      <c r="D474" s="165" t="s">
        <v>1657</v>
      </c>
      <c r="E474" s="165" t="s">
        <v>1179</v>
      </c>
      <c r="F474" s="165" t="s">
        <v>1179</v>
      </c>
    </row>
    <row r="475" spans="2:6">
      <c r="B475" s="174" t="s">
        <v>2053</v>
      </c>
      <c r="D475" s="159" t="s">
        <v>4227</v>
      </c>
      <c r="E475" s="201" t="s">
        <v>1463</v>
      </c>
      <c r="F475" s="201" t="s">
        <v>1463</v>
      </c>
    </row>
    <row r="476" spans="2:6">
      <c r="B476" s="174" t="s">
        <v>2055</v>
      </c>
      <c r="D476" s="162" t="s">
        <v>2055</v>
      </c>
      <c r="E476" s="199" t="s">
        <v>1656</v>
      </c>
      <c r="F476" s="199" t="s">
        <v>1656</v>
      </c>
    </row>
    <row r="477" spans="2:6">
      <c r="B477" s="174" t="s">
        <v>1364</v>
      </c>
      <c r="D477" s="156" t="s">
        <v>1364</v>
      </c>
      <c r="E477" s="198" t="s">
        <v>2052</v>
      </c>
      <c r="F477" s="198" t="s">
        <v>2052</v>
      </c>
    </row>
    <row r="478" spans="2:6">
      <c r="B478" s="174" t="s">
        <v>1752</v>
      </c>
      <c r="D478" s="162" t="s">
        <v>1752</v>
      </c>
      <c r="E478" s="162" t="s">
        <v>2054</v>
      </c>
      <c r="F478" s="162" t="s">
        <v>2054</v>
      </c>
    </row>
    <row r="479" spans="2:6">
      <c r="B479" s="174" t="s">
        <v>1950</v>
      </c>
      <c r="D479" s="156" t="s">
        <v>1950</v>
      </c>
      <c r="E479" s="201" t="s">
        <v>1363</v>
      </c>
      <c r="F479" s="201" t="s">
        <v>1363</v>
      </c>
    </row>
    <row r="480" spans="2:6">
      <c r="B480" s="174" t="s">
        <v>1567</v>
      </c>
      <c r="D480" s="165" t="s">
        <v>4228</v>
      </c>
      <c r="E480" s="162" t="s">
        <v>1751</v>
      </c>
      <c r="F480" s="162" t="s">
        <v>1751</v>
      </c>
    </row>
    <row r="481" spans="2:9">
      <c r="B481" s="174" t="s">
        <v>1569</v>
      </c>
      <c r="D481" s="159" t="s">
        <v>1569</v>
      </c>
      <c r="E481" s="156" t="s">
        <v>1949</v>
      </c>
      <c r="F481" s="156" t="s">
        <v>1949</v>
      </c>
    </row>
    <row r="482" spans="2:9">
      <c r="B482" s="174" t="s">
        <v>1856</v>
      </c>
      <c r="D482" s="165" t="s">
        <v>1856</v>
      </c>
      <c r="E482" s="165" t="s">
        <v>1566</v>
      </c>
      <c r="F482" s="165" t="s">
        <v>1566</v>
      </c>
    </row>
    <row r="483" spans="2:9">
      <c r="B483" s="174" t="s">
        <v>1466</v>
      </c>
      <c r="D483" s="156" t="s">
        <v>1466</v>
      </c>
      <c r="E483" s="159" t="s">
        <v>1568</v>
      </c>
      <c r="F483" s="159" t="s">
        <v>1568</v>
      </c>
      <c r="I483" s="159" t="s">
        <v>1760</v>
      </c>
    </row>
    <row r="484" spans="2:9">
      <c r="B484" s="174" t="s">
        <v>4229</v>
      </c>
      <c r="D484" s="165" t="s">
        <v>4230</v>
      </c>
      <c r="E484" s="165" t="s">
        <v>1855</v>
      </c>
      <c r="F484" s="165" t="s">
        <v>1855</v>
      </c>
    </row>
    <row r="485" spans="2:9">
      <c r="B485" s="174" t="s">
        <v>1754</v>
      </c>
      <c r="D485" s="159" t="s">
        <v>1754</v>
      </c>
      <c r="E485" s="201" t="s">
        <v>1465</v>
      </c>
      <c r="F485" s="201" t="s">
        <v>1465</v>
      </c>
    </row>
    <row r="486" spans="2:9">
      <c r="B486" s="174" t="s">
        <v>1284</v>
      </c>
      <c r="D486" s="165" t="s">
        <v>1284</v>
      </c>
      <c r="E486" s="165" t="s">
        <v>4231</v>
      </c>
      <c r="F486" s="165" t="s">
        <v>4231</v>
      </c>
    </row>
    <row r="487" spans="2:9">
      <c r="B487" s="174" t="s">
        <v>1659</v>
      </c>
      <c r="D487" s="159" t="s">
        <v>4232</v>
      </c>
      <c r="E487" s="159" t="s">
        <v>1753</v>
      </c>
      <c r="F487" s="159" t="s">
        <v>1753</v>
      </c>
    </row>
    <row r="488" spans="2:9">
      <c r="B488" s="174" t="s">
        <v>1571</v>
      </c>
      <c r="D488" s="165" t="s">
        <v>4233</v>
      </c>
      <c r="E488" s="199" t="s">
        <v>1283</v>
      </c>
      <c r="F488" s="199" t="s">
        <v>1283</v>
      </c>
    </row>
    <row r="489" spans="2:9">
      <c r="B489" s="174" t="s">
        <v>1182</v>
      </c>
      <c r="D489" s="159" t="s">
        <v>1182</v>
      </c>
      <c r="E489" s="159" t="s">
        <v>1658</v>
      </c>
      <c r="F489" s="159" t="s">
        <v>1658</v>
      </c>
    </row>
    <row r="490" spans="2:9">
      <c r="B490" s="174" t="s">
        <v>984</v>
      </c>
      <c r="D490" s="162" t="s">
        <v>984</v>
      </c>
      <c r="E490" s="165" t="s">
        <v>1570</v>
      </c>
      <c r="F490" s="165" t="s">
        <v>1570</v>
      </c>
    </row>
    <row r="491" spans="2:9">
      <c r="B491" s="174" t="s">
        <v>1858</v>
      </c>
      <c r="D491" s="156" t="s">
        <v>4234</v>
      </c>
      <c r="E491" s="159" t="s">
        <v>1181</v>
      </c>
      <c r="F491" s="159" t="s">
        <v>1181</v>
      </c>
    </row>
    <row r="492" spans="2:9">
      <c r="B492" s="174" t="s">
        <v>1756</v>
      </c>
      <c r="D492" s="162" t="s">
        <v>1756</v>
      </c>
      <c r="E492" s="162" t="s">
        <v>983</v>
      </c>
      <c r="F492" s="162" t="s">
        <v>983</v>
      </c>
    </row>
    <row r="493" spans="2:9">
      <c r="B493" s="174" t="s">
        <v>1184</v>
      </c>
      <c r="D493" s="159" t="s">
        <v>4235</v>
      </c>
      <c r="E493" s="156" t="s">
        <v>1857</v>
      </c>
      <c r="F493" s="156" t="s">
        <v>1857</v>
      </c>
    </row>
    <row r="494" spans="2:9">
      <c r="B494" s="174" t="s">
        <v>1089</v>
      </c>
      <c r="D494" s="162" t="s">
        <v>1089</v>
      </c>
      <c r="E494" s="162" t="s">
        <v>1755</v>
      </c>
      <c r="F494" s="162" t="s">
        <v>1755</v>
      </c>
    </row>
    <row r="495" spans="2:9">
      <c r="B495" s="174" t="s">
        <v>1186</v>
      </c>
      <c r="D495" s="159" t="s">
        <v>4236</v>
      </c>
      <c r="E495" s="159" t="s">
        <v>1183</v>
      </c>
      <c r="F495" s="159" t="s">
        <v>1183</v>
      </c>
    </row>
    <row r="496" spans="2:9">
      <c r="B496" s="174" t="s">
        <v>986</v>
      </c>
      <c r="D496" s="165" t="s">
        <v>4237</v>
      </c>
      <c r="E496" s="162" t="s">
        <v>1088</v>
      </c>
      <c r="F496" s="162" t="s">
        <v>1088</v>
      </c>
    </row>
    <row r="497" spans="2:6">
      <c r="B497" s="174" t="s">
        <v>4238</v>
      </c>
      <c r="D497" s="156" t="s">
        <v>4239</v>
      </c>
      <c r="E497" s="159" t="s">
        <v>1185</v>
      </c>
      <c r="F497" s="159" t="s">
        <v>1185</v>
      </c>
    </row>
    <row r="498" spans="2:6">
      <c r="B498" s="174" t="s">
        <v>1366</v>
      </c>
      <c r="D498" s="162" t="s">
        <v>1366</v>
      </c>
      <c r="E498" s="165">
        <v>3103406646</v>
      </c>
      <c r="F498" s="165">
        <v>3103406646</v>
      </c>
    </row>
    <row r="499" spans="2:6">
      <c r="B499" s="174" t="s">
        <v>988</v>
      </c>
      <c r="D499" s="156" t="s">
        <v>4240</v>
      </c>
      <c r="E499" s="156" t="s">
        <v>4241</v>
      </c>
      <c r="F499" s="156" t="s">
        <v>4241</v>
      </c>
    </row>
    <row r="500" spans="2:6">
      <c r="B500" s="174" t="s">
        <v>1091</v>
      </c>
      <c r="D500" s="162" t="s">
        <v>1091</v>
      </c>
      <c r="E500" s="208" t="s">
        <v>1365</v>
      </c>
      <c r="F500" s="208" t="s">
        <v>1365</v>
      </c>
    </row>
    <row r="501" spans="2:6">
      <c r="B501" s="174" t="s">
        <v>1663</v>
      </c>
      <c r="D501" s="156" t="s">
        <v>1663</v>
      </c>
      <c r="E501" s="156" t="s">
        <v>987</v>
      </c>
      <c r="F501" s="156" t="s">
        <v>987</v>
      </c>
    </row>
    <row r="502" spans="2:6">
      <c r="B502" s="174" t="s">
        <v>2057</v>
      </c>
      <c r="D502" s="162" t="s">
        <v>2057</v>
      </c>
      <c r="E502" s="162" t="s">
        <v>1090</v>
      </c>
      <c r="F502" s="162" t="s">
        <v>1090</v>
      </c>
    </row>
    <row r="503" spans="2:6">
      <c r="B503" s="174" t="s">
        <v>1758</v>
      </c>
      <c r="D503" s="159" t="s">
        <v>4242</v>
      </c>
      <c r="E503" s="201" t="s">
        <v>1662</v>
      </c>
      <c r="F503" s="201" t="s">
        <v>1662</v>
      </c>
    </row>
    <row r="504" spans="2:6">
      <c r="B504" s="174" t="s">
        <v>1952</v>
      </c>
      <c r="D504" s="162" t="s">
        <v>1952</v>
      </c>
      <c r="E504" s="162" t="s">
        <v>2056</v>
      </c>
      <c r="F504" s="162" t="s">
        <v>2056</v>
      </c>
    </row>
    <row r="505" spans="2:6">
      <c r="B505" s="174" t="s">
        <v>4243</v>
      </c>
      <c r="D505" s="156" t="s">
        <v>990</v>
      </c>
      <c r="E505" s="198" t="s">
        <v>1757</v>
      </c>
      <c r="F505" s="198" t="s">
        <v>1757</v>
      </c>
    </row>
    <row r="506" spans="2:6">
      <c r="B506" s="222" t="s">
        <v>1665</v>
      </c>
      <c r="D506" s="162" t="s">
        <v>4244</v>
      </c>
      <c r="E506" s="162" t="s">
        <v>1951</v>
      </c>
      <c r="F506" s="162" t="s">
        <v>1951</v>
      </c>
    </row>
    <row r="507" spans="2:6">
      <c r="B507" s="174" t="s">
        <v>4245</v>
      </c>
      <c r="D507" s="156" t="s">
        <v>4246</v>
      </c>
      <c r="E507" s="156" t="s">
        <v>989</v>
      </c>
      <c r="F507" s="156" t="s">
        <v>989</v>
      </c>
    </row>
    <row r="508" spans="2:6">
      <c r="B508" s="210" t="s">
        <v>1188</v>
      </c>
      <c r="D508" s="211"/>
      <c r="E508" s="211"/>
      <c r="F508" s="211"/>
    </row>
    <row r="509" spans="2:6">
      <c r="B509" s="174" t="s">
        <v>1760</v>
      </c>
      <c r="D509" s="162" t="s">
        <v>4247</v>
      </c>
      <c r="E509" s="208">
        <v>3099406088</v>
      </c>
      <c r="F509" s="208">
        <v>3099406088</v>
      </c>
    </row>
    <row r="510" spans="2:6">
      <c r="B510" s="174" t="s">
        <v>1954</v>
      </c>
      <c r="D510" s="156" t="s">
        <v>1954</v>
      </c>
      <c r="E510" s="156" t="s">
        <v>4248</v>
      </c>
      <c r="F510" s="156" t="s">
        <v>4248</v>
      </c>
    </row>
    <row r="511" spans="2:6">
      <c r="B511" s="174" t="s">
        <v>1190</v>
      </c>
      <c r="D511" s="165" t="s">
        <v>1190</v>
      </c>
      <c r="E511" s="162" t="s">
        <v>1187</v>
      </c>
      <c r="F511" s="162" t="s">
        <v>1187</v>
      </c>
    </row>
    <row r="512" spans="2:6">
      <c r="B512" s="174" t="s">
        <v>1093</v>
      </c>
      <c r="D512" s="159" t="s">
        <v>1093</v>
      </c>
      <c r="E512" s="156" t="s">
        <v>1953</v>
      </c>
      <c r="F512" s="156" t="s">
        <v>1953</v>
      </c>
    </row>
    <row r="513" spans="2:6">
      <c r="B513" s="210" t="s">
        <v>1368</v>
      </c>
    </row>
    <row r="514" spans="2:6">
      <c r="B514" s="222" t="s">
        <v>1468</v>
      </c>
      <c r="D514" s="165" t="s">
        <v>1468</v>
      </c>
      <c r="E514" s="165" t="s">
        <v>1189</v>
      </c>
      <c r="F514" s="165" t="s">
        <v>1189</v>
      </c>
    </row>
    <row r="515" spans="2:6">
      <c r="B515" s="174" t="s">
        <v>1956</v>
      </c>
      <c r="D515" s="156" t="s">
        <v>1956</v>
      </c>
      <c r="E515" s="159" t="s">
        <v>1092</v>
      </c>
      <c r="F515" s="159" t="s">
        <v>1092</v>
      </c>
    </row>
    <row r="516" spans="2:6">
      <c r="B516" s="222" t="s">
        <v>1470</v>
      </c>
      <c r="D516" s="165" t="s">
        <v>4249</v>
      </c>
      <c r="E516" s="165" t="s">
        <v>1467</v>
      </c>
      <c r="F516" s="165" t="s">
        <v>1467</v>
      </c>
    </row>
    <row r="517" spans="2:6">
      <c r="B517" s="174" t="s">
        <v>1472</v>
      </c>
      <c r="D517" s="159" t="s">
        <v>1472</v>
      </c>
      <c r="E517" s="201" t="s">
        <v>1955</v>
      </c>
      <c r="F517" s="201" t="s">
        <v>1955</v>
      </c>
    </row>
    <row r="518" spans="2:6">
      <c r="B518" s="174" t="s">
        <v>2059</v>
      </c>
      <c r="D518" s="165" t="s">
        <v>2059</v>
      </c>
      <c r="E518" s="165" t="s">
        <v>1469</v>
      </c>
      <c r="F518" s="165" t="s">
        <v>1469</v>
      </c>
    </row>
    <row r="519" spans="2:6">
      <c r="B519" s="174" t="s">
        <v>1286</v>
      </c>
      <c r="D519" s="159" t="s">
        <v>4250</v>
      </c>
      <c r="E519" s="159" t="s">
        <v>1471</v>
      </c>
      <c r="F519" s="159" t="s">
        <v>1471</v>
      </c>
    </row>
    <row r="520" spans="2:6">
      <c r="B520" s="174" t="s">
        <v>992</v>
      </c>
      <c r="D520" s="162" t="s">
        <v>992</v>
      </c>
      <c r="E520" s="165" t="s">
        <v>2058</v>
      </c>
      <c r="F520" s="165" t="s">
        <v>2058</v>
      </c>
    </row>
    <row r="521" spans="2:6">
      <c r="B521" s="174" t="s">
        <v>1370</v>
      </c>
      <c r="D521" s="156" t="s">
        <v>1370</v>
      </c>
      <c r="E521" s="159" t="s">
        <v>1285</v>
      </c>
      <c r="F521" s="159" t="s">
        <v>1285</v>
      </c>
    </row>
    <row r="522" spans="2:6">
      <c r="B522" s="174" t="s">
        <v>1958</v>
      </c>
      <c r="D522" s="165" t="s">
        <v>1958</v>
      </c>
      <c r="E522" s="208" t="s">
        <v>991</v>
      </c>
      <c r="F522" s="208" t="s">
        <v>991</v>
      </c>
    </row>
    <row r="523" spans="2:6">
      <c r="B523" s="174" t="s">
        <v>994</v>
      </c>
      <c r="D523" s="159" t="s">
        <v>4251</v>
      </c>
      <c r="E523" s="156" t="s">
        <v>1369</v>
      </c>
      <c r="F523" s="156" t="s">
        <v>1369</v>
      </c>
    </row>
    <row r="524" spans="2:6">
      <c r="B524" s="174" t="s">
        <v>1762</v>
      </c>
      <c r="D524" s="162" t="s">
        <v>4252</v>
      </c>
      <c r="E524" s="165" t="s">
        <v>1957</v>
      </c>
      <c r="F524" s="165" t="s">
        <v>1957</v>
      </c>
    </row>
    <row r="525" spans="2:6">
      <c r="B525" s="174" t="s">
        <v>1288</v>
      </c>
      <c r="D525" s="156" t="s">
        <v>4253</v>
      </c>
      <c r="E525" s="159">
        <v>3088252579</v>
      </c>
      <c r="F525" s="159">
        <v>3088252579</v>
      </c>
    </row>
    <row r="526" spans="2:6">
      <c r="B526" s="174" t="s">
        <v>4254</v>
      </c>
      <c r="D526" s="162" t="s">
        <v>4254</v>
      </c>
      <c r="E526" s="162" t="s">
        <v>1761</v>
      </c>
      <c r="F526" s="162" t="s">
        <v>1761</v>
      </c>
    </row>
    <row r="527" spans="2:6">
      <c r="B527" s="174" t="s">
        <v>1764</v>
      </c>
      <c r="D527" s="159" t="s">
        <v>1764</v>
      </c>
      <c r="E527" s="201" t="s">
        <v>1287</v>
      </c>
      <c r="F527" s="201" t="s">
        <v>1287</v>
      </c>
    </row>
    <row r="528" spans="2:6">
      <c r="B528" s="174" t="s">
        <v>1766</v>
      </c>
      <c r="D528" s="165" t="s">
        <v>4255</v>
      </c>
      <c r="E528" s="162" t="s">
        <v>4256</v>
      </c>
      <c r="F528" s="162" t="s">
        <v>4256</v>
      </c>
    </row>
    <row r="529" spans="2:11">
      <c r="B529" s="174" t="s">
        <v>1960</v>
      </c>
      <c r="D529" s="156" t="s">
        <v>1960</v>
      </c>
      <c r="E529" s="198" t="s">
        <v>1763</v>
      </c>
      <c r="F529" s="198" t="s">
        <v>1763</v>
      </c>
    </row>
    <row r="530" spans="2:11">
      <c r="B530" s="174" t="s">
        <v>1768</v>
      </c>
      <c r="D530" s="162" t="s">
        <v>1768</v>
      </c>
      <c r="E530" s="199" t="s">
        <v>1765</v>
      </c>
      <c r="F530" s="199" t="s">
        <v>1765</v>
      </c>
    </row>
    <row r="531" spans="2:11">
      <c r="B531" s="174" t="s">
        <v>1860</v>
      </c>
      <c r="D531" s="156" t="s">
        <v>1860</v>
      </c>
      <c r="E531" s="156" t="s">
        <v>1959</v>
      </c>
      <c r="F531" s="156" t="s">
        <v>1959</v>
      </c>
    </row>
    <row r="532" spans="2:11">
      <c r="B532" s="174" t="s">
        <v>4257</v>
      </c>
      <c r="D532" s="165" t="s">
        <v>4258</v>
      </c>
      <c r="E532" s="162" t="s">
        <v>1767</v>
      </c>
      <c r="F532" s="162" t="s">
        <v>1767</v>
      </c>
    </row>
    <row r="533" spans="2:11">
      <c r="B533" s="174" t="s">
        <v>1474</v>
      </c>
      <c r="D533" s="156" t="s">
        <v>1474</v>
      </c>
      <c r="E533" s="201" t="s">
        <v>1859</v>
      </c>
      <c r="F533" s="201" t="s">
        <v>1859</v>
      </c>
    </row>
    <row r="534" spans="2:11">
      <c r="B534" s="174" t="s">
        <v>1667</v>
      </c>
      <c r="D534" s="165" t="s">
        <v>1667</v>
      </c>
      <c r="E534" s="165" t="s">
        <v>4259</v>
      </c>
      <c r="F534" s="165" t="s">
        <v>4259</v>
      </c>
    </row>
    <row r="535" spans="2:11">
      <c r="B535" s="222" t="s">
        <v>1095</v>
      </c>
      <c r="D535" s="159" t="s">
        <v>1095</v>
      </c>
      <c r="E535" s="156" t="s">
        <v>1473</v>
      </c>
      <c r="F535" s="156" t="s">
        <v>1473</v>
      </c>
    </row>
    <row r="536" spans="2:11">
      <c r="B536" s="174" t="s">
        <v>1476</v>
      </c>
      <c r="D536" s="162" t="s">
        <v>4260</v>
      </c>
      <c r="E536" s="165" t="s">
        <v>1666</v>
      </c>
      <c r="F536" s="165" t="s">
        <v>1666</v>
      </c>
    </row>
    <row r="537" spans="2:11">
      <c r="B537" s="203" t="s">
        <v>1669</v>
      </c>
      <c r="C537" s="204"/>
      <c r="D537" s="205" t="s">
        <v>4261</v>
      </c>
      <c r="E537" s="205">
        <v>3090259322</v>
      </c>
      <c r="F537" s="205">
        <v>3090259322</v>
      </c>
      <c r="G537" s="204"/>
      <c r="H537" s="204"/>
      <c r="I537" s="206" t="s">
        <v>4261</v>
      </c>
      <c r="J537" s="206" t="s">
        <v>1475</v>
      </c>
      <c r="K537" s="206" t="s">
        <v>1475</v>
      </c>
    </row>
    <row r="538" spans="2:11">
      <c r="B538" s="174" t="s">
        <v>1862</v>
      </c>
      <c r="D538" s="159" t="s">
        <v>1862</v>
      </c>
      <c r="E538" s="201" t="s">
        <v>1668</v>
      </c>
      <c r="F538" s="201" t="s">
        <v>1668</v>
      </c>
    </row>
    <row r="539" spans="2:11">
      <c r="B539" s="174" t="s">
        <v>1962</v>
      </c>
      <c r="D539" s="165" t="s">
        <v>1962</v>
      </c>
      <c r="E539" s="162" t="s">
        <v>1668</v>
      </c>
      <c r="F539" s="162" t="s">
        <v>1668</v>
      </c>
    </row>
    <row r="540" spans="2:11">
      <c r="B540" s="174" t="s">
        <v>996</v>
      </c>
      <c r="D540" s="156" t="s">
        <v>996</v>
      </c>
      <c r="E540" s="159" t="s">
        <v>1861</v>
      </c>
      <c r="F540" s="159" t="s">
        <v>1861</v>
      </c>
    </row>
    <row r="541" spans="2:11">
      <c r="B541" s="174" t="s">
        <v>1671</v>
      </c>
      <c r="D541" s="162" t="s">
        <v>1671</v>
      </c>
      <c r="E541" s="199" t="s">
        <v>1961</v>
      </c>
      <c r="F541" s="199" t="s">
        <v>1961</v>
      </c>
    </row>
    <row r="542" spans="2:11">
      <c r="B542" s="221" t="s">
        <v>1290</v>
      </c>
      <c r="D542" s="159" t="s">
        <v>4262</v>
      </c>
      <c r="E542" s="156" t="s">
        <v>995</v>
      </c>
      <c r="F542" s="156" t="s">
        <v>995</v>
      </c>
    </row>
    <row r="543" spans="2:11">
      <c r="B543" s="174" t="s">
        <v>1372</v>
      </c>
      <c r="D543" s="162" t="s">
        <v>1372</v>
      </c>
      <c r="E543" s="208" t="s">
        <v>1670</v>
      </c>
      <c r="F543" s="208" t="s">
        <v>1670</v>
      </c>
    </row>
    <row r="544" spans="2:11">
      <c r="B544" s="174" t="s">
        <v>1770</v>
      </c>
      <c r="D544" s="156" t="s">
        <v>1770</v>
      </c>
      <c r="E544" s="159" t="s">
        <v>1289</v>
      </c>
      <c r="F544" s="159" t="s">
        <v>1289</v>
      </c>
    </row>
    <row r="545" spans="2:11">
      <c r="B545" s="203" t="s">
        <v>1374</v>
      </c>
      <c r="C545" s="204"/>
      <c r="D545" s="206" t="s">
        <v>1374</v>
      </c>
      <c r="E545" s="206" t="s">
        <v>4263</v>
      </c>
      <c r="F545" s="206" t="s">
        <v>1371</v>
      </c>
      <c r="G545" s="204"/>
      <c r="H545" s="204"/>
      <c r="I545" s="205" t="s">
        <v>1374</v>
      </c>
      <c r="J545" s="215" t="s">
        <v>1769</v>
      </c>
      <c r="K545" s="215" t="s">
        <v>1769</v>
      </c>
    </row>
    <row r="546" spans="2:11">
      <c r="B546" s="174" t="s">
        <v>1192</v>
      </c>
      <c r="D546" s="162" t="s">
        <v>1192</v>
      </c>
      <c r="E546" s="208" t="s">
        <v>1373</v>
      </c>
      <c r="F546" s="208" t="s">
        <v>1373</v>
      </c>
    </row>
    <row r="547" spans="2:11">
      <c r="B547" s="174" t="s">
        <v>1376</v>
      </c>
      <c r="D547" s="168"/>
      <c r="E547" s="223"/>
      <c r="F547" s="223"/>
    </row>
    <row r="548" spans="2:11">
      <c r="B548" s="174" t="s">
        <v>1772</v>
      </c>
      <c r="D548" s="156" t="s">
        <v>1772</v>
      </c>
      <c r="E548" s="201" t="s">
        <v>1373</v>
      </c>
      <c r="F548" s="201" t="s">
        <v>1373</v>
      </c>
    </row>
    <row r="549" spans="2:11">
      <c r="B549" s="222" t="s">
        <v>1964</v>
      </c>
      <c r="D549" s="162" t="s">
        <v>1964</v>
      </c>
      <c r="E549" s="162" t="s">
        <v>1191</v>
      </c>
      <c r="F549" s="162" t="s">
        <v>1191</v>
      </c>
    </row>
    <row r="550" spans="2:11">
      <c r="B550" s="174" t="s">
        <v>1097</v>
      </c>
      <c r="D550" s="159" t="s">
        <v>1097</v>
      </c>
      <c r="E550" s="156" t="s">
        <v>1771</v>
      </c>
      <c r="F550" s="156" t="s">
        <v>1771</v>
      </c>
    </row>
    <row r="551" spans="2:11">
      <c r="B551" s="174" t="s">
        <v>1573</v>
      </c>
      <c r="D551" s="162" t="s">
        <v>1573</v>
      </c>
      <c r="E551" s="162" t="s">
        <v>1963</v>
      </c>
      <c r="F551" s="162" t="s">
        <v>1963</v>
      </c>
    </row>
    <row r="552" spans="2:11">
      <c r="B552" s="174" t="s">
        <v>1378</v>
      </c>
      <c r="D552" s="156" t="s">
        <v>1378</v>
      </c>
      <c r="E552" s="159" t="s">
        <v>1096</v>
      </c>
      <c r="F552" s="159" t="s">
        <v>1096</v>
      </c>
    </row>
    <row r="553" spans="2:11">
      <c r="B553" s="174" t="s">
        <v>1673</v>
      </c>
      <c r="D553" s="162" t="s">
        <v>1673</v>
      </c>
      <c r="E553" s="208" t="s">
        <v>1572</v>
      </c>
      <c r="F553" s="208" t="s">
        <v>1572</v>
      </c>
    </row>
    <row r="554" spans="2:11">
      <c r="B554" s="174" t="s">
        <v>1380</v>
      </c>
      <c r="D554" s="156" t="s">
        <v>4264</v>
      </c>
      <c r="E554" s="156" t="s">
        <v>1377</v>
      </c>
      <c r="F554" s="156" t="s">
        <v>1377</v>
      </c>
    </row>
    <row r="555" spans="2:11">
      <c r="B555" s="174" t="s">
        <v>1864</v>
      </c>
      <c r="D555" s="165" t="s">
        <v>4265</v>
      </c>
      <c r="E555" s="162" t="s">
        <v>1672</v>
      </c>
      <c r="F555" s="162" t="s">
        <v>1672</v>
      </c>
    </row>
    <row r="556" spans="2:11">
      <c r="B556" s="174" t="s">
        <v>2061</v>
      </c>
      <c r="D556" s="159" t="s">
        <v>2061</v>
      </c>
      <c r="E556" s="156">
        <v>3094442744</v>
      </c>
      <c r="F556" s="156">
        <v>3094442744</v>
      </c>
    </row>
    <row r="557" spans="2:11">
      <c r="B557" s="174" t="s">
        <v>1478</v>
      </c>
      <c r="D557" s="165" t="s">
        <v>1478</v>
      </c>
      <c r="E557" s="199" t="s">
        <v>1863</v>
      </c>
      <c r="F557" s="199" t="s">
        <v>1863</v>
      </c>
    </row>
    <row r="558" spans="2:11">
      <c r="B558" s="174" t="s">
        <v>1382</v>
      </c>
      <c r="D558" s="156" t="s">
        <v>1382</v>
      </c>
      <c r="E558" s="159" t="s">
        <v>4266</v>
      </c>
      <c r="F558" s="159" t="s">
        <v>2060</v>
      </c>
    </row>
    <row r="559" spans="2:11">
      <c r="B559" s="174" t="s">
        <v>1966</v>
      </c>
      <c r="D559" s="162" t="s">
        <v>1966</v>
      </c>
      <c r="E559" s="199" t="s">
        <v>1477</v>
      </c>
      <c r="F559" s="199" t="s">
        <v>1477</v>
      </c>
      <c r="I559" s="159" t="s">
        <v>4267</v>
      </c>
      <c r="J559" s="156" t="s">
        <v>1381</v>
      </c>
      <c r="K559" s="156" t="s">
        <v>1381</v>
      </c>
    </row>
    <row r="560" spans="2:11">
      <c r="B560" s="174" t="s">
        <v>1384</v>
      </c>
      <c r="D560" s="165" t="s">
        <v>4268</v>
      </c>
      <c r="E560" s="162">
        <v>3091779992</v>
      </c>
      <c r="F560" s="162">
        <v>3091779992</v>
      </c>
    </row>
    <row r="561" spans="2:9">
      <c r="B561" s="174" t="s">
        <v>1099</v>
      </c>
      <c r="D561" s="159" t="s">
        <v>1099</v>
      </c>
      <c r="E561" s="159" t="s">
        <v>4269</v>
      </c>
      <c r="F561" s="159" t="s">
        <v>4269</v>
      </c>
    </row>
    <row r="562" spans="2:9">
      <c r="B562" s="174" t="s">
        <v>1101</v>
      </c>
      <c r="D562" s="165" t="s">
        <v>1101</v>
      </c>
      <c r="E562" s="165" t="s">
        <v>1383</v>
      </c>
      <c r="F562" s="165" t="s">
        <v>1383</v>
      </c>
    </row>
    <row r="563" spans="2:9">
      <c r="B563" s="174" t="s">
        <v>1675</v>
      </c>
      <c r="D563" s="159" t="s">
        <v>1675</v>
      </c>
      <c r="E563" s="159" t="s">
        <v>1098</v>
      </c>
      <c r="F563" s="159" t="s">
        <v>1098</v>
      </c>
    </row>
    <row r="564" spans="2:9">
      <c r="B564" s="174" t="s">
        <v>998</v>
      </c>
      <c r="D564" s="163" t="s">
        <v>4270</v>
      </c>
      <c r="E564" s="163" t="s">
        <v>1100</v>
      </c>
      <c r="F564" s="163" t="s">
        <v>1100</v>
      </c>
      <c r="I564" t="s">
        <v>4113</v>
      </c>
    </row>
    <row r="565" spans="2:9">
      <c r="B565" s="174" t="s">
        <v>1194</v>
      </c>
      <c r="D565" s="159" t="s">
        <v>1194</v>
      </c>
      <c r="E565" s="198" t="s">
        <v>1674</v>
      </c>
      <c r="F565" s="198" t="s">
        <v>1674</v>
      </c>
    </row>
    <row r="566" spans="2:9">
      <c r="B566" s="174" t="s">
        <v>2063</v>
      </c>
      <c r="D566" s="165" t="s">
        <v>2063</v>
      </c>
      <c r="E566" s="165" t="s">
        <v>997</v>
      </c>
      <c r="F566" s="165" t="s">
        <v>997</v>
      </c>
    </row>
    <row r="567" spans="2:9">
      <c r="B567" s="174" t="s">
        <v>1866</v>
      </c>
      <c r="D567" s="156" t="s">
        <v>1866</v>
      </c>
      <c r="E567" s="159" t="s">
        <v>1193</v>
      </c>
      <c r="F567" s="159" t="s">
        <v>1193</v>
      </c>
    </row>
    <row r="568" spans="2:9">
      <c r="B568" s="174" t="s">
        <v>1575</v>
      </c>
      <c r="D568" s="162" t="s">
        <v>1575</v>
      </c>
      <c r="E568" s="199">
        <v>3109581748</v>
      </c>
      <c r="F568" s="199">
        <v>3109581748</v>
      </c>
    </row>
    <row r="569" spans="2:9">
      <c r="B569" s="174" t="s">
        <v>1196</v>
      </c>
      <c r="D569" s="159" t="s">
        <v>4271</v>
      </c>
      <c r="E569" s="156">
        <v>3094169713</v>
      </c>
      <c r="F569" s="156">
        <v>3094169713</v>
      </c>
    </row>
    <row r="570" spans="2:9">
      <c r="B570" s="174" t="s">
        <v>1868</v>
      </c>
      <c r="D570" s="162" t="s">
        <v>1868</v>
      </c>
      <c r="E570" s="208" t="s">
        <v>1574</v>
      </c>
      <c r="F570" s="208" t="s">
        <v>1574</v>
      </c>
    </row>
    <row r="571" spans="2:9">
      <c r="B571" s="174" t="s">
        <v>1577</v>
      </c>
      <c r="D571" s="159" t="s">
        <v>1577</v>
      </c>
      <c r="E571" s="159" t="s">
        <v>1195</v>
      </c>
      <c r="F571" s="159" t="s">
        <v>1195</v>
      </c>
    </row>
    <row r="572" spans="2:9">
      <c r="B572" s="174" t="s">
        <v>2065</v>
      </c>
      <c r="D572" s="165" t="s">
        <v>2065</v>
      </c>
      <c r="E572" s="162" t="s">
        <v>1867</v>
      </c>
      <c r="F572" s="162" t="s">
        <v>1867</v>
      </c>
    </row>
    <row r="573" spans="2:9">
      <c r="B573" s="174" t="s">
        <v>1480</v>
      </c>
      <c r="D573" s="156" t="s">
        <v>1480</v>
      </c>
      <c r="E573" s="159" t="s">
        <v>1576</v>
      </c>
      <c r="F573" s="159" t="s">
        <v>1576</v>
      </c>
    </row>
    <row r="574" spans="2:9">
      <c r="B574" s="174" t="s">
        <v>1870</v>
      </c>
      <c r="D574" s="162" t="s">
        <v>4272</v>
      </c>
      <c r="E574" s="165" t="s">
        <v>2064</v>
      </c>
      <c r="F574" s="165" t="s">
        <v>4273</v>
      </c>
    </row>
    <row r="575" spans="2:9">
      <c r="B575" s="224" t="s">
        <v>1968</v>
      </c>
      <c r="D575" s="225" t="s">
        <v>4274</v>
      </c>
      <c r="E575" s="156" t="s">
        <v>1479</v>
      </c>
      <c r="F575" s="156" t="s">
        <v>1479</v>
      </c>
    </row>
    <row r="576" spans="2:9">
      <c r="E576" s="213" t="s">
        <v>1869</v>
      </c>
      <c r="F576" s="213" t="s">
        <v>1869</v>
      </c>
    </row>
    <row r="577" spans="5:6">
      <c r="E577" s="226" t="s">
        <v>1967</v>
      </c>
      <c r="F577" s="226" t="s">
        <v>1967</v>
      </c>
    </row>
  </sheetData>
  <pageMargins left="0.75" right="0.75" top="1" bottom="1" header="0.511811023622047" footer="0.511811023622047"/>
  <pageSetup paperSize="1" orientation="portrait" horizontalDpi="300" verticalDpi="3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Z635"/>
  <sheetViews>
    <sheetView topLeftCell="A178" workbookViewId="0">
      <selection activeCell="F206" sqref="F206"/>
    </sheetView>
  </sheetViews>
  <sheetFormatPr defaultColWidth="9.15" defaultRowHeight="14.4"/>
  <cols>
    <col min="2" max="2" width="9.14166666666667" style="69"/>
    <col min="4" max="4" width="12" customWidth="1"/>
    <col min="5" max="5" width="13.4333333333333" customWidth="1"/>
    <col min="6" max="6" width="38.8583333333333" style="70" customWidth="1"/>
    <col min="7" max="7" width="37.6333333333333" style="71" customWidth="1"/>
    <col min="8" max="14" width="18.8833333333333" style="71" customWidth="1"/>
    <col min="15" max="15" width="20.4333333333333" style="71" customWidth="1"/>
    <col min="16" max="16" width="20.2916666666667" style="72" customWidth="1"/>
    <col min="17" max="19" width="12.6333333333333" style="71" customWidth="1"/>
    <col min="20" max="20" width="18.8833333333333" style="72" customWidth="1"/>
    <col min="21" max="21" width="18.8833333333333" style="71" customWidth="1"/>
    <col min="22" max="22" width="18.8833333333333" style="72" customWidth="1"/>
    <col min="23" max="23" width="51.8583333333333" style="73" customWidth="1"/>
    <col min="24" max="25" width="18.8833333333333" style="73" hidden="1" customWidth="1"/>
    <col min="26" max="26" width="23.2333333333333" style="73" hidden="1" customWidth="1"/>
    <col min="27" max="29" width="18.8833333333333" style="73" hidden="1" customWidth="1"/>
    <col min="30" max="30" width="18.8833333333333" style="71" customWidth="1"/>
    <col min="31" max="31" width="23.3916666666667" style="72" customWidth="1"/>
    <col min="32" max="32" width="15.2833333333333" style="72" customWidth="1"/>
    <col min="33" max="33" width="23.3916666666667" style="71" customWidth="1"/>
    <col min="34" max="34" width="22" style="71" customWidth="1"/>
    <col min="35" max="35" width="23.15" style="71" customWidth="1"/>
    <col min="36" max="36" width="22" style="71" customWidth="1"/>
    <col min="37" max="37" width="18.8833333333333" style="71" customWidth="1"/>
    <col min="38" max="38" width="17.1416666666667" style="71" customWidth="1"/>
    <col min="39" max="39" width="21" style="71" customWidth="1"/>
    <col min="40" max="40" width="24.25" style="71" customWidth="1"/>
    <col min="41" max="41" width="20.6333333333333" style="71" customWidth="1"/>
    <col min="42" max="42" width="19.5083333333333" style="72" customWidth="1"/>
    <col min="43" max="43" width="18.8833333333333" style="72" customWidth="1"/>
    <col min="44" max="44" width="18.8833333333333" style="71" customWidth="1"/>
  </cols>
  <sheetData>
    <row r="3" s="65" customFormat="1" spans="2:44">
      <c r="B3" s="74" t="s">
        <v>4275</v>
      </c>
      <c r="C3" s="75" t="s">
        <v>10</v>
      </c>
      <c r="D3" s="76" t="s">
        <v>11</v>
      </c>
      <c r="E3" s="76" t="s">
        <v>12</v>
      </c>
      <c r="F3" s="77" t="s">
        <v>13</v>
      </c>
      <c r="G3" s="78" t="s">
        <v>4276</v>
      </c>
      <c r="H3" s="78" t="s">
        <v>4277</v>
      </c>
      <c r="I3" s="79"/>
      <c r="J3" s="78" t="s">
        <v>12</v>
      </c>
      <c r="K3" s="78" t="s">
        <v>4278</v>
      </c>
      <c r="L3" s="78" t="s">
        <v>4279</v>
      </c>
      <c r="M3" s="78" t="s">
        <v>4280</v>
      </c>
      <c r="N3" s="78" t="s">
        <v>4281</v>
      </c>
      <c r="O3" s="78" t="s">
        <v>4282</v>
      </c>
      <c r="P3" s="80" t="s">
        <v>4283</v>
      </c>
      <c r="Q3" s="80" t="s">
        <v>4284</v>
      </c>
      <c r="R3" s="80"/>
      <c r="S3" s="80"/>
      <c r="T3" s="80" t="s">
        <v>4285</v>
      </c>
      <c r="U3" s="78" t="s">
        <v>4286</v>
      </c>
      <c r="V3" s="78" t="s">
        <v>4287</v>
      </c>
      <c r="W3" s="78" t="s">
        <v>4288</v>
      </c>
      <c r="X3" s="78"/>
      <c r="Y3" s="78"/>
      <c r="Z3" s="78"/>
      <c r="AA3" s="78"/>
      <c r="AB3" s="78"/>
      <c r="AC3" s="78"/>
      <c r="AD3" s="78" t="s">
        <v>4289</v>
      </c>
      <c r="AE3" s="78" t="s">
        <v>4290</v>
      </c>
      <c r="AF3" s="78" t="s">
        <v>4291</v>
      </c>
      <c r="AG3" s="78" t="s">
        <v>4292</v>
      </c>
      <c r="AH3" s="78" t="s">
        <v>4293</v>
      </c>
      <c r="AI3" s="78" t="s">
        <v>4294</v>
      </c>
      <c r="AJ3" s="78" t="s">
        <v>4295</v>
      </c>
      <c r="AK3" s="78" t="s">
        <v>4296</v>
      </c>
      <c r="AL3" s="78" t="s">
        <v>4297</v>
      </c>
      <c r="AM3" s="78" t="s">
        <v>4298</v>
      </c>
      <c r="AN3" s="78" t="s">
        <v>4299</v>
      </c>
      <c r="AO3" s="65" t="s">
        <v>4300</v>
      </c>
      <c r="AP3" s="65" t="s">
        <v>4301</v>
      </c>
      <c r="AQ3" s="65" t="s">
        <v>4302</v>
      </c>
      <c r="AR3" s="65" t="s">
        <v>4303</v>
      </c>
    </row>
    <row r="4" spans="2:44">
      <c r="B4" s="69" t="s">
        <v>4304</v>
      </c>
      <c r="C4" s="81">
        <v>1</v>
      </c>
      <c r="D4" s="82">
        <v>252610433</v>
      </c>
      <c r="E4" s="83" t="s">
        <v>1105</v>
      </c>
      <c r="F4" s="84" t="s">
        <v>1106</v>
      </c>
      <c r="G4" s="85" t="s">
        <v>4042</v>
      </c>
      <c r="H4" s="85" t="s">
        <v>4305</v>
      </c>
      <c r="I4" s="85" t="s">
        <v>1105</v>
      </c>
      <c r="J4" s="86" t="s">
        <v>1105</v>
      </c>
      <c r="K4" s="85" t="s">
        <v>89</v>
      </c>
      <c r="L4" s="85" t="s">
        <v>4306</v>
      </c>
      <c r="M4" s="87">
        <v>40246</v>
      </c>
      <c r="N4" s="85" t="s">
        <v>4307</v>
      </c>
      <c r="O4" s="85" t="s">
        <v>4308</v>
      </c>
      <c r="P4" s="88">
        <v>1</v>
      </c>
      <c r="Q4" s="88">
        <v>1</v>
      </c>
      <c r="R4" s="88">
        <v>0</v>
      </c>
      <c r="S4" s="88">
        <v>0</v>
      </c>
      <c r="T4" s="88">
        <f t="shared" ref="T4:T67" si="0">Q4+R4+S4</f>
        <v>1</v>
      </c>
      <c r="U4" s="85" t="s">
        <v>4309</v>
      </c>
      <c r="V4" s="88" t="s">
        <v>4310</v>
      </c>
      <c r="W4" s="89" t="s">
        <v>4311</v>
      </c>
      <c r="X4" s="89"/>
      <c r="Y4" s="89"/>
      <c r="Z4" s="89"/>
      <c r="AA4" s="89"/>
      <c r="AB4" s="89"/>
      <c r="AC4" s="89"/>
      <c r="AD4" s="85" t="s">
        <v>4312</v>
      </c>
      <c r="AE4" s="88" t="s">
        <v>4313</v>
      </c>
      <c r="AF4" s="88" t="s">
        <v>4314</v>
      </c>
      <c r="AG4" s="85" t="s">
        <v>4315</v>
      </c>
      <c r="AH4" s="85" t="s">
        <v>4316</v>
      </c>
      <c r="AI4" s="85" t="s">
        <v>4317</v>
      </c>
      <c r="AJ4" s="85" t="s">
        <v>4318</v>
      </c>
      <c r="AK4" s="85" t="s">
        <v>4319</v>
      </c>
      <c r="AL4" s="90"/>
      <c r="AM4" s="85" t="s">
        <v>4320</v>
      </c>
      <c r="AN4" s="85" t="s">
        <v>4321</v>
      </c>
      <c r="AO4" s="90"/>
      <c r="AP4" s="88">
        <v>167</v>
      </c>
      <c r="AQ4" s="88">
        <v>60</v>
      </c>
      <c r="AR4" s="85" t="s">
        <v>4322</v>
      </c>
    </row>
    <row r="5" s="66" customFormat="1" spans="2:44">
      <c r="B5" s="91" t="s">
        <v>4323</v>
      </c>
      <c r="C5" s="92">
        <v>2</v>
      </c>
      <c r="D5" s="93">
        <v>252610241</v>
      </c>
      <c r="E5" s="94" t="s">
        <v>1484</v>
      </c>
      <c r="F5" s="95" t="s">
        <v>1485</v>
      </c>
      <c r="G5" s="96" t="s">
        <v>1485</v>
      </c>
      <c r="H5" s="97"/>
      <c r="I5" s="96" t="s">
        <v>1484</v>
      </c>
      <c r="J5" s="96" t="s">
        <v>1484</v>
      </c>
      <c r="K5" s="97"/>
      <c r="L5" s="97"/>
      <c r="M5" s="98"/>
      <c r="N5" s="97"/>
      <c r="O5" s="97"/>
      <c r="P5" s="99"/>
      <c r="Q5" s="96"/>
      <c r="R5" s="96"/>
      <c r="S5" s="96"/>
      <c r="T5" s="88">
        <f t="shared" si="0"/>
        <v>0</v>
      </c>
      <c r="U5" s="97"/>
      <c r="V5" s="100"/>
      <c r="W5" s="101"/>
      <c r="X5" s="101"/>
      <c r="Y5" s="101"/>
      <c r="Z5" s="101"/>
      <c r="AA5" s="101"/>
      <c r="AB5" s="101"/>
      <c r="AC5" s="101"/>
      <c r="AD5" s="97"/>
      <c r="AE5" s="100"/>
      <c r="AF5" s="100"/>
      <c r="AG5" s="97"/>
      <c r="AH5" s="97"/>
      <c r="AI5" s="97"/>
      <c r="AJ5" s="97"/>
      <c r="AK5" s="97"/>
      <c r="AL5" s="97"/>
      <c r="AM5" s="97"/>
      <c r="AN5" s="97"/>
      <c r="AO5" s="97"/>
      <c r="AP5" s="100"/>
      <c r="AQ5" s="100"/>
      <c r="AR5" s="97"/>
    </row>
    <row r="6" s="66" customFormat="1" spans="2:44">
      <c r="B6" s="91" t="s">
        <v>4324</v>
      </c>
      <c r="C6" s="92">
        <v>3</v>
      </c>
      <c r="D6" s="93">
        <v>252610097</v>
      </c>
      <c r="E6" s="94" t="s">
        <v>1873</v>
      </c>
      <c r="F6" s="95" t="s">
        <v>1874</v>
      </c>
      <c r="G6" s="96" t="s">
        <v>4043</v>
      </c>
      <c r="H6" s="97"/>
      <c r="I6" s="96" t="s">
        <v>1873</v>
      </c>
      <c r="J6" s="96" t="s">
        <v>1873</v>
      </c>
      <c r="K6" s="97"/>
      <c r="L6" s="97"/>
      <c r="M6" s="98"/>
      <c r="N6" s="97"/>
      <c r="O6" s="97"/>
      <c r="P6" s="88"/>
      <c r="Q6" s="96"/>
      <c r="R6" s="96"/>
      <c r="S6" s="96"/>
      <c r="T6" s="88">
        <f t="shared" si="0"/>
        <v>0</v>
      </c>
      <c r="U6" s="97"/>
      <c r="V6" s="100"/>
      <c r="W6" s="101"/>
      <c r="X6" s="101"/>
      <c r="Y6" s="101"/>
      <c r="Z6" s="101"/>
      <c r="AA6" s="101"/>
      <c r="AB6" s="101"/>
      <c r="AC6" s="101"/>
      <c r="AD6" s="97"/>
      <c r="AE6" s="100"/>
      <c r="AF6" s="100"/>
      <c r="AG6" s="97"/>
      <c r="AH6" s="97"/>
      <c r="AI6" s="97"/>
      <c r="AJ6" s="97"/>
      <c r="AK6" s="97"/>
      <c r="AL6" s="97"/>
      <c r="AM6" s="97"/>
      <c r="AN6" s="97"/>
      <c r="AO6" s="97"/>
      <c r="AP6" s="100"/>
      <c r="AQ6" s="100"/>
      <c r="AR6" s="97"/>
    </row>
    <row r="7" spans="2:44">
      <c r="B7" s="69" t="s">
        <v>4325</v>
      </c>
      <c r="C7" s="81">
        <v>4</v>
      </c>
      <c r="D7" s="82">
        <v>252610001</v>
      </c>
      <c r="E7" s="102" t="s">
        <v>1875</v>
      </c>
      <c r="F7" s="103" t="s">
        <v>1876</v>
      </c>
      <c r="G7" s="104" t="s">
        <v>1876</v>
      </c>
      <c r="H7" s="104" t="s">
        <v>4326</v>
      </c>
      <c r="I7" s="104" t="s">
        <v>1875</v>
      </c>
      <c r="J7" s="86" t="s">
        <v>1875</v>
      </c>
      <c r="K7" s="104" t="s">
        <v>90</v>
      </c>
      <c r="L7" s="104" t="s">
        <v>4327</v>
      </c>
      <c r="M7" s="105">
        <v>40157</v>
      </c>
      <c r="N7" s="104" t="s">
        <v>4328</v>
      </c>
      <c r="O7" s="104" t="s">
        <v>4329</v>
      </c>
      <c r="P7" s="99">
        <v>2</v>
      </c>
      <c r="Q7" s="99">
        <v>1</v>
      </c>
      <c r="R7" s="99">
        <v>0</v>
      </c>
      <c r="S7" s="99">
        <v>0</v>
      </c>
      <c r="T7" s="88">
        <f t="shared" si="0"/>
        <v>1</v>
      </c>
      <c r="U7" s="104" t="s">
        <v>4308</v>
      </c>
      <c r="V7" s="99" t="s">
        <v>4330</v>
      </c>
      <c r="W7" s="104" t="s">
        <v>4331</v>
      </c>
      <c r="X7" s="104"/>
      <c r="Y7" s="104"/>
      <c r="Z7" s="104"/>
      <c r="AA7" s="104"/>
      <c r="AB7" s="104"/>
      <c r="AC7" s="104"/>
      <c r="AD7" s="104" t="s">
        <v>4332</v>
      </c>
      <c r="AE7" s="99" t="s">
        <v>4333</v>
      </c>
      <c r="AF7" s="99" t="s">
        <v>4334</v>
      </c>
      <c r="AG7" s="104" t="s">
        <v>4335</v>
      </c>
      <c r="AH7" s="104" t="s">
        <v>4336</v>
      </c>
      <c r="AI7" s="104" t="s">
        <v>4318</v>
      </c>
      <c r="AJ7" s="104" t="s">
        <v>4318</v>
      </c>
      <c r="AK7" s="104" t="s">
        <v>4337</v>
      </c>
      <c r="AL7" s="106"/>
      <c r="AM7" s="104" t="s">
        <v>4338</v>
      </c>
      <c r="AN7" s="104" t="s">
        <v>3124</v>
      </c>
      <c r="AO7" s="104" t="s">
        <v>4339</v>
      </c>
      <c r="AP7" s="99">
        <v>155</v>
      </c>
      <c r="AQ7" s="99">
        <v>47</v>
      </c>
      <c r="AR7" s="104" t="s">
        <v>4340</v>
      </c>
    </row>
    <row r="8" s="66" customFormat="1" spans="2:44">
      <c r="B8" s="91" t="s">
        <v>4341</v>
      </c>
      <c r="C8" s="92">
        <v>5</v>
      </c>
      <c r="D8" s="93">
        <v>252610289</v>
      </c>
      <c r="E8" s="94" t="s">
        <v>1199</v>
      </c>
      <c r="F8" s="95" t="s">
        <v>1200</v>
      </c>
      <c r="G8" s="96" t="s">
        <v>4044</v>
      </c>
      <c r="H8" s="97"/>
      <c r="I8" s="96" t="s">
        <v>1199</v>
      </c>
      <c r="J8" s="96" t="s">
        <v>1199</v>
      </c>
      <c r="K8" s="97"/>
      <c r="L8" s="97"/>
      <c r="M8" s="98"/>
      <c r="N8" s="97"/>
      <c r="O8" s="97"/>
      <c r="P8" s="88"/>
      <c r="Q8" s="96"/>
      <c r="R8" s="96"/>
      <c r="S8" s="96"/>
      <c r="T8" s="88">
        <f t="shared" si="0"/>
        <v>0</v>
      </c>
      <c r="U8" s="97"/>
      <c r="V8" s="100"/>
      <c r="W8" s="101"/>
      <c r="X8" s="101"/>
      <c r="Y8" s="101"/>
      <c r="Z8" s="101"/>
      <c r="AA8" s="101"/>
      <c r="AB8" s="101"/>
      <c r="AC8" s="101"/>
      <c r="AD8" s="97"/>
      <c r="AE8" s="100"/>
      <c r="AF8" s="100"/>
      <c r="AG8" s="97"/>
      <c r="AH8" s="97"/>
      <c r="AI8" s="97"/>
      <c r="AJ8" s="97"/>
      <c r="AK8" s="97"/>
      <c r="AL8" s="97"/>
      <c r="AM8" s="97"/>
      <c r="AN8" s="97"/>
      <c r="AO8" s="97"/>
      <c r="AP8" s="100"/>
      <c r="AQ8" s="100"/>
      <c r="AR8" s="97"/>
    </row>
    <row r="9" spans="2:44">
      <c r="B9" s="69" t="s">
        <v>4304</v>
      </c>
      <c r="C9" s="81">
        <v>6</v>
      </c>
      <c r="D9" s="82">
        <v>252610434</v>
      </c>
      <c r="E9" s="83" t="s">
        <v>1107</v>
      </c>
      <c r="F9" s="84" t="s">
        <v>1108</v>
      </c>
      <c r="G9" s="104" t="s">
        <v>1108</v>
      </c>
      <c r="H9" s="104" t="s">
        <v>4342</v>
      </c>
      <c r="I9" s="104" t="s">
        <v>1107</v>
      </c>
      <c r="J9" s="86" t="s">
        <v>1107</v>
      </c>
      <c r="K9" s="104" t="s">
        <v>90</v>
      </c>
      <c r="L9" s="104" t="s">
        <v>4343</v>
      </c>
      <c r="M9" s="105">
        <v>39998</v>
      </c>
      <c r="N9" s="104" t="s">
        <v>4307</v>
      </c>
      <c r="O9" s="104" t="s">
        <v>4344</v>
      </c>
      <c r="P9" s="99">
        <v>1</v>
      </c>
      <c r="Q9" s="99">
        <v>0</v>
      </c>
      <c r="R9" s="99">
        <v>0</v>
      </c>
      <c r="S9" s="99">
        <v>0</v>
      </c>
      <c r="T9" s="88">
        <f t="shared" si="0"/>
        <v>0</v>
      </c>
      <c r="U9" s="104" t="s">
        <v>4345</v>
      </c>
      <c r="V9" s="99">
        <v>0</v>
      </c>
      <c r="W9" s="107" t="s">
        <v>4346</v>
      </c>
      <c r="X9" s="107"/>
      <c r="Y9" s="107"/>
      <c r="Z9" s="107"/>
      <c r="AA9" s="107"/>
      <c r="AB9" s="107"/>
      <c r="AC9" s="107"/>
      <c r="AD9" s="104" t="s">
        <v>4347</v>
      </c>
      <c r="AE9" s="99" t="s">
        <v>4313</v>
      </c>
      <c r="AF9" s="99" t="s">
        <v>4348</v>
      </c>
      <c r="AG9" s="104" t="s">
        <v>4349</v>
      </c>
      <c r="AH9" s="104" t="s">
        <v>4350</v>
      </c>
      <c r="AI9" s="104" t="s">
        <v>4351</v>
      </c>
      <c r="AJ9" s="104" t="s">
        <v>4352</v>
      </c>
      <c r="AK9" s="104" t="s">
        <v>4320</v>
      </c>
      <c r="AL9" s="106"/>
      <c r="AM9" s="104" t="s">
        <v>4320</v>
      </c>
      <c r="AN9" s="104" t="s">
        <v>4353</v>
      </c>
      <c r="AO9" s="106"/>
      <c r="AP9" s="99">
        <v>155</v>
      </c>
      <c r="AQ9" s="99">
        <v>50</v>
      </c>
      <c r="AR9" s="106"/>
    </row>
    <row r="10" s="66" customFormat="1" spans="2:44">
      <c r="B10" s="91" t="s">
        <v>4354</v>
      </c>
      <c r="C10" s="92">
        <v>7</v>
      </c>
      <c r="D10" s="93">
        <v>252610049</v>
      </c>
      <c r="E10" s="94" t="s">
        <v>1109</v>
      </c>
      <c r="F10" s="95" t="s">
        <v>1110</v>
      </c>
      <c r="G10" s="96" t="s">
        <v>1110</v>
      </c>
      <c r="H10" s="97"/>
      <c r="I10" s="96" t="s">
        <v>1109</v>
      </c>
      <c r="J10" s="96" t="s">
        <v>1109</v>
      </c>
      <c r="K10" s="97"/>
      <c r="L10" s="97"/>
      <c r="M10" s="98"/>
      <c r="N10" s="97"/>
      <c r="O10" s="97"/>
      <c r="P10" s="88"/>
      <c r="Q10" s="96"/>
      <c r="R10" s="96"/>
      <c r="S10" s="96"/>
      <c r="T10" s="88">
        <f t="shared" si="0"/>
        <v>0</v>
      </c>
      <c r="U10" s="97"/>
      <c r="V10" s="100"/>
      <c r="W10" s="101"/>
      <c r="X10" s="101"/>
      <c r="Y10" s="101"/>
      <c r="Z10" s="101"/>
      <c r="AA10" s="101"/>
      <c r="AB10" s="101"/>
      <c r="AC10" s="101"/>
      <c r="AD10" s="97"/>
      <c r="AE10" s="100"/>
      <c r="AF10" s="100"/>
      <c r="AG10" s="97"/>
      <c r="AH10" s="97"/>
      <c r="AI10" s="97"/>
      <c r="AJ10" s="97"/>
      <c r="AK10" s="97"/>
      <c r="AL10" s="97"/>
      <c r="AM10" s="97"/>
      <c r="AN10" s="97"/>
      <c r="AO10" s="97"/>
      <c r="AP10" s="100"/>
      <c r="AQ10" s="100"/>
      <c r="AR10" s="97"/>
    </row>
    <row r="11" spans="2:44">
      <c r="B11" s="69" t="s">
        <v>4355</v>
      </c>
      <c r="C11" s="81">
        <v>8</v>
      </c>
      <c r="D11" s="82">
        <v>252610145</v>
      </c>
      <c r="E11" s="83" t="s">
        <v>1111</v>
      </c>
      <c r="F11" s="84" t="s">
        <v>1112</v>
      </c>
      <c r="G11" s="104" t="s">
        <v>4045</v>
      </c>
      <c r="H11" s="104" t="s">
        <v>4356</v>
      </c>
      <c r="I11" s="104" t="s">
        <v>1111</v>
      </c>
      <c r="J11" s="86" t="s">
        <v>1111</v>
      </c>
      <c r="K11" s="104" t="s">
        <v>90</v>
      </c>
      <c r="L11" s="104" t="s">
        <v>4357</v>
      </c>
      <c r="M11" s="105">
        <v>40171</v>
      </c>
      <c r="N11" s="104" t="s">
        <v>4307</v>
      </c>
      <c r="O11" s="104" t="s">
        <v>4308</v>
      </c>
      <c r="P11" s="99">
        <v>1</v>
      </c>
      <c r="Q11" s="99">
        <v>1</v>
      </c>
      <c r="R11" s="99">
        <v>0</v>
      </c>
      <c r="S11" s="99">
        <v>0</v>
      </c>
      <c r="T11" s="88">
        <f t="shared" si="0"/>
        <v>1</v>
      </c>
      <c r="U11" s="104" t="s">
        <v>4308</v>
      </c>
      <c r="V11" s="99" t="s">
        <v>4358</v>
      </c>
      <c r="W11" s="108" t="s">
        <v>4359</v>
      </c>
      <c r="X11" s="108" t="s">
        <v>4360</v>
      </c>
      <c r="Y11" s="108" t="s">
        <v>4361</v>
      </c>
      <c r="Z11" s="108" t="s">
        <v>4362</v>
      </c>
      <c r="AA11" s="108" t="s">
        <v>4363</v>
      </c>
      <c r="AB11" s="108" t="s">
        <v>4364</v>
      </c>
      <c r="AC11" s="108">
        <v>40534</v>
      </c>
      <c r="AD11" s="104" t="s">
        <v>4365</v>
      </c>
      <c r="AE11" s="99" t="s">
        <v>4366</v>
      </c>
      <c r="AF11" s="99" t="s">
        <v>4367</v>
      </c>
      <c r="AG11" s="104" t="s">
        <v>4368</v>
      </c>
      <c r="AH11" s="104" t="s">
        <v>4369</v>
      </c>
      <c r="AI11" s="104" t="s">
        <v>4370</v>
      </c>
      <c r="AJ11" s="104" t="s">
        <v>4370</v>
      </c>
      <c r="AK11" s="104" t="s">
        <v>4338</v>
      </c>
      <c r="AL11" s="104" t="s">
        <v>4371</v>
      </c>
      <c r="AM11" s="104" t="s">
        <v>4372</v>
      </c>
      <c r="AN11" s="104" t="s">
        <v>3124</v>
      </c>
      <c r="AO11" s="104">
        <v>0</v>
      </c>
      <c r="AP11" s="99">
        <v>160</v>
      </c>
      <c r="AQ11" s="99">
        <v>52</v>
      </c>
      <c r="AR11" s="104" t="s">
        <v>4322</v>
      </c>
    </row>
    <row r="12" s="66" customFormat="1" spans="2:44">
      <c r="B12" s="91" t="s">
        <v>4373</v>
      </c>
      <c r="C12" s="92">
        <v>9</v>
      </c>
      <c r="D12" s="93">
        <v>252610481</v>
      </c>
      <c r="E12" s="94" t="s">
        <v>1201</v>
      </c>
      <c r="F12" s="95" t="s">
        <v>1202</v>
      </c>
      <c r="G12" s="96" t="s">
        <v>1202</v>
      </c>
      <c r="H12" s="97"/>
      <c r="I12" s="96" t="s">
        <v>1201</v>
      </c>
      <c r="J12" s="96" t="s">
        <v>1201</v>
      </c>
      <c r="K12" s="97"/>
      <c r="L12" s="97"/>
      <c r="M12" s="98"/>
      <c r="N12" s="97"/>
      <c r="O12" s="97"/>
      <c r="P12" s="88"/>
      <c r="Q12" s="96"/>
      <c r="R12" s="96"/>
      <c r="S12" s="96"/>
      <c r="T12" s="88">
        <f t="shared" si="0"/>
        <v>0</v>
      </c>
      <c r="U12" s="97"/>
      <c r="V12" s="100"/>
      <c r="W12" s="101"/>
      <c r="X12" s="101"/>
      <c r="Y12" s="101"/>
      <c r="Z12" s="101"/>
      <c r="AA12" s="101"/>
      <c r="AB12" s="101"/>
      <c r="AC12" s="101"/>
      <c r="AD12" s="97"/>
      <c r="AE12" s="100"/>
      <c r="AF12" s="100"/>
      <c r="AG12" s="97"/>
      <c r="AH12" s="97"/>
      <c r="AI12" s="97"/>
      <c r="AJ12" s="97"/>
      <c r="AK12" s="97"/>
      <c r="AL12" s="97"/>
      <c r="AM12" s="97"/>
      <c r="AN12" s="97"/>
      <c r="AO12" s="97"/>
      <c r="AP12" s="100"/>
      <c r="AQ12" s="100"/>
      <c r="AR12" s="97"/>
    </row>
    <row r="13" spans="2:44">
      <c r="B13" s="69" t="s">
        <v>4373</v>
      </c>
      <c r="C13" s="81">
        <v>10</v>
      </c>
      <c r="D13" s="82">
        <v>252610482</v>
      </c>
      <c r="E13" s="83" t="s">
        <v>1387</v>
      </c>
      <c r="F13" s="84" t="s">
        <v>1388</v>
      </c>
      <c r="G13" s="104" t="s">
        <v>1388</v>
      </c>
      <c r="H13" s="104" t="s">
        <v>4374</v>
      </c>
      <c r="I13" s="104" t="s">
        <v>1387</v>
      </c>
      <c r="J13" s="86" t="s">
        <v>1387</v>
      </c>
      <c r="K13" s="104" t="s">
        <v>89</v>
      </c>
      <c r="L13" s="104" t="s">
        <v>4357</v>
      </c>
      <c r="M13" s="105">
        <v>39940</v>
      </c>
      <c r="N13" s="104" t="s">
        <v>4307</v>
      </c>
      <c r="O13" s="104" t="s">
        <v>4344</v>
      </c>
      <c r="P13" s="99">
        <v>1</v>
      </c>
      <c r="Q13" s="99">
        <v>2</v>
      </c>
      <c r="R13" s="99">
        <v>0</v>
      </c>
      <c r="S13" s="99">
        <v>0</v>
      </c>
      <c r="T13" s="88">
        <f t="shared" si="0"/>
        <v>2</v>
      </c>
      <c r="U13" s="104" t="s">
        <v>4344</v>
      </c>
      <c r="V13" s="99" t="s">
        <v>4358</v>
      </c>
      <c r="W13" s="108" t="s">
        <v>4375</v>
      </c>
      <c r="X13" s="108" t="s">
        <v>4376</v>
      </c>
      <c r="Y13" s="108">
        <v>26</v>
      </c>
      <c r="Z13" s="108" t="s">
        <v>4377</v>
      </c>
      <c r="AA13" s="108" t="s">
        <v>4363</v>
      </c>
      <c r="AB13" s="108" t="s">
        <v>4378</v>
      </c>
      <c r="AC13" s="108">
        <v>40535</v>
      </c>
      <c r="AD13" s="104" t="s">
        <v>4379</v>
      </c>
      <c r="AE13" s="99" t="s">
        <v>4380</v>
      </c>
      <c r="AF13" s="99" t="s">
        <v>4381</v>
      </c>
      <c r="AG13" s="104" t="s">
        <v>4382</v>
      </c>
      <c r="AH13" s="104" t="s">
        <v>4383</v>
      </c>
      <c r="AI13" s="104" t="s">
        <v>4384</v>
      </c>
      <c r="AJ13" s="104" t="s">
        <v>4384</v>
      </c>
      <c r="AK13" s="104" t="s">
        <v>4337</v>
      </c>
      <c r="AL13" s="106"/>
      <c r="AM13" s="104" t="s">
        <v>4372</v>
      </c>
      <c r="AN13" s="104" t="s">
        <v>4385</v>
      </c>
      <c r="AO13" s="106"/>
      <c r="AP13" s="99">
        <v>171</v>
      </c>
      <c r="AQ13" s="99">
        <v>50</v>
      </c>
      <c r="AR13" s="104" t="s">
        <v>4322</v>
      </c>
    </row>
    <row r="14" s="66" customFormat="1" spans="2:44">
      <c r="B14" s="91" t="s">
        <v>4386</v>
      </c>
      <c r="C14" s="92">
        <v>11</v>
      </c>
      <c r="D14" s="93">
        <v>252610337</v>
      </c>
      <c r="E14" s="94" t="s">
        <v>1389</v>
      </c>
      <c r="F14" s="95" t="s">
        <v>1390</v>
      </c>
      <c r="G14" s="96" t="s">
        <v>1390</v>
      </c>
      <c r="H14" s="97"/>
      <c r="I14" s="96" t="s">
        <v>1389</v>
      </c>
      <c r="J14" s="96" t="s">
        <v>1389</v>
      </c>
      <c r="K14" s="97"/>
      <c r="L14" s="97"/>
      <c r="M14" s="98"/>
      <c r="N14" s="97"/>
      <c r="O14" s="97"/>
      <c r="P14" s="88"/>
      <c r="Q14" s="96"/>
      <c r="R14" s="96"/>
      <c r="S14" s="96"/>
      <c r="T14" s="88">
        <f t="shared" si="0"/>
        <v>0</v>
      </c>
      <c r="U14" s="97"/>
      <c r="V14" s="100"/>
      <c r="W14" s="101"/>
      <c r="X14" s="101"/>
      <c r="Y14" s="101"/>
      <c r="Z14" s="101"/>
      <c r="AA14" s="101"/>
      <c r="AB14" s="101"/>
      <c r="AC14" s="101"/>
      <c r="AD14" s="97"/>
      <c r="AE14" s="100"/>
      <c r="AF14" s="100"/>
      <c r="AG14" s="97"/>
      <c r="AH14" s="97"/>
      <c r="AI14" s="97"/>
      <c r="AJ14" s="97"/>
      <c r="AK14" s="97"/>
      <c r="AL14" s="97"/>
      <c r="AM14" s="97"/>
      <c r="AN14" s="97"/>
      <c r="AO14" s="97"/>
      <c r="AP14" s="100"/>
      <c r="AQ14" s="100"/>
      <c r="AR14" s="97"/>
    </row>
    <row r="15" spans="2:44">
      <c r="B15" s="69" t="s">
        <v>4355</v>
      </c>
      <c r="C15" s="81">
        <v>12</v>
      </c>
      <c r="D15" s="82">
        <v>252610146</v>
      </c>
      <c r="E15" s="83" t="s">
        <v>1775</v>
      </c>
      <c r="F15" s="84" t="s">
        <v>1776</v>
      </c>
      <c r="G15" s="104" t="s">
        <v>1776</v>
      </c>
      <c r="H15" s="104" t="s">
        <v>4387</v>
      </c>
      <c r="I15" s="104">
        <v>3084436220</v>
      </c>
      <c r="J15" s="86" t="s">
        <v>1775</v>
      </c>
      <c r="K15" s="104" t="s">
        <v>89</v>
      </c>
      <c r="L15" s="104" t="s">
        <v>4388</v>
      </c>
      <c r="M15" s="105">
        <v>39804</v>
      </c>
      <c r="N15" s="104" t="s">
        <v>4307</v>
      </c>
      <c r="O15" s="104" t="s">
        <v>4344</v>
      </c>
      <c r="P15" s="99">
        <v>1</v>
      </c>
      <c r="Q15" s="99">
        <v>2</v>
      </c>
      <c r="R15" s="99">
        <v>0</v>
      </c>
      <c r="S15" s="99">
        <v>0</v>
      </c>
      <c r="T15" s="88">
        <f t="shared" si="0"/>
        <v>2</v>
      </c>
      <c r="U15" s="104" t="s">
        <v>4389</v>
      </c>
      <c r="V15" s="99" t="s">
        <v>4358</v>
      </c>
      <c r="W15" s="108" t="s">
        <v>4390</v>
      </c>
      <c r="X15" s="108" t="s">
        <v>4391</v>
      </c>
      <c r="Y15" s="108" t="s">
        <v>4392</v>
      </c>
      <c r="Z15" s="108" t="s">
        <v>4393</v>
      </c>
      <c r="AA15" s="108" t="s">
        <v>4394</v>
      </c>
      <c r="AB15" s="108" t="s">
        <v>4395</v>
      </c>
      <c r="AC15" s="108">
        <v>40215</v>
      </c>
      <c r="AD15" s="104" t="s">
        <v>4396</v>
      </c>
      <c r="AE15" s="99" t="s">
        <v>4397</v>
      </c>
      <c r="AF15" s="99" t="s">
        <v>4398</v>
      </c>
      <c r="AG15" s="104" t="s">
        <v>4399</v>
      </c>
      <c r="AH15" s="104" t="s">
        <v>4400</v>
      </c>
      <c r="AI15" s="104" t="s">
        <v>4401</v>
      </c>
      <c r="AJ15" s="104" t="s">
        <v>4401</v>
      </c>
      <c r="AK15" s="104" t="s">
        <v>4402</v>
      </c>
      <c r="AL15" s="106"/>
      <c r="AM15" s="104" t="s">
        <v>4372</v>
      </c>
      <c r="AN15" s="104" t="s">
        <v>4403</v>
      </c>
      <c r="AO15" s="104"/>
      <c r="AP15" s="99">
        <v>155</v>
      </c>
      <c r="AQ15" s="99">
        <v>50</v>
      </c>
      <c r="AR15" s="104" t="s">
        <v>4340</v>
      </c>
    </row>
    <row r="16" s="66" customFormat="1" spans="2:44">
      <c r="B16" s="91" t="s">
        <v>4304</v>
      </c>
      <c r="C16" s="92">
        <v>13</v>
      </c>
      <c r="D16" s="93">
        <v>252610529</v>
      </c>
      <c r="E16" s="94" t="s">
        <v>1678</v>
      </c>
      <c r="F16" s="95" t="s">
        <v>1679</v>
      </c>
      <c r="G16" s="96" t="s">
        <v>1679</v>
      </c>
      <c r="H16" s="97"/>
      <c r="I16" s="96" t="s">
        <v>1678</v>
      </c>
      <c r="J16" s="96" t="s">
        <v>1678</v>
      </c>
      <c r="K16" s="97"/>
      <c r="L16" s="97"/>
      <c r="M16" s="98"/>
      <c r="N16" s="97"/>
      <c r="O16" s="97"/>
      <c r="P16" s="88"/>
      <c r="Q16" s="96"/>
      <c r="R16" s="96"/>
      <c r="S16" s="96"/>
      <c r="T16" s="88">
        <f t="shared" si="0"/>
        <v>0</v>
      </c>
      <c r="U16" s="97"/>
      <c r="V16" s="100"/>
      <c r="W16" s="101"/>
      <c r="X16" s="101"/>
      <c r="Y16" s="101"/>
      <c r="Z16" s="101"/>
      <c r="AA16" s="101"/>
      <c r="AB16" s="101"/>
      <c r="AC16" s="101"/>
      <c r="AD16" s="97"/>
      <c r="AE16" s="100"/>
      <c r="AF16" s="100"/>
      <c r="AG16" s="97"/>
      <c r="AH16" s="97"/>
      <c r="AI16" s="97"/>
      <c r="AJ16" s="97"/>
      <c r="AK16" s="97"/>
      <c r="AL16" s="97"/>
      <c r="AM16" s="97"/>
      <c r="AN16" s="97"/>
      <c r="AO16" s="97"/>
      <c r="AP16" s="100"/>
      <c r="AQ16" s="100"/>
      <c r="AR16" s="97"/>
    </row>
    <row r="17" spans="2:44">
      <c r="B17" s="69" t="s">
        <v>4323</v>
      </c>
      <c r="C17" s="81">
        <v>14</v>
      </c>
      <c r="D17" s="82">
        <v>252610002</v>
      </c>
      <c r="E17" s="102" t="s">
        <v>4048</v>
      </c>
      <c r="F17" s="103" t="s">
        <v>4046</v>
      </c>
      <c r="G17" s="104" t="s">
        <v>4046</v>
      </c>
      <c r="H17" s="104" t="s">
        <v>4404</v>
      </c>
      <c r="I17" s="104" t="s">
        <v>4048</v>
      </c>
      <c r="J17" s="86" t="s">
        <v>4048</v>
      </c>
      <c r="K17" s="104" t="s">
        <v>90</v>
      </c>
      <c r="L17" s="104" t="s">
        <v>4343</v>
      </c>
      <c r="M17" s="105">
        <v>40073</v>
      </c>
      <c r="N17" s="104" t="s">
        <v>4328</v>
      </c>
      <c r="O17" s="104" t="s">
        <v>4329</v>
      </c>
      <c r="P17" s="99">
        <v>3</v>
      </c>
      <c r="Q17" s="99">
        <v>2</v>
      </c>
      <c r="R17" s="99">
        <v>1</v>
      </c>
      <c r="S17" s="99">
        <v>0</v>
      </c>
      <c r="T17" s="88">
        <f t="shared" si="0"/>
        <v>3</v>
      </c>
      <c r="U17" s="104" t="s">
        <v>4329</v>
      </c>
      <c r="V17" s="99">
        <v>0</v>
      </c>
      <c r="W17" s="108" t="s">
        <v>4405</v>
      </c>
      <c r="X17" s="108">
        <v>2</v>
      </c>
      <c r="Y17" s="108">
        <v>16</v>
      </c>
      <c r="Z17" s="108" t="s">
        <v>4406</v>
      </c>
      <c r="AA17" s="108" t="s">
        <v>4407</v>
      </c>
      <c r="AB17" s="108" t="s">
        <v>4408</v>
      </c>
      <c r="AC17" s="108">
        <v>40534</v>
      </c>
      <c r="AD17" s="104" t="s">
        <v>4409</v>
      </c>
      <c r="AE17" s="99" t="s">
        <v>4410</v>
      </c>
      <c r="AF17" s="99" t="s">
        <v>4411</v>
      </c>
      <c r="AG17" s="104" t="s">
        <v>4412</v>
      </c>
      <c r="AH17" s="104" t="s">
        <v>4413</v>
      </c>
      <c r="AI17" s="104" t="s">
        <v>4370</v>
      </c>
      <c r="AJ17" s="104" t="s">
        <v>4384</v>
      </c>
      <c r="AK17" s="104" t="s">
        <v>4414</v>
      </c>
      <c r="AL17" s="104" t="s">
        <v>4406</v>
      </c>
      <c r="AM17" s="104" t="s">
        <v>4338</v>
      </c>
      <c r="AN17" s="104" t="s">
        <v>3124</v>
      </c>
      <c r="AO17" s="104" t="s">
        <v>4406</v>
      </c>
      <c r="AP17" s="99">
        <v>154</v>
      </c>
      <c r="AQ17" s="99">
        <v>66</v>
      </c>
      <c r="AR17" s="104" t="s">
        <v>4415</v>
      </c>
    </row>
    <row r="18" spans="2:44">
      <c r="B18" s="69" t="s">
        <v>4324</v>
      </c>
      <c r="C18" s="81">
        <v>15</v>
      </c>
      <c r="D18" s="82">
        <v>252610530</v>
      </c>
      <c r="E18" s="83" t="s">
        <v>1877</v>
      </c>
      <c r="F18" s="84" t="s">
        <v>1878</v>
      </c>
      <c r="G18" s="85" t="s">
        <v>1878</v>
      </c>
      <c r="H18" s="85" t="s">
        <v>4416</v>
      </c>
      <c r="I18" s="85" t="s">
        <v>4049</v>
      </c>
      <c r="J18" s="86" t="s">
        <v>1877</v>
      </c>
      <c r="K18" s="85" t="s">
        <v>90</v>
      </c>
      <c r="L18" s="85" t="s">
        <v>4343</v>
      </c>
      <c r="M18" s="87">
        <v>40093</v>
      </c>
      <c r="N18" s="85" t="s">
        <v>4307</v>
      </c>
      <c r="O18" s="85" t="s">
        <v>4344</v>
      </c>
      <c r="P18" s="88">
        <v>2</v>
      </c>
      <c r="Q18" s="88">
        <v>2</v>
      </c>
      <c r="R18" s="88">
        <v>0</v>
      </c>
      <c r="S18" s="88">
        <v>0</v>
      </c>
      <c r="T18" s="88">
        <f t="shared" si="0"/>
        <v>2</v>
      </c>
      <c r="U18" s="85" t="s">
        <v>4417</v>
      </c>
      <c r="V18" s="88" t="s">
        <v>4330</v>
      </c>
      <c r="W18" s="109" t="s">
        <v>4418</v>
      </c>
      <c r="X18" s="109" t="s">
        <v>4419</v>
      </c>
      <c r="Y18" s="109">
        <v>18</v>
      </c>
      <c r="Z18" s="109" t="s">
        <v>4420</v>
      </c>
      <c r="AA18" s="109" t="s">
        <v>4420</v>
      </c>
      <c r="AB18" s="109" t="s">
        <v>4420</v>
      </c>
      <c r="AC18" s="109">
        <v>40125</v>
      </c>
      <c r="AD18" s="85" t="s">
        <v>4421</v>
      </c>
      <c r="AE18" s="88" t="s">
        <v>4422</v>
      </c>
      <c r="AF18" s="88" t="s">
        <v>4423</v>
      </c>
      <c r="AG18" s="85" t="s">
        <v>4424</v>
      </c>
      <c r="AH18" s="85" t="s">
        <v>4425</v>
      </c>
      <c r="AI18" s="85" t="s">
        <v>4370</v>
      </c>
      <c r="AJ18" s="85" t="s">
        <v>4370</v>
      </c>
      <c r="AK18" s="85" t="s">
        <v>4338</v>
      </c>
      <c r="AL18" s="85" t="s">
        <v>4426</v>
      </c>
      <c r="AM18" s="85" t="s">
        <v>4372</v>
      </c>
      <c r="AN18" s="85" t="s">
        <v>4427</v>
      </c>
      <c r="AO18" s="85" t="s">
        <v>4406</v>
      </c>
      <c r="AP18" s="88">
        <v>157</v>
      </c>
      <c r="AQ18" s="88">
        <v>42</v>
      </c>
      <c r="AR18" s="85" t="s">
        <v>4428</v>
      </c>
    </row>
    <row r="19" spans="2:44">
      <c r="B19" s="69" t="s">
        <v>4325</v>
      </c>
      <c r="C19" s="81">
        <v>16</v>
      </c>
      <c r="D19" s="82">
        <v>252610242</v>
      </c>
      <c r="E19" s="83" t="s">
        <v>1293</v>
      </c>
      <c r="F19" s="84" t="s">
        <v>1294</v>
      </c>
      <c r="G19" s="104" t="s">
        <v>4047</v>
      </c>
      <c r="H19" s="104" t="s">
        <v>4429</v>
      </c>
      <c r="I19" s="104" t="s">
        <v>1293</v>
      </c>
      <c r="J19" s="86" t="s">
        <v>1293</v>
      </c>
      <c r="K19" s="104" t="s">
        <v>89</v>
      </c>
      <c r="L19" s="104" t="s">
        <v>4327</v>
      </c>
      <c r="M19" s="105">
        <v>40137</v>
      </c>
      <c r="N19" s="104" t="s">
        <v>4307</v>
      </c>
      <c r="O19" s="104" t="s">
        <v>4308</v>
      </c>
      <c r="P19" s="99">
        <v>1</v>
      </c>
      <c r="Q19" s="99">
        <v>1</v>
      </c>
      <c r="R19" s="99">
        <v>4</v>
      </c>
      <c r="S19" s="99">
        <v>0</v>
      </c>
      <c r="T19" s="88">
        <f t="shared" si="0"/>
        <v>5</v>
      </c>
      <c r="U19" s="104" t="s">
        <v>4308</v>
      </c>
      <c r="V19" s="99">
        <v>0</v>
      </c>
      <c r="W19" s="108" t="s">
        <v>4430</v>
      </c>
      <c r="X19" s="108" t="s">
        <v>4431</v>
      </c>
      <c r="Y19" s="108" t="s">
        <v>4431</v>
      </c>
      <c r="Z19" s="108" t="s">
        <v>4432</v>
      </c>
      <c r="AA19" s="108" t="s">
        <v>4433</v>
      </c>
      <c r="AB19" s="108" t="s">
        <v>4434</v>
      </c>
      <c r="AC19" s="108">
        <v>40184</v>
      </c>
      <c r="AD19" s="104" t="s">
        <v>4435</v>
      </c>
      <c r="AE19" s="99" t="s">
        <v>4436</v>
      </c>
      <c r="AF19" s="99" t="s">
        <v>4314</v>
      </c>
      <c r="AG19" s="104" t="s">
        <v>4437</v>
      </c>
      <c r="AH19" s="104" t="s">
        <v>4438</v>
      </c>
      <c r="AI19" s="104" t="s">
        <v>4401</v>
      </c>
      <c r="AJ19" s="104" t="s">
        <v>4439</v>
      </c>
      <c r="AK19" s="104" t="s">
        <v>4319</v>
      </c>
      <c r="AL19" s="104" t="s">
        <v>4440</v>
      </c>
      <c r="AM19" s="104" t="s">
        <v>4441</v>
      </c>
      <c r="AN19" s="104" t="s">
        <v>4442</v>
      </c>
      <c r="AO19" s="106"/>
      <c r="AP19" s="99">
        <v>165</v>
      </c>
      <c r="AQ19" s="99">
        <v>50</v>
      </c>
      <c r="AR19" s="104" t="s">
        <v>4443</v>
      </c>
    </row>
    <row r="20" spans="2:44">
      <c r="B20" s="69" t="s">
        <v>4341</v>
      </c>
      <c r="C20" s="81">
        <v>17</v>
      </c>
      <c r="D20" s="82">
        <v>252610003</v>
      </c>
      <c r="E20" s="102" t="s">
        <v>1203</v>
      </c>
      <c r="F20" s="103" t="s">
        <v>1204</v>
      </c>
      <c r="G20" s="85" t="s">
        <v>1204</v>
      </c>
      <c r="H20" s="85" t="s">
        <v>4444</v>
      </c>
      <c r="I20" s="85" t="s">
        <v>1203</v>
      </c>
      <c r="J20" s="86" t="s">
        <v>1203</v>
      </c>
      <c r="K20" s="85" t="s">
        <v>89</v>
      </c>
      <c r="L20" s="85" t="s">
        <v>4445</v>
      </c>
      <c r="M20" s="87">
        <v>40084</v>
      </c>
      <c r="N20" s="85" t="s">
        <v>4307</v>
      </c>
      <c r="O20" s="85" t="s">
        <v>4446</v>
      </c>
      <c r="P20" s="88">
        <v>1</v>
      </c>
      <c r="Q20" s="88">
        <v>2</v>
      </c>
      <c r="R20" s="88">
        <v>0</v>
      </c>
      <c r="S20" s="88">
        <v>0</v>
      </c>
      <c r="T20" s="88">
        <f t="shared" si="0"/>
        <v>2</v>
      </c>
      <c r="U20" s="85" t="s">
        <v>4309</v>
      </c>
      <c r="V20" s="88">
        <v>0</v>
      </c>
      <c r="W20" s="109" t="s">
        <v>4447</v>
      </c>
      <c r="X20" s="109" t="s">
        <v>4392</v>
      </c>
      <c r="Y20" s="109" t="s">
        <v>4448</v>
      </c>
      <c r="Z20" s="109" t="s">
        <v>4449</v>
      </c>
      <c r="AA20" s="109" t="s">
        <v>4450</v>
      </c>
      <c r="AB20" s="109" t="s">
        <v>4451</v>
      </c>
      <c r="AC20" s="109">
        <v>40535</v>
      </c>
      <c r="AD20" s="85" t="s">
        <v>4452</v>
      </c>
      <c r="AE20" s="88" t="s">
        <v>4422</v>
      </c>
      <c r="AF20" s="88" t="s">
        <v>4453</v>
      </c>
      <c r="AG20" s="85" t="s">
        <v>4454</v>
      </c>
      <c r="AH20" s="85" t="s">
        <v>4455</v>
      </c>
      <c r="AI20" s="85" t="s">
        <v>4456</v>
      </c>
      <c r="AJ20" s="85" t="s">
        <v>4318</v>
      </c>
      <c r="AK20" s="85" t="s">
        <v>4337</v>
      </c>
      <c r="AL20" s="90"/>
      <c r="AM20" s="85" t="s">
        <v>4372</v>
      </c>
      <c r="AN20" s="85" t="s">
        <v>3248</v>
      </c>
      <c r="AO20" s="90"/>
      <c r="AP20" s="88">
        <v>168</v>
      </c>
      <c r="AQ20" s="88" t="s">
        <v>4457</v>
      </c>
      <c r="AR20" s="85" t="s">
        <v>4428</v>
      </c>
    </row>
    <row r="21" s="66" customFormat="1" spans="2:44">
      <c r="B21" s="91" t="s">
        <v>4304</v>
      </c>
      <c r="C21" s="92">
        <v>18</v>
      </c>
      <c r="D21" s="93">
        <v>252610385</v>
      </c>
      <c r="E21" s="94" t="s">
        <v>1879</v>
      </c>
      <c r="F21" s="95" t="s">
        <v>1880</v>
      </c>
      <c r="G21" s="96" t="s">
        <v>1880</v>
      </c>
      <c r="H21" s="97"/>
      <c r="I21" s="96" t="s">
        <v>1879</v>
      </c>
      <c r="J21" s="96" t="s">
        <v>1879</v>
      </c>
      <c r="K21" s="97"/>
      <c r="L21" s="97"/>
      <c r="M21" s="98"/>
      <c r="N21" s="97"/>
      <c r="O21" s="97"/>
      <c r="P21" s="99"/>
      <c r="Q21" s="96"/>
      <c r="R21" s="96"/>
      <c r="S21" s="96"/>
      <c r="T21" s="88">
        <f t="shared" si="0"/>
        <v>0</v>
      </c>
      <c r="U21" s="97"/>
      <c r="V21" s="100"/>
      <c r="W21" s="101"/>
      <c r="X21" s="101"/>
      <c r="Y21" s="101"/>
      <c r="Z21" s="101"/>
      <c r="AA21" s="101"/>
      <c r="AB21" s="101"/>
      <c r="AC21" s="101"/>
      <c r="AD21" s="97"/>
      <c r="AE21" s="100"/>
      <c r="AF21" s="100"/>
      <c r="AG21" s="97"/>
      <c r="AH21" s="97"/>
      <c r="AI21" s="97"/>
      <c r="AJ21" s="97"/>
      <c r="AK21" s="97"/>
      <c r="AL21" s="97"/>
      <c r="AM21" s="97"/>
      <c r="AN21" s="97"/>
      <c r="AO21" s="97"/>
      <c r="AP21" s="100"/>
      <c r="AQ21" s="100"/>
      <c r="AR21" s="97"/>
    </row>
    <row r="22" s="66" customFormat="1" spans="2:44">
      <c r="B22" s="91" t="s">
        <v>4354</v>
      </c>
      <c r="C22" s="92">
        <v>19</v>
      </c>
      <c r="D22" s="93">
        <v>252610435</v>
      </c>
      <c r="E22" s="94" t="s">
        <v>1391</v>
      </c>
      <c r="F22" s="95" t="s">
        <v>1392</v>
      </c>
      <c r="G22" s="96" t="s">
        <v>4050</v>
      </c>
      <c r="H22" s="97"/>
      <c r="I22" s="96" t="s">
        <v>1391</v>
      </c>
      <c r="J22" s="96" t="s">
        <v>1391</v>
      </c>
      <c r="K22" s="97"/>
      <c r="L22" s="97"/>
      <c r="M22" s="98"/>
      <c r="N22" s="97"/>
      <c r="O22" s="97"/>
      <c r="P22" s="88"/>
      <c r="Q22" s="96"/>
      <c r="R22" s="96"/>
      <c r="S22" s="96"/>
      <c r="T22" s="88">
        <f t="shared" si="0"/>
        <v>0</v>
      </c>
      <c r="U22" s="97"/>
      <c r="V22" s="100"/>
      <c r="W22" s="101"/>
      <c r="X22" s="101"/>
      <c r="Y22" s="101"/>
      <c r="Z22" s="101"/>
      <c r="AA22" s="101"/>
      <c r="AB22" s="101"/>
      <c r="AC22" s="101"/>
      <c r="AD22" s="97"/>
      <c r="AE22" s="100"/>
      <c r="AF22" s="100"/>
      <c r="AG22" s="97"/>
      <c r="AH22" s="97"/>
      <c r="AI22" s="97"/>
      <c r="AJ22" s="97"/>
      <c r="AK22" s="97"/>
      <c r="AL22" s="97"/>
      <c r="AM22" s="97"/>
      <c r="AN22" s="97"/>
      <c r="AO22" s="97"/>
      <c r="AP22" s="100"/>
      <c r="AQ22" s="100"/>
      <c r="AR22" s="97"/>
    </row>
    <row r="23" spans="2:44">
      <c r="B23" s="69" t="s">
        <v>4355</v>
      </c>
      <c r="C23" s="81">
        <v>20</v>
      </c>
      <c r="D23" s="82">
        <v>252610386</v>
      </c>
      <c r="E23" s="83" t="s">
        <v>1971</v>
      </c>
      <c r="F23" s="84" t="s">
        <v>1972</v>
      </c>
      <c r="G23" s="104" t="s">
        <v>1972</v>
      </c>
      <c r="H23" s="104" t="s">
        <v>4458</v>
      </c>
      <c r="I23" s="104" t="s">
        <v>1971</v>
      </c>
      <c r="J23" s="86" t="s">
        <v>1971</v>
      </c>
      <c r="K23" s="104" t="s">
        <v>89</v>
      </c>
      <c r="L23" s="104" t="s">
        <v>4459</v>
      </c>
      <c r="M23" s="105">
        <v>40050</v>
      </c>
      <c r="N23" s="104" t="s">
        <v>4460</v>
      </c>
      <c r="O23" s="104" t="s">
        <v>4461</v>
      </c>
      <c r="P23" s="99">
        <v>2</v>
      </c>
      <c r="Q23" s="99">
        <v>3</v>
      </c>
      <c r="R23" s="99">
        <v>0</v>
      </c>
      <c r="S23" s="99">
        <v>0</v>
      </c>
      <c r="T23" s="88">
        <f t="shared" si="0"/>
        <v>3</v>
      </c>
      <c r="U23" s="104" t="s">
        <v>4462</v>
      </c>
      <c r="V23" s="99" t="s">
        <v>4358</v>
      </c>
      <c r="W23" s="108" t="s">
        <v>4463</v>
      </c>
      <c r="X23" s="108" t="s">
        <v>4464</v>
      </c>
      <c r="Y23" s="108">
        <v>10</v>
      </c>
      <c r="Z23" s="108" t="s">
        <v>4465</v>
      </c>
      <c r="AA23" s="108" t="s">
        <v>4466</v>
      </c>
      <c r="AB23" s="108" t="s">
        <v>4467</v>
      </c>
      <c r="AC23" s="108">
        <v>40216</v>
      </c>
      <c r="AD23" s="104" t="s">
        <v>4468</v>
      </c>
      <c r="AE23" s="99" t="s">
        <v>4380</v>
      </c>
      <c r="AF23" s="99" t="s">
        <v>4469</v>
      </c>
      <c r="AG23" s="104" t="s">
        <v>4470</v>
      </c>
      <c r="AH23" s="104" t="s">
        <v>4471</v>
      </c>
      <c r="AI23" s="104" t="s">
        <v>4472</v>
      </c>
      <c r="AJ23" s="104" t="s">
        <v>4473</v>
      </c>
      <c r="AK23" s="104" t="s">
        <v>4337</v>
      </c>
      <c r="AL23" s="104" t="s">
        <v>4474</v>
      </c>
      <c r="AM23" s="104" t="s">
        <v>4372</v>
      </c>
      <c r="AN23" s="104" t="s">
        <v>4385</v>
      </c>
      <c r="AO23" s="104">
        <v>0</v>
      </c>
      <c r="AP23" s="99">
        <v>167</v>
      </c>
      <c r="AQ23" s="99">
        <v>42</v>
      </c>
      <c r="AR23" s="104" t="s">
        <v>4428</v>
      </c>
    </row>
    <row r="24" spans="2:44">
      <c r="B24" s="69" t="s">
        <v>4373</v>
      </c>
      <c r="C24" s="81">
        <v>21</v>
      </c>
      <c r="D24" s="82">
        <v>252610483</v>
      </c>
      <c r="E24" s="83" t="s">
        <v>1486</v>
      </c>
      <c r="F24" s="84" t="s">
        <v>1487</v>
      </c>
      <c r="G24" s="85" t="s">
        <v>1487</v>
      </c>
      <c r="H24" s="85" t="s">
        <v>4475</v>
      </c>
      <c r="I24" s="85" t="s">
        <v>1486</v>
      </c>
      <c r="J24" s="86" t="s">
        <v>1486</v>
      </c>
      <c r="K24" s="85" t="s">
        <v>89</v>
      </c>
      <c r="L24" s="85" t="s">
        <v>4357</v>
      </c>
      <c r="M24" s="87">
        <v>40014</v>
      </c>
      <c r="N24" s="85" t="s">
        <v>4307</v>
      </c>
      <c r="O24" s="85" t="s">
        <v>4344</v>
      </c>
      <c r="P24" s="88">
        <v>3</v>
      </c>
      <c r="Q24" s="88">
        <v>2</v>
      </c>
      <c r="R24" s="88">
        <v>0</v>
      </c>
      <c r="S24" s="88">
        <v>0</v>
      </c>
      <c r="T24" s="88">
        <f t="shared" si="0"/>
        <v>2</v>
      </c>
      <c r="U24" s="85" t="s">
        <v>4309</v>
      </c>
      <c r="V24" s="88" t="s">
        <v>4330</v>
      </c>
      <c r="W24" s="109" t="s">
        <v>4476</v>
      </c>
      <c r="X24" s="109" t="s">
        <v>4477</v>
      </c>
      <c r="Y24" s="109">
        <v>12</v>
      </c>
      <c r="Z24" s="109" t="s">
        <v>4478</v>
      </c>
      <c r="AA24" s="109" t="s">
        <v>4363</v>
      </c>
      <c r="AB24" s="109" t="s">
        <v>4479</v>
      </c>
      <c r="AC24" s="109">
        <v>40534</v>
      </c>
      <c r="AD24" s="85" t="s">
        <v>4480</v>
      </c>
      <c r="AE24" s="88" t="s">
        <v>4481</v>
      </c>
      <c r="AF24" s="88" t="s">
        <v>4482</v>
      </c>
      <c r="AG24" s="85" t="s">
        <v>4483</v>
      </c>
      <c r="AH24" s="85" t="s">
        <v>4484</v>
      </c>
      <c r="AI24" s="85" t="s">
        <v>4318</v>
      </c>
      <c r="AJ24" s="85" t="s">
        <v>4485</v>
      </c>
      <c r="AK24" s="85" t="s">
        <v>4320</v>
      </c>
      <c r="AL24" s="85" t="s">
        <v>4440</v>
      </c>
      <c r="AM24" s="85" t="s">
        <v>4338</v>
      </c>
      <c r="AN24" s="85" t="s">
        <v>4486</v>
      </c>
      <c r="AO24" s="85">
        <v>0</v>
      </c>
      <c r="AP24" s="88">
        <v>168</v>
      </c>
      <c r="AQ24" s="88">
        <v>65</v>
      </c>
      <c r="AR24" s="85" t="s">
        <v>4415</v>
      </c>
    </row>
    <row r="25" spans="2:44">
      <c r="B25" s="69" t="s">
        <v>4373</v>
      </c>
      <c r="C25" s="81">
        <v>22</v>
      </c>
      <c r="D25" s="82">
        <v>252610531</v>
      </c>
      <c r="E25" s="83" t="s">
        <v>1488</v>
      </c>
      <c r="F25" s="84" t="s">
        <v>1489</v>
      </c>
      <c r="G25" s="104" t="s">
        <v>4052</v>
      </c>
      <c r="H25" s="104" t="s">
        <v>4487</v>
      </c>
      <c r="I25" s="104" t="s">
        <v>1488</v>
      </c>
      <c r="J25" s="86" t="s">
        <v>1488</v>
      </c>
      <c r="K25" s="104" t="s">
        <v>89</v>
      </c>
      <c r="L25" s="104" t="s">
        <v>4488</v>
      </c>
      <c r="M25" s="105">
        <v>39942</v>
      </c>
      <c r="N25" s="104" t="s">
        <v>4328</v>
      </c>
      <c r="O25" s="104" t="s">
        <v>4489</v>
      </c>
      <c r="P25" s="99">
        <v>3</v>
      </c>
      <c r="Q25" s="99">
        <v>2</v>
      </c>
      <c r="R25" s="99">
        <v>0</v>
      </c>
      <c r="S25" s="99">
        <v>0</v>
      </c>
      <c r="T25" s="88">
        <f t="shared" si="0"/>
        <v>2</v>
      </c>
      <c r="U25" s="104" t="s">
        <v>4490</v>
      </c>
      <c r="V25" s="99">
        <v>0</v>
      </c>
      <c r="W25" s="108" t="s">
        <v>4491</v>
      </c>
      <c r="X25" s="108" t="s">
        <v>4492</v>
      </c>
      <c r="Y25" s="108">
        <v>35</v>
      </c>
      <c r="Z25" s="108" t="s">
        <v>4493</v>
      </c>
      <c r="AA25" s="108" t="s">
        <v>4494</v>
      </c>
      <c r="AB25" s="108" t="s">
        <v>4408</v>
      </c>
      <c r="AC25" s="108">
        <v>40534</v>
      </c>
      <c r="AD25" s="104" t="s">
        <v>4495</v>
      </c>
      <c r="AE25" s="99" t="s">
        <v>4496</v>
      </c>
      <c r="AF25" s="99" t="s">
        <v>4334</v>
      </c>
      <c r="AG25" s="104" t="s">
        <v>4497</v>
      </c>
      <c r="AH25" s="104" t="s">
        <v>4498</v>
      </c>
      <c r="AI25" s="104" t="s">
        <v>4318</v>
      </c>
      <c r="AJ25" s="104" t="s">
        <v>4384</v>
      </c>
      <c r="AK25" s="104" t="s">
        <v>4337</v>
      </c>
      <c r="AL25" s="104" t="s">
        <v>4406</v>
      </c>
      <c r="AM25" s="104" t="s">
        <v>4338</v>
      </c>
      <c r="AN25" s="104" t="s">
        <v>3124</v>
      </c>
      <c r="AO25" s="104" t="s">
        <v>4406</v>
      </c>
      <c r="AP25" s="99">
        <v>160</v>
      </c>
      <c r="AQ25" s="99">
        <v>44</v>
      </c>
      <c r="AR25" s="104" t="s">
        <v>4322</v>
      </c>
    </row>
    <row r="26" s="66" customFormat="1" spans="2:44">
      <c r="B26" s="91" t="s">
        <v>4386</v>
      </c>
      <c r="C26" s="92">
        <v>23</v>
      </c>
      <c r="D26" s="93">
        <v>252610532</v>
      </c>
      <c r="E26" s="94" t="s">
        <v>1580</v>
      </c>
      <c r="F26" s="95" t="s">
        <v>1581</v>
      </c>
      <c r="G26" s="96" t="s">
        <v>1581</v>
      </c>
      <c r="H26" s="97"/>
      <c r="I26" s="96" t="s">
        <v>1580</v>
      </c>
      <c r="J26" s="96" t="s">
        <v>1580</v>
      </c>
      <c r="K26" s="97"/>
      <c r="L26" s="97"/>
      <c r="M26" s="98"/>
      <c r="N26" s="97"/>
      <c r="O26" s="97"/>
      <c r="P26" s="88"/>
      <c r="Q26" s="96"/>
      <c r="R26" s="96"/>
      <c r="S26" s="96"/>
      <c r="T26" s="88">
        <f t="shared" si="0"/>
        <v>0</v>
      </c>
      <c r="U26" s="97"/>
      <c r="V26" s="100"/>
      <c r="W26" s="101"/>
      <c r="X26" s="101"/>
      <c r="Y26" s="101"/>
      <c r="Z26" s="101"/>
      <c r="AA26" s="101"/>
      <c r="AB26" s="101"/>
      <c r="AC26" s="101"/>
      <c r="AD26" s="97"/>
      <c r="AE26" s="100"/>
      <c r="AF26" s="100"/>
      <c r="AG26" s="97"/>
      <c r="AH26" s="97"/>
      <c r="AI26" s="97"/>
      <c r="AJ26" s="97"/>
      <c r="AK26" s="97"/>
      <c r="AL26" s="97"/>
      <c r="AM26" s="97"/>
      <c r="AN26" s="97"/>
      <c r="AO26" s="97"/>
      <c r="AP26" s="100"/>
      <c r="AQ26" s="100"/>
      <c r="AR26" s="97"/>
    </row>
    <row r="27" s="66" customFormat="1" spans="2:44">
      <c r="B27" s="91" t="s">
        <v>4355</v>
      </c>
      <c r="C27" s="92">
        <v>24</v>
      </c>
      <c r="D27" s="93">
        <v>252610193</v>
      </c>
      <c r="E27" s="94" t="s">
        <v>1490</v>
      </c>
      <c r="F27" s="95" t="s">
        <v>1491</v>
      </c>
      <c r="G27" s="96" t="s">
        <v>1491</v>
      </c>
      <c r="H27" s="97"/>
      <c r="I27" s="96" t="s">
        <v>1490</v>
      </c>
      <c r="J27" s="96" t="s">
        <v>1490</v>
      </c>
      <c r="K27" s="97"/>
      <c r="L27" s="97"/>
      <c r="M27" s="98"/>
      <c r="N27" s="97"/>
      <c r="O27" s="97"/>
      <c r="P27" s="99"/>
      <c r="Q27" s="96"/>
      <c r="R27" s="96"/>
      <c r="S27" s="96"/>
      <c r="T27" s="88">
        <f t="shared" si="0"/>
        <v>0</v>
      </c>
      <c r="U27" s="97"/>
      <c r="V27" s="100"/>
      <c r="W27" s="101"/>
      <c r="X27" s="101"/>
      <c r="Y27" s="101"/>
      <c r="Z27" s="101"/>
      <c r="AA27" s="101"/>
      <c r="AB27" s="101"/>
      <c r="AC27" s="101"/>
      <c r="AD27" s="97"/>
      <c r="AE27" s="100"/>
      <c r="AF27" s="100"/>
      <c r="AG27" s="97"/>
      <c r="AH27" s="97"/>
      <c r="AI27" s="97"/>
      <c r="AJ27" s="97"/>
      <c r="AK27" s="97"/>
      <c r="AL27" s="97"/>
      <c r="AM27" s="97"/>
      <c r="AN27" s="97"/>
      <c r="AO27" s="97"/>
      <c r="AP27" s="100"/>
      <c r="AQ27" s="100"/>
      <c r="AR27" s="97"/>
    </row>
    <row r="28" spans="2:44">
      <c r="B28" s="69" t="s">
        <v>4325</v>
      </c>
      <c r="C28" s="81">
        <v>25</v>
      </c>
      <c r="D28" s="82">
        <v>252610004</v>
      </c>
      <c r="E28" s="102" t="s">
        <v>1680</v>
      </c>
      <c r="F28" s="103" t="s">
        <v>1681</v>
      </c>
      <c r="G28" s="104" t="s">
        <v>1681</v>
      </c>
      <c r="H28" s="104" t="s">
        <v>4499</v>
      </c>
      <c r="I28" s="104" t="s">
        <v>1680</v>
      </c>
      <c r="J28" s="86" t="s">
        <v>1680</v>
      </c>
      <c r="K28" s="104" t="s">
        <v>89</v>
      </c>
      <c r="L28" s="104" t="s">
        <v>4327</v>
      </c>
      <c r="M28" s="105">
        <v>40082</v>
      </c>
      <c r="N28" s="104" t="s">
        <v>4460</v>
      </c>
      <c r="O28" s="104" t="s">
        <v>4344</v>
      </c>
      <c r="P28" s="99">
        <v>1</v>
      </c>
      <c r="Q28" s="104"/>
      <c r="R28" s="104"/>
      <c r="S28" s="104"/>
      <c r="T28" s="88">
        <f t="shared" si="0"/>
        <v>0</v>
      </c>
      <c r="U28" s="104" t="s">
        <v>4308</v>
      </c>
      <c r="V28" s="99">
        <v>0</v>
      </c>
      <c r="W28" s="108" t="s">
        <v>4500</v>
      </c>
      <c r="X28" s="108" t="s">
        <v>4376</v>
      </c>
      <c r="Y28" s="108">
        <v>26</v>
      </c>
      <c r="Z28" s="108" t="s">
        <v>4494</v>
      </c>
      <c r="AA28" s="108" t="s">
        <v>4407</v>
      </c>
      <c r="AB28" s="108" t="s">
        <v>4408</v>
      </c>
      <c r="AC28" s="108">
        <v>40534</v>
      </c>
      <c r="AD28" s="104" t="s">
        <v>4501</v>
      </c>
      <c r="AE28" s="99" t="s">
        <v>4410</v>
      </c>
      <c r="AF28" s="99" t="s">
        <v>4502</v>
      </c>
      <c r="AG28" s="104" t="s">
        <v>4503</v>
      </c>
      <c r="AH28" s="104" t="s">
        <v>4504</v>
      </c>
      <c r="AI28" s="104" t="s">
        <v>4318</v>
      </c>
      <c r="AJ28" s="104" t="s">
        <v>4384</v>
      </c>
      <c r="AK28" s="104" t="s">
        <v>4320</v>
      </c>
      <c r="AL28" s="106"/>
      <c r="AM28" s="104" t="s">
        <v>4372</v>
      </c>
      <c r="AN28" s="104" t="s">
        <v>4505</v>
      </c>
      <c r="AO28" s="104" t="s">
        <v>4506</v>
      </c>
      <c r="AP28" s="99">
        <v>165</v>
      </c>
      <c r="AQ28" s="99">
        <v>44</v>
      </c>
      <c r="AR28" s="104" t="s">
        <v>4322</v>
      </c>
    </row>
    <row r="29" s="66" customFormat="1" spans="2:44">
      <c r="B29" s="91" t="s">
        <v>4323</v>
      </c>
      <c r="C29" s="92">
        <v>26</v>
      </c>
      <c r="D29" s="93">
        <v>252610243</v>
      </c>
      <c r="E29" s="94" t="s">
        <v>1881</v>
      </c>
      <c r="F29" s="95" t="s">
        <v>1882</v>
      </c>
      <c r="G29" s="96" t="s">
        <v>4054</v>
      </c>
      <c r="H29" s="97"/>
      <c r="I29" s="96" t="s">
        <v>1881</v>
      </c>
      <c r="J29" s="96" t="s">
        <v>1881</v>
      </c>
      <c r="K29" s="97"/>
      <c r="L29" s="97"/>
      <c r="M29" s="98"/>
      <c r="N29" s="97"/>
      <c r="O29" s="97"/>
      <c r="P29" s="88"/>
      <c r="Q29" s="96"/>
      <c r="R29" s="96"/>
      <c r="S29" s="96"/>
      <c r="T29" s="88">
        <f t="shared" si="0"/>
        <v>0</v>
      </c>
      <c r="U29" s="97"/>
      <c r="V29" s="100"/>
      <c r="W29" s="101"/>
      <c r="X29" s="101"/>
      <c r="Y29" s="101"/>
      <c r="Z29" s="101"/>
      <c r="AA29" s="101"/>
      <c r="AB29" s="101"/>
      <c r="AC29" s="101"/>
      <c r="AD29" s="97"/>
      <c r="AE29" s="100"/>
      <c r="AF29" s="100"/>
      <c r="AG29" s="97"/>
      <c r="AH29" s="97"/>
      <c r="AI29" s="97"/>
      <c r="AJ29" s="97"/>
      <c r="AK29" s="97"/>
      <c r="AL29" s="97"/>
      <c r="AM29" s="97"/>
      <c r="AN29" s="97"/>
      <c r="AO29" s="97"/>
      <c r="AP29" s="100"/>
      <c r="AQ29" s="100"/>
      <c r="AR29" s="97"/>
    </row>
    <row r="30" s="66" customFormat="1" spans="2:44">
      <c r="B30" s="91" t="s">
        <v>4354</v>
      </c>
      <c r="C30" s="92">
        <v>27</v>
      </c>
      <c r="D30" s="93">
        <v>252610050</v>
      </c>
      <c r="E30" s="94" t="s">
        <v>1205</v>
      </c>
      <c r="F30" s="95" t="s">
        <v>1206</v>
      </c>
      <c r="G30" s="96" t="s">
        <v>1206</v>
      </c>
      <c r="H30" s="97"/>
      <c r="I30" s="96" t="s">
        <v>1205</v>
      </c>
      <c r="J30" s="96" t="s">
        <v>1205</v>
      </c>
      <c r="K30" s="97"/>
      <c r="L30" s="97"/>
      <c r="M30" s="98"/>
      <c r="N30" s="97"/>
      <c r="O30" s="97"/>
      <c r="P30" s="99"/>
      <c r="Q30" s="96"/>
      <c r="R30" s="96"/>
      <c r="S30" s="96"/>
      <c r="T30" s="88">
        <f t="shared" si="0"/>
        <v>0</v>
      </c>
      <c r="U30" s="97"/>
      <c r="V30" s="100"/>
      <c r="W30" s="101"/>
      <c r="X30" s="101"/>
      <c r="Y30" s="101"/>
      <c r="Z30" s="101"/>
      <c r="AA30" s="101"/>
      <c r="AB30" s="101"/>
      <c r="AC30" s="101"/>
      <c r="AD30" s="97"/>
      <c r="AE30" s="100"/>
      <c r="AF30" s="100"/>
      <c r="AG30" s="97"/>
      <c r="AH30" s="97"/>
      <c r="AI30" s="97"/>
      <c r="AJ30" s="97"/>
      <c r="AK30" s="97"/>
      <c r="AL30" s="97"/>
      <c r="AM30" s="97"/>
      <c r="AN30" s="97"/>
      <c r="AO30" s="97"/>
      <c r="AP30" s="100"/>
      <c r="AQ30" s="100"/>
      <c r="AR30" s="97"/>
    </row>
    <row r="31" spans="2:44">
      <c r="B31" s="69" t="s">
        <v>4325</v>
      </c>
      <c r="C31" s="81">
        <v>28</v>
      </c>
      <c r="D31" s="82">
        <v>252610005</v>
      </c>
      <c r="E31" s="102" t="s">
        <v>1492</v>
      </c>
      <c r="F31" s="103" t="s">
        <v>1493</v>
      </c>
      <c r="G31" s="85" t="s">
        <v>1493</v>
      </c>
      <c r="H31" s="85" t="s">
        <v>4507</v>
      </c>
      <c r="I31" s="85" t="s">
        <v>1492</v>
      </c>
      <c r="J31" s="86" t="s">
        <v>1492</v>
      </c>
      <c r="K31" s="85" t="s">
        <v>89</v>
      </c>
      <c r="L31" s="85" t="s">
        <v>4343</v>
      </c>
      <c r="M31" s="87">
        <v>40179</v>
      </c>
      <c r="N31" s="85" t="s">
        <v>4307</v>
      </c>
      <c r="O31" s="85" t="s">
        <v>4344</v>
      </c>
      <c r="P31" s="88">
        <v>1</v>
      </c>
      <c r="Q31" s="88">
        <v>2</v>
      </c>
      <c r="R31" s="88">
        <v>0</v>
      </c>
      <c r="S31" s="88">
        <v>0</v>
      </c>
      <c r="T31" s="88">
        <f t="shared" si="0"/>
        <v>2</v>
      </c>
      <c r="U31" s="85" t="s">
        <v>4309</v>
      </c>
      <c r="V31" s="88">
        <v>0</v>
      </c>
      <c r="W31" s="109" t="s">
        <v>4508</v>
      </c>
      <c r="X31" s="109" t="s">
        <v>4392</v>
      </c>
      <c r="Y31" s="109" t="s">
        <v>4509</v>
      </c>
      <c r="Z31" s="109" t="s">
        <v>4510</v>
      </c>
      <c r="AA31" s="109" t="s">
        <v>4511</v>
      </c>
      <c r="AB31" s="109" t="s">
        <v>4511</v>
      </c>
      <c r="AC31" s="109">
        <v>40215</v>
      </c>
      <c r="AD31" s="85" t="s">
        <v>4512</v>
      </c>
      <c r="AE31" s="88" t="s">
        <v>4313</v>
      </c>
      <c r="AF31" s="88">
        <v>4</v>
      </c>
      <c r="AG31" s="85" t="s">
        <v>4513</v>
      </c>
      <c r="AH31" s="85" t="s">
        <v>4514</v>
      </c>
      <c r="AI31" s="85" t="s">
        <v>4515</v>
      </c>
      <c r="AJ31" s="85" t="s">
        <v>4370</v>
      </c>
      <c r="AK31" s="85" t="s">
        <v>4319</v>
      </c>
      <c r="AL31" s="85" t="s">
        <v>4406</v>
      </c>
      <c r="AM31" s="85" t="s">
        <v>4338</v>
      </c>
      <c r="AN31" s="85" t="s">
        <v>4516</v>
      </c>
      <c r="AO31" s="85"/>
      <c r="AP31" s="88">
        <v>166</v>
      </c>
      <c r="AQ31" s="88">
        <v>47</v>
      </c>
      <c r="AR31" s="85" t="s">
        <v>4517</v>
      </c>
    </row>
    <row r="32" spans="2:44">
      <c r="B32" s="69" t="s">
        <v>4324</v>
      </c>
      <c r="C32" s="81">
        <v>29</v>
      </c>
      <c r="D32" s="82">
        <v>252610098</v>
      </c>
      <c r="E32" s="83" t="s">
        <v>1682</v>
      </c>
      <c r="F32" s="84" t="s">
        <v>1683</v>
      </c>
      <c r="G32" s="104" t="s">
        <v>1683</v>
      </c>
      <c r="H32" s="104" t="s">
        <v>4518</v>
      </c>
      <c r="I32" s="104" t="s">
        <v>1682</v>
      </c>
      <c r="J32" s="86" t="s">
        <v>1682</v>
      </c>
      <c r="K32" s="104" t="s">
        <v>90</v>
      </c>
      <c r="L32" s="104" t="s">
        <v>4327</v>
      </c>
      <c r="M32" s="105">
        <v>40141</v>
      </c>
      <c r="N32" s="104" t="s">
        <v>4307</v>
      </c>
      <c r="O32" s="104" t="s">
        <v>4344</v>
      </c>
      <c r="P32" s="99">
        <v>1</v>
      </c>
      <c r="Q32" s="99">
        <v>2</v>
      </c>
      <c r="R32" s="99">
        <v>0</v>
      </c>
      <c r="S32" s="99">
        <v>0</v>
      </c>
      <c r="T32" s="88">
        <f t="shared" si="0"/>
        <v>2</v>
      </c>
      <c r="U32" s="104" t="s">
        <v>4309</v>
      </c>
      <c r="V32" s="99" t="s">
        <v>4310</v>
      </c>
      <c r="W32" s="108" t="s">
        <v>4519</v>
      </c>
      <c r="X32" s="108" t="s">
        <v>4492</v>
      </c>
      <c r="Y32" s="108" t="s">
        <v>4477</v>
      </c>
      <c r="Z32" s="108" t="s">
        <v>4520</v>
      </c>
      <c r="AA32" s="108" t="s">
        <v>4521</v>
      </c>
      <c r="AB32" s="108" t="s">
        <v>4395</v>
      </c>
      <c r="AC32" s="108">
        <v>40214</v>
      </c>
      <c r="AD32" s="104" t="s">
        <v>4522</v>
      </c>
      <c r="AE32" s="99" t="s">
        <v>4436</v>
      </c>
      <c r="AF32" s="99" t="s">
        <v>4381</v>
      </c>
      <c r="AG32" s="104" t="s">
        <v>4523</v>
      </c>
      <c r="AH32" s="104" t="s">
        <v>4524</v>
      </c>
      <c r="AI32" s="104" t="s">
        <v>4525</v>
      </c>
      <c r="AJ32" s="104" t="s">
        <v>4515</v>
      </c>
      <c r="AK32" s="104" t="s">
        <v>4337</v>
      </c>
      <c r="AL32" s="104" t="s">
        <v>4526</v>
      </c>
      <c r="AM32" s="104" t="s">
        <v>4372</v>
      </c>
      <c r="AN32" s="104" t="s">
        <v>4527</v>
      </c>
      <c r="AO32" s="104" t="s">
        <v>4528</v>
      </c>
      <c r="AP32" s="99">
        <v>145</v>
      </c>
      <c r="AQ32" s="99">
        <v>32</v>
      </c>
      <c r="AR32" s="104" t="s">
        <v>4340</v>
      </c>
    </row>
    <row r="33" spans="2:44">
      <c r="B33" s="69" t="s">
        <v>4324</v>
      </c>
      <c r="C33" s="81">
        <v>30</v>
      </c>
      <c r="D33" s="82">
        <v>252610099</v>
      </c>
      <c r="E33" s="83" t="s">
        <v>1777</v>
      </c>
      <c r="F33" s="84" t="s">
        <v>1778</v>
      </c>
      <c r="G33" s="85" t="s">
        <v>1778</v>
      </c>
      <c r="H33" s="85" t="s">
        <v>4529</v>
      </c>
      <c r="I33" s="85" t="s">
        <v>1777</v>
      </c>
      <c r="J33" s="86" t="s">
        <v>1777</v>
      </c>
      <c r="K33" s="85" t="s">
        <v>90</v>
      </c>
      <c r="L33" s="85" t="s">
        <v>4343</v>
      </c>
      <c r="M33" s="87">
        <v>40385</v>
      </c>
      <c r="N33" s="85" t="s">
        <v>4307</v>
      </c>
      <c r="O33" s="85" t="s">
        <v>4344</v>
      </c>
      <c r="P33" s="88">
        <v>1</v>
      </c>
      <c r="Q33" s="88">
        <v>2</v>
      </c>
      <c r="R33" s="88">
        <v>0</v>
      </c>
      <c r="S33" s="88">
        <v>0</v>
      </c>
      <c r="T33" s="88">
        <f t="shared" si="0"/>
        <v>2</v>
      </c>
      <c r="U33" s="85" t="s">
        <v>4344</v>
      </c>
      <c r="V33" s="88">
        <v>0</v>
      </c>
      <c r="W33" s="109" t="s">
        <v>4530</v>
      </c>
      <c r="X33" s="109" t="s">
        <v>4360</v>
      </c>
      <c r="Y33" s="109" t="s">
        <v>4464</v>
      </c>
      <c r="Z33" s="109" t="s">
        <v>4531</v>
      </c>
      <c r="AA33" s="109" t="s">
        <v>4532</v>
      </c>
      <c r="AB33" s="109" t="s">
        <v>4395</v>
      </c>
      <c r="AC33" s="109">
        <v>40212</v>
      </c>
      <c r="AD33" s="85" t="s">
        <v>4533</v>
      </c>
      <c r="AE33" s="88" t="s">
        <v>4422</v>
      </c>
      <c r="AF33" s="88" t="s">
        <v>4334</v>
      </c>
      <c r="AG33" s="85" t="s">
        <v>4534</v>
      </c>
      <c r="AH33" s="85" t="s">
        <v>4535</v>
      </c>
      <c r="AI33" s="85" t="s">
        <v>4439</v>
      </c>
      <c r="AJ33" s="85" t="s">
        <v>4439</v>
      </c>
      <c r="AK33" s="85" t="s">
        <v>4320</v>
      </c>
      <c r="AL33" s="90"/>
      <c r="AM33" s="85" t="s">
        <v>4372</v>
      </c>
      <c r="AN33" s="85" t="s">
        <v>4536</v>
      </c>
      <c r="AO33" s="85" t="s">
        <v>4537</v>
      </c>
      <c r="AP33" s="88">
        <v>154</v>
      </c>
      <c r="AQ33" s="88">
        <v>40</v>
      </c>
      <c r="AR33" s="85" t="s">
        <v>4538</v>
      </c>
    </row>
    <row r="34" s="66" customFormat="1" spans="2:44">
      <c r="B34" s="91" t="s">
        <v>4355</v>
      </c>
      <c r="C34" s="92">
        <v>31</v>
      </c>
      <c r="D34" s="93">
        <v>252610147</v>
      </c>
      <c r="E34" s="94" t="s">
        <v>910</v>
      </c>
      <c r="F34" s="95" t="s">
        <v>4055</v>
      </c>
      <c r="G34" s="96" t="s">
        <v>4055</v>
      </c>
      <c r="H34" s="97"/>
      <c r="I34" s="96" t="s">
        <v>910</v>
      </c>
      <c r="J34" s="96" t="s">
        <v>910</v>
      </c>
      <c r="K34" s="97"/>
      <c r="L34" s="97"/>
      <c r="M34" s="98"/>
      <c r="N34" s="97"/>
      <c r="O34" s="97"/>
      <c r="P34" s="99"/>
      <c r="Q34" s="96"/>
      <c r="R34" s="96"/>
      <c r="S34" s="96"/>
      <c r="T34" s="88">
        <f t="shared" si="0"/>
        <v>0</v>
      </c>
      <c r="U34" s="97"/>
      <c r="V34" s="100"/>
      <c r="W34" s="101"/>
      <c r="X34" s="101"/>
      <c r="Y34" s="101"/>
      <c r="Z34" s="101"/>
      <c r="AA34" s="101"/>
      <c r="AB34" s="101"/>
      <c r="AC34" s="101"/>
      <c r="AD34" s="97"/>
      <c r="AE34" s="100"/>
      <c r="AF34" s="100"/>
      <c r="AG34" s="97"/>
      <c r="AH34" s="97"/>
      <c r="AI34" s="97"/>
      <c r="AJ34" s="97"/>
      <c r="AK34" s="97"/>
      <c r="AL34" s="97"/>
      <c r="AM34" s="97"/>
      <c r="AN34" s="97"/>
      <c r="AO34" s="97"/>
      <c r="AP34" s="100"/>
      <c r="AQ34" s="100"/>
      <c r="AR34" s="97"/>
    </row>
    <row r="35" spans="2:44">
      <c r="B35" s="69" t="s">
        <v>4323</v>
      </c>
      <c r="C35" s="81">
        <v>32</v>
      </c>
      <c r="D35" s="82">
        <v>252610244</v>
      </c>
      <c r="E35" s="83" t="s">
        <v>1883</v>
      </c>
      <c r="F35" s="84" t="s">
        <v>1884</v>
      </c>
      <c r="G35" s="85" t="s">
        <v>4056</v>
      </c>
      <c r="H35" s="85" t="s">
        <v>4539</v>
      </c>
      <c r="I35" s="85" t="s">
        <v>1883</v>
      </c>
      <c r="J35" s="86" t="s">
        <v>1883</v>
      </c>
      <c r="K35" s="85" t="s">
        <v>90</v>
      </c>
      <c r="L35" s="85" t="s">
        <v>4540</v>
      </c>
      <c r="M35" s="87">
        <v>40265</v>
      </c>
      <c r="N35" s="85" t="s">
        <v>4541</v>
      </c>
      <c r="O35" s="85" t="s">
        <v>4344</v>
      </c>
      <c r="P35" s="88">
        <v>3</v>
      </c>
      <c r="Q35" s="88">
        <v>3</v>
      </c>
      <c r="R35" s="88">
        <v>0</v>
      </c>
      <c r="S35" s="88">
        <v>0</v>
      </c>
      <c r="T35" s="88">
        <f t="shared" si="0"/>
        <v>3</v>
      </c>
      <c r="U35" s="85" t="s">
        <v>4542</v>
      </c>
      <c r="V35" s="88">
        <v>0</v>
      </c>
      <c r="W35" s="109" t="s">
        <v>4543</v>
      </c>
      <c r="X35" s="109" t="s">
        <v>4544</v>
      </c>
      <c r="Y35" s="109" t="s">
        <v>4545</v>
      </c>
      <c r="Z35" s="109" t="s">
        <v>4546</v>
      </c>
      <c r="AA35" s="109" t="s">
        <v>4547</v>
      </c>
      <c r="AB35" s="109" t="s">
        <v>4364</v>
      </c>
      <c r="AC35" s="109">
        <v>40534</v>
      </c>
      <c r="AD35" s="85" t="s">
        <v>4548</v>
      </c>
      <c r="AE35" s="88" t="s">
        <v>4549</v>
      </c>
      <c r="AF35" s="88" t="s">
        <v>4411</v>
      </c>
      <c r="AG35" s="85" t="s">
        <v>4550</v>
      </c>
      <c r="AH35" s="85" t="s">
        <v>4551</v>
      </c>
      <c r="AI35" s="85" t="s">
        <v>4552</v>
      </c>
      <c r="AJ35" s="85" t="s">
        <v>4552</v>
      </c>
      <c r="AK35" s="85" t="s">
        <v>4553</v>
      </c>
      <c r="AL35" s="85" t="s">
        <v>4406</v>
      </c>
      <c r="AM35" s="85" t="s">
        <v>4372</v>
      </c>
      <c r="AN35" s="85" t="s">
        <v>4554</v>
      </c>
      <c r="AO35" s="85" t="s">
        <v>4555</v>
      </c>
      <c r="AP35" s="88">
        <v>158</v>
      </c>
      <c r="AQ35" s="88">
        <v>65</v>
      </c>
      <c r="AR35" s="85" t="s">
        <v>4415</v>
      </c>
    </row>
    <row r="36" spans="2:44">
      <c r="B36" s="69" t="s">
        <v>4355</v>
      </c>
      <c r="C36" s="81">
        <v>33</v>
      </c>
      <c r="D36" s="82">
        <v>252610148</v>
      </c>
      <c r="E36" s="83" t="s">
        <v>1973</v>
      </c>
      <c r="F36" s="84" t="s">
        <v>1974</v>
      </c>
      <c r="G36" s="104" t="s">
        <v>1974</v>
      </c>
      <c r="H36" s="104" t="s">
        <v>4556</v>
      </c>
      <c r="I36" s="104">
        <v>3107439880</v>
      </c>
      <c r="J36" s="86" t="s">
        <v>1973</v>
      </c>
      <c r="K36" s="104" t="s">
        <v>90</v>
      </c>
      <c r="L36" s="104" t="s">
        <v>4557</v>
      </c>
      <c r="M36" s="105">
        <v>40180</v>
      </c>
      <c r="N36" s="104" t="s">
        <v>4328</v>
      </c>
      <c r="O36" s="104" t="s">
        <v>4489</v>
      </c>
      <c r="P36" s="99">
        <v>3</v>
      </c>
      <c r="Q36" s="99">
        <v>5</v>
      </c>
      <c r="R36" s="99">
        <v>0</v>
      </c>
      <c r="S36" s="99">
        <v>0</v>
      </c>
      <c r="T36" s="88">
        <f t="shared" si="0"/>
        <v>5</v>
      </c>
      <c r="U36" s="104" t="s">
        <v>4558</v>
      </c>
      <c r="V36" s="99">
        <v>0</v>
      </c>
      <c r="W36" s="108" t="s">
        <v>4559</v>
      </c>
      <c r="X36" s="108" t="s">
        <v>4419</v>
      </c>
      <c r="Y36" s="108" t="s">
        <v>4419</v>
      </c>
      <c r="Z36" s="108" t="s">
        <v>4560</v>
      </c>
      <c r="AA36" s="108" t="s">
        <v>4561</v>
      </c>
      <c r="AB36" s="108" t="s">
        <v>4562</v>
      </c>
      <c r="AC36" s="108">
        <v>40211</v>
      </c>
      <c r="AD36" s="104" t="s">
        <v>4563</v>
      </c>
      <c r="AE36" s="99" t="s">
        <v>4410</v>
      </c>
      <c r="AF36" s="99" t="s">
        <v>4348</v>
      </c>
      <c r="AG36" s="104" t="s">
        <v>4564</v>
      </c>
      <c r="AH36" s="104" t="s">
        <v>4565</v>
      </c>
      <c r="AI36" s="104" t="s">
        <v>4384</v>
      </c>
      <c r="AJ36" s="104" t="s">
        <v>4384</v>
      </c>
      <c r="AK36" s="104" t="s">
        <v>4337</v>
      </c>
      <c r="AL36" s="104" t="s">
        <v>4406</v>
      </c>
      <c r="AM36" s="104" t="s">
        <v>4338</v>
      </c>
      <c r="AN36" s="104" t="s">
        <v>4566</v>
      </c>
      <c r="AO36" s="104" t="s">
        <v>4567</v>
      </c>
      <c r="AP36" s="99">
        <v>150</v>
      </c>
      <c r="AQ36" s="99">
        <v>40</v>
      </c>
      <c r="AR36" s="104" t="s">
        <v>4340</v>
      </c>
    </row>
    <row r="37" spans="2:44">
      <c r="B37" s="69" t="s">
        <v>4568</v>
      </c>
      <c r="C37" s="81">
        <v>34</v>
      </c>
      <c r="D37" s="82">
        <v>252610194</v>
      </c>
      <c r="E37" s="83" t="s">
        <v>1975</v>
      </c>
      <c r="F37" s="84" t="s">
        <v>1976</v>
      </c>
      <c r="G37" s="85" t="s">
        <v>1976</v>
      </c>
      <c r="H37" s="85" t="s">
        <v>4569</v>
      </c>
      <c r="I37" s="85" t="s">
        <v>1975</v>
      </c>
      <c r="J37" s="86" t="s">
        <v>1975</v>
      </c>
      <c r="K37" s="85" t="s">
        <v>90</v>
      </c>
      <c r="L37" s="85" t="s">
        <v>4357</v>
      </c>
      <c r="M37" s="87">
        <v>40048</v>
      </c>
      <c r="N37" s="85" t="s">
        <v>4570</v>
      </c>
      <c r="O37" s="85" t="s">
        <v>4344</v>
      </c>
      <c r="P37" s="88">
        <v>2</v>
      </c>
      <c r="Q37" s="88">
        <v>2</v>
      </c>
      <c r="R37" s="88">
        <v>0</v>
      </c>
      <c r="S37" s="88">
        <v>0</v>
      </c>
      <c r="T37" s="88">
        <f t="shared" si="0"/>
        <v>2</v>
      </c>
      <c r="U37" s="85" t="s">
        <v>4571</v>
      </c>
      <c r="V37" s="88" t="s">
        <v>4310</v>
      </c>
      <c r="W37" s="109" t="s">
        <v>4572</v>
      </c>
      <c r="X37" s="109" t="s">
        <v>4419</v>
      </c>
      <c r="Y37" s="109" t="s">
        <v>4376</v>
      </c>
      <c r="Z37" s="109" t="s">
        <v>4573</v>
      </c>
      <c r="AA37" s="109" t="s">
        <v>4574</v>
      </c>
      <c r="AB37" s="109" t="s">
        <v>4378</v>
      </c>
      <c r="AC37" s="109">
        <v>40535</v>
      </c>
      <c r="AD37" s="85" t="s">
        <v>4575</v>
      </c>
      <c r="AE37" s="88" t="s">
        <v>4422</v>
      </c>
      <c r="AF37" s="88" t="s">
        <v>4576</v>
      </c>
      <c r="AG37" s="85" t="s">
        <v>4577</v>
      </c>
      <c r="AH37" s="85" t="s">
        <v>4578</v>
      </c>
      <c r="AI37" s="85" t="s">
        <v>4318</v>
      </c>
      <c r="AJ37" s="85" t="s">
        <v>4351</v>
      </c>
      <c r="AK37" s="85" t="s">
        <v>4337</v>
      </c>
      <c r="AL37" s="90"/>
      <c r="AM37" s="85" t="s">
        <v>4372</v>
      </c>
      <c r="AN37" s="85" t="s">
        <v>4579</v>
      </c>
      <c r="AO37" s="90"/>
      <c r="AP37" s="88">
        <v>140</v>
      </c>
      <c r="AQ37" s="88">
        <v>43</v>
      </c>
      <c r="AR37" s="85" t="s">
        <v>4322</v>
      </c>
    </row>
    <row r="38" spans="2:44">
      <c r="B38" s="69" t="s">
        <v>4325</v>
      </c>
      <c r="C38" s="81">
        <v>35</v>
      </c>
      <c r="D38" s="82">
        <v>252610006</v>
      </c>
      <c r="E38" s="102" t="s">
        <v>1779</v>
      </c>
      <c r="F38" s="103" t="s">
        <v>1780</v>
      </c>
      <c r="G38" s="104" t="s">
        <v>1780</v>
      </c>
      <c r="H38" s="104" t="s">
        <v>4580</v>
      </c>
      <c r="I38" s="104" t="s">
        <v>1779</v>
      </c>
      <c r="J38" s="86" t="s">
        <v>1779</v>
      </c>
      <c r="K38" s="104" t="s">
        <v>89</v>
      </c>
      <c r="L38" s="104" t="s">
        <v>4581</v>
      </c>
      <c r="M38" s="105">
        <v>39972</v>
      </c>
      <c r="N38" s="104" t="s">
        <v>4460</v>
      </c>
      <c r="O38" s="104" t="s">
        <v>4582</v>
      </c>
      <c r="P38" s="99">
        <v>3</v>
      </c>
      <c r="Q38" s="99">
        <v>3</v>
      </c>
      <c r="R38" s="99">
        <v>0</v>
      </c>
      <c r="S38" s="99">
        <v>0</v>
      </c>
      <c r="T38" s="88">
        <f t="shared" si="0"/>
        <v>3</v>
      </c>
      <c r="U38" s="104" t="s">
        <v>4583</v>
      </c>
      <c r="V38" s="99">
        <v>0</v>
      </c>
      <c r="W38" s="108" t="s">
        <v>4584</v>
      </c>
      <c r="X38" s="108" t="s">
        <v>4492</v>
      </c>
      <c r="Y38" s="108">
        <v>14</v>
      </c>
      <c r="Z38" s="108" t="s">
        <v>4547</v>
      </c>
      <c r="AA38" s="108" t="s">
        <v>4547</v>
      </c>
      <c r="AB38" s="108" t="s">
        <v>4585</v>
      </c>
      <c r="AC38" s="108">
        <v>40534</v>
      </c>
      <c r="AD38" s="104" t="s">
        <v>4586</v>
      </c>
      <c r="AE38" s="99" t="s">
        <v>4587</v>
      </c>
      <c r="AF38" s="99" t="s">
        <v>4588</v>
      </c>
      <c r="AG38" s="104" t="s">
        <v>4589</v>
      </c>
      <c r="AH38" s="104" t="s">
        <v>4590</v>
      </c>
      <c r="AI38" s="104" t="s">
        <v>4591</v>
      </c>
      <c r="AJ38" s="104" t="s">
        <v>4591</v>
      </c>
      <c r="AK38" s="104" t="s">
        <v>4553</v>
      </c>
      <c r="AL38" s="106"/>
      <c r="AM38" s="104" t="s">
        <v>4553</v>
      </c>
      <c r="AN38" s="104" t="s">
        <v>4592</v>
      </c>
      <c r="AO38" s="106"/>
      <c r="AP38" s="99">
        <v>170</v>
      </c>
      <c r="AQ38" s="99">
        <v>48</v>
      </c>
      <c r="AR38" s="104" t="s">
        <v>4415</v>
      </c>
    </row>
    <row r="39" spans="2:44">
      <c r="B39" s="69" t="s">
        <v>4323</v>
      </c>
      <c r="C39" s="81">
        <v>36</v>
      </c>
      <c r="D39" s="82">
        <v>252610245</v>
      </c>
      <c r="E39" s="110" t="s">
        <v>912</v>
      </c>
      <c r="F39" s="111" t="s">
        <v>913</v>
      </c>
      <c r="G39" s="85" t="s">
        <v>913</v>
      </c>
      <c r="H39" s="85" t="s">
        <v>4593</v>
      </c>
      <c r="I39" s="85" t="s">
        <v>912</v>
      </c>
      <c r="J39" s="86" t="s">
        <v>912</v>
      </c>
      <c r="K39" s="85" t="s">
        <v>90</v>
      </c>
      <c r="L39" s="85" t="s">
        <v>4343</v>
      </c>
      <c r="M39" s="87">
        <v>40084</v>
      </c>
      <c r="N39" s="85" t="s">
        <v>4307</v>
      </c>
      <c r="O39" s="85" t="s">
        <v>4344</v>
      </c>
      <c r="P39" s="88">
        <v>2</v>
      </c>
      <c r="Q39" s="88">
        <v>2</v>
      </c>
      <c r="R39" s="88">
        <v>0</v>
      </c>
      <c r="S39" s="88">
        <v>0</v>
      </c>
      <c r="T39" s="88">
        <f t="shared" si="0"/>
        <v>2</v>
      </c>
      <c r="U39" s="85" t="s">
        <v>4594</v>
      </c>
      <c r="V39" s="88" t="s">
        <v>4595</v>
      </c>
      <c r="W39" s="109" t="s">
        <v>4596</v>
      </c>
      <c r="X39" s="109" t="s">
        <v>4360</v>
      </c>
      <c r="Y39" s="109" t="s">
        <v>4419</v>
      </c>
      <c r="Z39" s="109" t="s">
        <v>4597</v>
      </c>
      <c r="AA39" s="109" t="s">
        <v>4363</v>
      </c>
      <c r="AB39" s="109" t="s">
        <v>4378</v>
      </c>
      <c r="AC39" s="109">
        <v>40534</v>
      </c>
      <c r="AD39" s="85" t="s">
        <v>4598</v>
      </c>
      <c r="AE39" s="88" t="s">
        <v>4380</v>
      </c>
      <c r="AF39" s="88" t="s">
        <v>4599</v>
      </c>
      <c r="AG39" s="85" t="s">
        <v>4600</v>
      </c>
      <c r="AH39" s="85" t="s">
        <v>4601</v>
      </c>
      <c r="AI39" s="85" t="s">
        <v>4318</v>
      </c>
      <c r="AJ39" s="85" t="s">
        <v>4384</v>
      </c>
      <c r="AK39" s="85" t="s">
        <v>4553</v>
      </c>
      <c r="AL39" s="90"/>
      <c r="AM39" s="85" t="s">
        <v>4372</v>
      </c>
      <c r="AN39" s="85" t="s">
        <v>3124</v>
      </c>
      <c r="AO39" s="90"/>
      <c r="AP39" s="88">
        <v>157</v>
      </c>
      <c r="AQ39" s="88">
        <v>45</v>
      </c>
      <c r="AR39" s="85" t="s">
        <v>4322</v>
      </c>
    </row>
    <row r="40" spans="2:44">
      <c r="B40" s="69" t="s">
        <v>4325</v>
      </c>
      <c r="C40" s="81">
        <v>37</v>
      </c>
      <c r="D40" s="82">
        <v>252610007</v>
      </c>
      <c r="E40" s="102" t="s">
        <v>1684</v>
      </c>
      <c r="F40" s="103" t="s">
        <v>1685</v>
      </c>
      <c r="G40" s="104" t="s">
        <v>4057</v>
      </c>
      <c r="H40" s="104" t="s">
        <v>4602</v>
      </c>
      <c r="I40" s="104" t="s">
        <v>1684</v>
      </c>
      <c r="J40" s="86" t="s">
        <v>1684</v>
      </c>
      <c r="K40" s="104" t="s">
        <v>90</v>
      </c>
      <c r="L40" s="104" t="s">
        <v>4603</v>
      </c>
      <c r="M40" s="105">
        <v>39929</v>
      </c>
      <c r="N40" s="104" t="s">
        <v>4541</v>
      </c>
      <c r="O40" s="104" t="s">
        <v>4308</v>
      </c>
      <c r="P40" s="99">
        <v>2</v>
      </c>
      <c r="Q40" s="99">
        <v>2</v>
      </c>
      <c r="R40" s="99">
        <v>0</v>
      </c>
      <c r="S40" s="99">
        <v>0</v>
      </c>
      <c r="T40" s="88">
        <f t="shared" si="0"/>
        <v>2</v>
      </c>
      <c r="U40" s="104" t="s">
        <v>4604</v>
      </c>
      <c r="V40" s="99">
        <v>0</v>
      </c>
      <c r="W40" s="108" t="s">
        <v>4605</v>
      </c>
      <c r="X40" s="108" t="s">
        <v>4606</v>
      </c>
      <c r="Y40" s="108" t="s">
        <v>4431</v>
      </c>
      <c r="Z40" s="108" t="s">
        <v>4607</v>
      </c>
      <c r="AA40" s="108" t="s">
        <v>4607</v>
      </c>
      <c r="AB40" s="108" t="s">
        <v>4608</v>
      </c>
      <c r="AC40" s="108">
        <v>40215</v>
      </c>
      <c r="AD40" s="104" t="s">
        <v>4609</v>
      </c>
      <c r="AE40" s="99" t="s">
        <v>4610</v>
      </c>
      <c r="AF40" s="99" t="s">
        <v>4611</v>
      </c>
      <c r="AG40" s="104" t="s">
        <v>4612</v>
      </c>
      <c r="AH40" s="104" t="s">
        <v>4613</v>
      </c>
      <c r="AI40" s="104" t="s">
        <v>4614</v>
      </c>
      <c r="AJ40" s="104" t="s">
        <v>4615</v>
      </c>
      <c r="AK40" s="104" t="s">
        <v>4319</v>
      </c>
      <c r="AL40" s="104" t="s">
        <v>4406</v>
      </c>
      <c r="AM40" s="104" t="s">
        <v>4338</v>
      </c>
      <c r="AN40" s="104" t="s">
        <v>4616</v>
      </c>
      <c r="AO40" s="104" t="s">
        <v>4617</v>
      </c>
      <c r="AP40" s="99">
        <v>157</v>
      </c>
      <c r="AQ40" s="99">
        <v>45</v>
      </c>
      <c r="AR40" s="104" t="s">
        <v>4428</v>
      </c>
    </row>
    <row r="41" spans="2:44">
      <c r="B41" s="69" t="s">
        <v>4341</v>
      </c>
      <c r="C41" s="81">
        <v>38</v>
      </c>
      <c r="D41" s="82">
        <v>252610290</v>
      </c>
      <c r="E41" s="83" t="s">
        <v>1113</v>
      </c>
      <c r="F41" s="84" t="s">
        <v>1114</v>
      </c>
      <c r="G41" s="85" t="s">
        <v>4058</v>
      </c>
      <c r="H41" s="85" t="s">
        <v>4618</v>
      </c>
      <c r="I41" s="85" t="s">
        <v>1113</v>
      </c>
      <c r="J41" s="86" t="s">
        <v>1113</v>
      </c>
      <c r="K41" s="85" t="s">
        <v>90</v>
      </c>
      <c r="L41" s="85" t="s">
        <v>4343</v>
      </c>
      <c r="M41" s="87">
        <v>40232</v>
      </c>
      <c r="N41" s="85" t="s">
        <v>4307</v>
      </c>
      <c r="O41" s="85" t="s">
        <v>4619</v>
      </c>
      <c r="P41" s="88">
        <v>2</v>
      </c>
      <c r="Q41" s="88">
        <v>3</v>
      </c>
      <c r="R41" s="88">
        <v>0</v>
      </c>
      <c r="S41" s="88">
        <v>0</v>
      </c>
      <c r="T41" s="88">
        <f t="shared" si="0"/>
        <v>3</v>
      </c>
      <c r="U41" s="85" t="s">
        <v>4308</v>
      </c>
      <c r="V41" s="88" t="s">
        <v>4358</v>
      </c>
      <c r="W41" s="109" t="s">
        <v>4620</v>
      </c>
      <c r="X41" s="109" t="s">
        <v>4391</v>
      </c>
      <c r="Y41" s="109" t="s">
        <v>4621</v>
      </c>
      <c r="Z41" s="112"/>
      <c r="AA41" s="109" t="s">
        <v>4494</v>
      </c>
      <c r="AB41" s="109" t="s">
        <v>4408</v>
      </c>
      <c r="AC41" s="109">
        <v>40534</v>
      </c>
      <c r="AD41" s="85" t="s">
        <v>4622</v>
      </c>
      <c r="AE41" s="88" t="s">
        <v>4623</v>
      </c>
      <c r="AF41" s="113">
        <v>578</v>
      </c>
      <c r="AG41" s="85" t="s">
        <v>4624</v>
      </c>
      <c r="AH41" s="85" t="s">
        <v>4625</v>
      </c>
      <c r="AI41" s="85" t="s">
        <v>4626</v>
      </c>
      <c r="AJ41" s="85" t="s">
        <v>4626</v>
      </c>
      <c r="AK41" s="85" t="s">
        <v>4319</v>
      </c>
      <c r="AL41" s="85" t="s">
        <v>4627</v>
      </c>
      <c r="AM41" s="85" t="s">
        <v>4372</v>
      </c>
      <c r="AN41" s="85" t="s">
        <v>4592</v>
      </c>
      <c r="AO41" s="90"/>
      <c r="AP41" s="88">
        <v>152</v>
      </c>
      <c r="AQ41" s="88">
        <v>48</v>
      </c>
      <c r="AR41" s="85" t="s">
        <v>4322</v>
      </c>
    </row>
    <row r="42" s="66" customFormat="1" spans="2:44">
      <c r="B42" s="91" t="s">
        <v>4568</v>
      </c>
      <c r="C42" s="92">
        <v>39</v>
      </c>
      <c r="D42" s="93">
        <v>252610195</v>
      </c>
      <c r="E42" s="94" t="s">
        <v>914</v>
      </c>
      <c r="F42" s="95" t="s">
        <v>4059</v>
      </c>
      <c r="G42" s="96" t="s">
        <v>4059</v>
      </c>
      <c r="H42" s="97"/>
      <c r="I42" s="96" t="s">
        <v>914</v>
      </c>
      <c r="J42" s="96" t="s">
        <v>914</v>
      </c>
      <c r="K42" s="97"/>
      <c r="L42" s="97"/>
      <c r="M42" s="98"/>
      <c r="N42" s="97"/>
      <c r="O42" s="97"/>
      <c r="P42" s="99"/>
      <c r="Q42" s="96"/>
      <c r="R42" s="96"/>
      <c r="S42" s="96"/>
      <c r="T42" s="88">
        <f t="shared" si="0"/>
        <v>0</v>
      </c>
      <c r="U42" s="97"/>
      <c r="V42" s="100"/>
      <c r="W42" s="101"/>
      <c r="X42" s="101"/>
      <c r="Y42" s="101"/>
      <c r="Z42" s="101"/>
      <c r="AA42" s="101"/>
      <c r="AB42" s="101"/>
      <c r="AC42" s="101"/>
      <c r="AD42" s="97"/>
      <c r="AE42" s="100"/>
      <c r="AF42" s="100"/>
      <c r="AG42" s="97"/>
      <c r="AH42" s="97"/>
      <c r="AI42" s="97"/>
      <c r="AJ42" s="97"/>
      <c r="AK42" s="97"/>
      <c r="AL42" s="97"/>
      <c r="AM42" s="97"/>
      <c r="AN42" s="97"/>
      <c r="AO42" s="97"/>
      <c r="AP42" s="100"/>
      <c r="AQ42" s="100"/>
      <c r="AR42" s="97"/>
    </row>
    <row r="43" spans="2:44">
      <c r="B43" s="69" t="s">
        <v>4568</v>
      </c>
      <c r="C43" s="81">
        <v>40</v>
      </c>
      <c r="D43" s="82">
        <v>252610196</v>
      </c>
      <c r="E43" s="83" t="s">
        <v>1977</v>
      </c>
      <c r="F43" s="84" t="s">
        <v>1978</v>
      </c>
      <c r="G43" s="85" t="s">
        <v>1978</v>
      </c>
      <c r="H43" s="85" t="s">
        <v>4628</v>
      </c>
      <c r="I43" s="85" t="s">
        <v>1977</v>
      </c>
      <c r="J43" s="86" t="s">
        <v>1977</v>
      </c>
      <c r="K43" s="85" t="s">
        <v>90</v>
      </c>
      <c r="L43" s="85" t="s">
        <v>4629</v>
      </c>
      <c r="M43" s="87">
        <v>40079</v>
      </c>
      <c r="N43" s="85" t="s">
        <v>4460</v>
      </c>
      <c r="O43" s="85" t="s">
        <v>4308</v>
      </c>
      <c r="P43" s="88">
        <v>2</v>
      </c>
      <c r="Q43" s="88">
        <v>3</v>
      </c>
      <c r="R43" s="88">
        <v>0</v>
      </c>
      <c r="S43" s="88">
        <v>0</v>
      </c>
      <c r="T43" s="88">
        <f t="shared" si="0"/>
        <v>3</v>
      </c>
      <c r="U43" s="85" t="s">
        <v>4630</v>
      </c>
      <c r="V43" s="88" t="s">
        <v>4310</v>
      </c>
      <c r="W43" s="109" t="s">
        <v>4631</v>
      </c>
      <c r="X43" s="109" t="s">
        <v>4392</v>
      </c>
      <c r="Y43" s="109" t="s">
        <v>4632</v>
      </c>
      <c r="Z43" s="109" t="s">
        <v>4633</v>
      </c>
      <c r="AA43" s="109" t="s">
        <v>4634</v>
      </c>
      <c r="AB43" s="109" t="s">
        <v>4364</v>
      </c>
      <c r="AC43" s="109">
        <v>40534</v>
      </c>
      <c r="AD43" s="85" t="s">
        <v>4635</v>
      </c>
      <c r="AE43" s="88" t="s">
        <v>4422</v>
      </c>
      <c r="AF43" s="88">
        <v>0</v>
      </c>
      <c r="AG43" s="85" t="s">
        <v>4636</v>
      </c>
      <c r="AH43" s="85" t="s">
        <v>4637</v>
      </c>
      <c r="AI43" s="85" t="s">
        <v>4638</v>
      </c>
      <c r="AJ43" s="85" t="s">
        <v>4638</v>
      </c>
      <c r="AK43" s="85" t="s">
        <v>4553</v>
      </c>
      <c r="AL43" s="85" t="s">
        <v>4639</v>
      </c>
      <c r="AM43" s="85" t="s">
        <v>4372</v>
      </c>
      <c r="AN43" s="85" t="s">
        <v>4640</v>
      </c>
      <c r="AO43" s="85" t="s">
        <v>4641</v>
      </c>
      <c r="AP43" s="88">
        <v>160</v>
      </c>
      <c r="AQ43" s="88">
        <v>55</v>
      </c>
      <c r="AR43" s="85" t="s">
        <v>4340</v>
      </c>
    </row>
    <row r="44" spans="2:44">
      <c r="B44" s="69" t="s">
        <v>4642</v>
      </c>
      <c r="C44" s="81">
        <v>41</v>
      </c>
      <c r="D44" s="82">
        <v>252610533</v>
      </c>
      <c r="E44" s="83" t="s">
        <v>1781</v>
      </c>
      <c r="F44" s="84" t="s">
        <v>1782</v>
      </c>
      <c r="G44" s="104" t="s">
        <v>1782</v>
      </c>
      <c r="H44" s="104" t="s">
        <v>4643</v>
      </c>
      <c r="I44" s="104" t="s">
        <v>1781</v>
      </c>
      <c r="J44" s="86" t="s">
        <v>1781</v>
      </c>
      <c r="K44" s="104" t="s">
        <v>90</v>
      </c>
      <c r="L44" s="104" t="s">
        <v>4629</v>
      </c>
      <c r="M44" s="105">
        <v>40191</v>
      </c>
      <c r="N44" s="104" t="s">
        <v>4328</v>
      </c>
      <c r="O44" s="104" t="s">
        <v>4489</v>
      </c>
      <c r="P44" s="99">
        <v>1</v>
      </c>
      <c r="Q44" s="99">
        <v>1</v>
      </c>
      <c r="R44" s="99">
        <v>0</v>
      </c>
      <c r="S44" s="99">
        <v>0</v>
      </c>
      <c r="T44" s="88">
        <f t="shared" si="0"/>
        <v>1</v>
      </c>
      <c r="U44" s="104" t="s">
        <v>4490</v>
      </c>
      <c r="V44" s="99" t="s">
        <v>4595</v>
      </c>
      <c r="W44" s="108" t="s">
        <v>4644</v>
      </c>
      <c r="X44" s="108" t="s">
        <v>4464</v>
      </c>
      <c r="Y44" s="108">
        <v>12</v>
      </c>
      <c r="Z44" s="114"/>
      <c r="AA44" s="108" t="s">
        <v>4645</v>
      </c>
      <c r="AB44" s="108" t="s">
        <v>4420</v>
      </c>
      <c r="AC44" s="108">
        <v>40216</v>
      </c>
      <c r="AD44" s="104" t="s">
        <v>4646</v>
      </c>
      <c r="AE44" s="99" t="s">
        <v>4647</v>
      </c>
      <c r="AF44" s="99" t="s">
        <v>4648</v>
      </c>
      <c r="AG44" s="104" t="s">
        <v>4649</v>
      </c>
      <c r="AH44" s="104" t="s">
        <v>4650</v>
      </c>
      <c r="AI44" s="104" t="s">
        <v>4638</v>
      </c>
      <c r="AJ44" s="104" t="s">
        <v>4351</v>
      </c>
      <c r="AK44" s="104" t="s">
        <v>4553</v>
      </c>
      <c r="AL44" s="106"/>
      <c r="AM44" s="104" t="s">
        <v>4651</v>
      </c>
      <c r="AN44" s="104" t="s">
        <v>4427</v>
      </c>
      <c r="AO44" s="106"/>
      <c r="AP44" s="99">
        <v>145</v>
      </c>
      <c r="AQ44" s="99">
        <v>30</v>
      </c>
      <c r="AR44" s="104" t="s">
        <v>4517</v>
      </c>
    </row>
    <row r="45" spans="2:44">
      <c r="B45" s="69" t="s">
        <v>4341</v>
      </c>
      <c r="C45" s="81">
        <v>42</v>
      </c>
      <c r="D45" s="82">
        <v>252610291</v>
      </c>
      <c r="E45" s="83" t="s">
        <v>916</v>
      </c>
      <c r="F45" s="84" t="s">
        <v>917</v>
      </c>
      <c r="G45" s="85" t="s">
        <v>917</v>
      </c>
      <c r="H45" s="85" t="s">
        <v>4652</v>
      </c>
      <c r="I45" s="85" t="s">
        <v>916</v>
      </c>
      <c r="J45" s="86" t="s">
        <v>916</v>
      </c>
      <c r="K45" s="85" t="s">
        <v>90</v>
      </c>
      <c r="L45" s="85" t="s">
        <v>4343</v>
      </c>
      <c r="M45" s="87">
        <v>40262</v>
      </c>
      <c r="N45" s="85" t="s">
        <v>4653</v>
      </c>
      <c r="O45" s="85" t="s">
        <v>4619</v>
      </c>
      <c r="P45" s="88">
        <v>1</v>
      </c>
      <c r="Q45" s="88">
        <v>1</v>
      </c>
      <c r="R45" s="88">
        <v>0</v>
      </c>
      <c r="S45" s="88">
        <v>0</v>
      </c>
      <c r="T45" s="88">
        <f t="shared" si="0"/>
        <v>1</v>
      </c>
      <c r="U45" s="85" t="s">
        <v>4344</v>
      </c>
      <c r="V45" s="88">
        <v>0</v>
      </c>
      <c r="W45" s="109" t="s">
        <v>4654</v>
      </c>
      <c r="X45" s="109" t="s">
        <v>4606</v>
      </c>
      <c r="Y45" s="109" t="s">
        <v>4391</v>
      </c>
      <c r="Z45" s="109" t="s">
        <v>4655</v>
      </c>
      <c r="AA45" s="109" t="s">
        <v>4343</v>
      </c>
      <c r="AB45" s="109" t="s">
        <v>4656</v>
      </c>
      <c r="AC45" s="109">
        <v>40215</v>
      </c>
      <c r="AD45" s="85" t="s">
        <v>4657</v>
      </c>
      <c r="AE45" s="88" t="s">
        <v>4496</v>
      </c>
      <c r="AF45" s="88" t="s">
        <v>4658</v>
      </c>
      <c r="AG45" s="85" t="s">
        <v>4659</v>
      </c>
      <c r="AH45" s="85" t="s">
        <v>4660</v>
      </c>
      <c r="AI45" s="85" t="s">
        <v>4318</v>
      </c>
      <c r="AJ45" s="85" t="s">
        <v>4318</v>
      </c>
      <c r="AK45" s="85" t="s">
        <v>4319</v>
      </c>
      <c r="AL45" s="85" t="s">
        <v>4406</v>
      </c>
      <c r="AM45" s="85" t="s">
        <v>4372</v>
      </c>
      <c r="AN45" s="85" t="s">
        <v>4661</v>
      </c>
      <c r="AO45" s="85" t="s">
        <v>4406</v>
      </c>
      <c r="AP45" s="88">
        <v>155</v>
      </c>
      <c r="AQ45" s="88">
        <v>50</v>
      </c>
      <c r="AR45" s="85" t="s">
        <v>4538</v>
      </c>
    </row>
    <row r="46" s="66" customFormat="1" spans="2:44">
      <c r="B46" s="91" t="s">
        <v>4341</v>
      </c>
      <c r="C46" s="92">
        <v>43</v>
      </c>
      <c r="D46" s="93">
        <v>252610292</v>
      </c>
      <c r="E46" s="94" t="s">
        <v>1393</v>
      </c>
      <c r="F46" s="95" t="s">
        <v>1394</v>
      </c>
      <c r="G46" s="96" t="s">
        <v>1394</v>
      </c>
      <c r="H46" s="97"/>
      <c r="I46" s="96" t="s">
        <v>1393</v>
      </c>
      <c r="J46" s="96" t="s">
        <v>1393</v>
      </c>
      <c r="K46" s="97"/>
      <c r="L46" s="97"/>
      <c r="M46" s="98"/>
      <c r="N46" s="97"/>
      <c r="O46" s="97"/>
      <c r="P46" s="99"/>
      <c r="Q46" s="96"/>
      <c r="R46" s="96"/>
      <c r="S46" s="96"/>
      <c r="T46" s="88">
        <f t="shared" si="0"/>
        <v>0</v>
      </c>
      <c r="U46" s="97"/>
      <c r="V46" s="100"/>
      <c r="W46" s="101"/>
      <c r="X46" s="101"/>
      <c r="Y46" s="101"/>
      <c r="Z46" s="101"/>
      <c r="AA46" s="101"/>
      <c r="AB46" s="101"/>
      <c r="AC46" s="101"/>
      <c r="AD46" s="97"/>
      <c r="AE46" s="100"/>
      <c r="AF46" s="100"/>
      <c r="AG46" s="97"/>
      <c r="AH46" s="97"/>
      <c r="AI46" s="97"/>
      <c r="AJ46" s="97"/>
      <c r="AK46" s="97"/>
      <c r="AL46" s="97"/>
      <c r="AM46" s="97"/>
      <c r="AN46" s="97"/>
      <c r="AO46" s="97"/>
      <c r="AP46" s="100"/>
      <c r="AQ46" s="100"/>
      <c r="AR46" s="97"/>
    </row>
    <row r="47" s="66" customFormat="1" spans="2:44">
      <c r="B47" s="91" t="s">
        <v>4323</v>
      </c>
      <c r="C47" s="92">
        <v>44</v>
      </c>
      <c r="D47" s="93">
        <v>252610246</v>
      </c>
      <c r="E47" s="115" t="s">
        <v>1115</v>
      </c>
      <c r="F47" s="95" t="s">
        <v>1116</v>
      </c>
      <c r="G47" s="96" t="s">
        <v>4060</v>
      </c>
      <c r="H47" s="97"/>
      <c r="I47" s="96" t="s">
        <v>1115</v>
      </c>
      <c r="J47" s="96" t="s">
        <v>1115</v>
      </c>
      <c r="K47" s="97"/>
      <c r="L47" s="97"/>
      <c r="M47" s="98"/>
      <c r="N47" s="97"/>
      <c r="O47" s="97"/>
      <c r="P47" s="88"/>
      <c r="Q47" s="96"/>
      <c r="R47" s="96"/>
      <c r="S47" s="96"/>
      <c r="T47" s="88">
        <f t="shared" si="0"/>
        <v>0</v>
      </c>
      <c r="U47" s="97"/>
      <c r="V47" s="100"/>
      <c r="W47" s="101"/>
      <c r="X47" s="101"/>
      <c r="Y47" s="101"/>
      <c r="Z47" s="101"/>
      <c r="AA47" s="101"/>
      <c r="AB47" s="101"/>
      <c r="AC47" s="101"/>
      <c r="AD47" s="97"/>
      <c r="AE47" s="100"/>
      <c r="AF47" s="100"/>
      <c r="AG47" s="97"/>
      <c r="AH47" s="97"/>
      <c r="AI47" s="97"/>
      <c r="AJ47" s="97"/>
      <c r="AK47" s="97"/>
      <c r="AL47" s="97"/>
      <c r="AM47" s="97"/>
      <c r="AN47" s="97"/>
      <c r="AO47" s="97"/>
      <c r="AP47" s="100"/>
      <c r="AQ47" s="100"/>
      <c r="AR47" s="97"/>
    </row>
    <row r="48" s="66" customFormat="1" spans="2:44">
      <c r="B48" s="91" t="s">
        <v>4341</v>
      </c>
      <c r="C48" s="92">
        <v>45</v>
      </c>
      <c r="D48" s="93">
        <v>252610293</v>
      </c>
      <c r="E48" s="94" t="s">
        <v>1582</v>
      </c>
      <c r="F48" s="95" t="s">
        <v>1583</v>
      </c>
      <c r="G48" s="96" t="s">
        <v>1583</v>
      </c>
      <c r="H48" s="97"/>
      <c r="I48" s="96" t="s">
        <v>1582</v>
      </c>
      <c r="J48" s="96" t="s">
        <v>1582</v>
      </c>
      <c r="K48" s="97"/>
      <c r="L48" s="97"/>
      <c r="M48" s="98"/>
      <c r="N48" s="97"/>
      <c r="O48" s="97"/>
      <c r="P48" s="99"/>
      <c r="Q48" s="96"/>
      <c r="R48" s="96"/>
      <c r="S48" s="96"/>
      <c r="T48" s="88">
        <f t="shared" si="0"/>
        <v>0</v>
      </c>
      <c r="U48" s="97"/>
      <c r="V48" s="100"/>
      <c r="W48" s="101"/>
      <c r="X48" s="101"/>
      <c r="Y48" s="101"/>
      <c r="Z48" s="101"/>
      <c r="AA48" s="101"/>
      <c r="AB48" s="101"/>
      <c r="AC48" s="101"/>
      <c r="AD48" s="97"/>
      <c r="AE48" s="100"/>
      <c r="AF48" s="100"/>
      <c r="AG48" s="97"/>
      <c r="AH48" s="97"/>
      <c r="AI48" s="97"/>
      <c r="AJ48" s="97"/>
      <c r="AK48" s="97"/>
      <c r="AL48" s="97"/>
      <c r="AM48" s="97"/>
      <c r="AN48" s="97"/>
      <c r="AO48" s="97"/>
      <c r="AP48" s="100"/>
      <c r="AQ48" s="100"/>
      <c r="AR48" s="97"/>
    </row>
    <row r="49" spans="2:44">
      <c r="B49" s="69" t="s">
        <v>4386</v>
      </c>
      <c r="C49" s="81">
        <v>46</v>
      </c>
      <c r="D49" s="82">
        <v>252610338</v>
      </c>
      <c r="E49" s="83" t="s">
        <v>1004</v>
      </c>
      <c r="F49" s="84" t="s">
        <v>1005</v>
      </c>
      <c r="G49" s="85" t="s">
        <v>4061</v>
      </c>
      <c r="H49" s="85" t="s">
        <v>4662</v>
      </c>
      <c r="I49" s="85" t="s">
        <v>1004</v>
      </c>
      <c r="J49" s="86" t="s">
        <v>1004</v>
      </c>
      <c r="K49" s="85" t="s">
        <v>90</v>
      </c>
      <c r="L49" s="85" t="s">
        <v>4663</v>
      </c>
      <c r="M49" s="87">
        <v>40077</v>
      </c>
      <c r="N49" s="85" t="s">
        <v>4460</v>
      </c>
      <c r="O49" s="85" t="s">
        <v>4344</v>
      </c>
      <c r="P49" s="88">
        <v>1</v>
      </c>
      <c r="Q49" s="88">
        <v>0</v>
      </c>
      <c r="R49" s="88">
        <v>0</v>
      </c>
      <c r="S49" s="88">
        <v>0</v>
      </c>
      <c r="T49" s="88">
        <f t="shared" si="0"/>
        <v>0</v>
      </c>
      <c r="U49" s="85" t="s">
        <v>4664</v>
      </c>
      <c r="V49" s="88" t="s">
        <v>4310</v>
      </c>
      <c r="W49" s="109" t="s">
        <v>4665</v>
      </c>
      <c r="X49" s="109" t="s">
        <v>4431</v>
      </c>
      <c r="Y49" s="109" t="s">
        <v>4666</v>
      </c>
      <c r="Z49" s="109" t="s">
        <v>4667</v>
      </c>
      <c r="AA49" s="109" t="s">
        <v>4363</v>
      </c>
      <c r="AB49" s="109" t="s">
        <v>4364</v>
      </c>
      <c r="AC49" s="109">
        <v>40534</v>
      </c>
      <c r="AD49" s="85" t="s">
        <v>4668</v>
      </c>
      <c r="AE49" s="88" t="s">
        <v>4669</v>
      </c>
      <c r="AF49" s="88" t="s">
        <v>4398</v>
      </c>
      <c r="AG49" s="85" t="s">
        <v>4670</v>
      </c>
      <c r="AH49" s="85" t="s">
        <v>4671</v>
      </c>
      <c r="AI49" s="85" t="s">
        <v>4439</v>
      </c>
      <c r="AJ49" s="85" t="s">
        <v>4672</v>
      </c>
      <c r="AK49" s="85" t="s">
        <v>4337</v>
      </c>
      <c r="AL49" s="90"/>
      <c r="AM49" s="85" t="s">
        <v>4372</v>
      </c>
      <c r="AN49" s="85" t="s">
        <v>4673</v>
      </c>
      <c r="AO49" s="85"/>
      <c r="AP49" s="88">
        <v>157</v>
      </c>
      <c r="AQ49" s="88">
        <v>82</v>
      </c>
      <c r="AR49" s="85" t="s">
        <v>4322</v>
      </c>
    </row>
    <row r="50" s="66" customFormat="1" spans="2:44">
      <c r="B50" s="91" t="s">
        <v>4674</v>
      </c>
      <c r="C50" s="92">
        <v>47</v>
      </c>
      <c r="D50" s="93">
        <v>252610387</v>
      </c>
      <c r="E50" s="94" t="s">
        <v>1117</v>
      </c>
      <c r="F50" s="95" t="s">
        <v>1118</v>
      </c>
      <c r="G50" s="96" t="s">
        <v>1118</v>
      </c>
      <c r="H50" s="97"/>
      <c r="I50" s="96" t="s">
        <v>1117</v>
      </c>
      <c r="J50" s="96" t="s">
        <v>1117</v>
      </c>
      <c r="K50" s="97"/>
      <c r="L50" s="97"/>
      <c r="M50" s="98"/>
      <c r="N50" s="97"/>
      <c r="O50" s="97"/>
      <c r="P50" s="99"/>
      <c r="Q50" s="96"/>
      <c r="R50" s="96"/>
      <c r="S50" s="96"/>
      <c r="T50" s="88">
        <f t="shared" si="0"/>
        <v>0</v>
      </c>
      <c r="U50" s="97"/>
      <c r="V50" s="100"/>
      <c r="W50" s="101"/>
      <c r="X50" s="101"/>
      <c r="Y50" s="101"/>
      <c r="Z50" s="101"/>
      <c r="AA50" s="101"/>
      <c r="AB50" s="101"/>
      <c r="AC50" s="101"/>
      <c r="AD50" s="97"/>
      <c r="AE50" s="100"/>
      <c r="AF50" s="100"/>
      <c r="AG50" s="97"/>
      <c r="AH50" s="97"/>
      <c r="AI50" s="97"/>
      <c r="AJ50" s="97"/>
      <c r="AK50" s="97"/>
      <c r="AL50" s="97"/>
      <c r="AM50" s="97"/>
      <c r="AN50" s="97"/>
      <c r="AO50" s="97"/>
      <c r="AP50" s="100"/>
      <c r="AQ50" s="100"/>
      <c r="AR50" s="97"/>
    </row>
    <row r="51" spans="2:44">
      <c r="B51" s="69" t="s">
        <v>4325</v>
      </c>
      <c r="C51" s="81">
        <v>48</v>
      </c>
      <c r="D51" s="82">
        <v>252610008</v>
      </c>
      <c r="E51" s="102" t="s">
        <v>918</v>
      </c>
      <c r="F51" s="103" t="s">
        <v>919</v>
      </c>
      <c r="G51" s="85" t="s">
        <v>919</v>
      </c>
      <c r="H51" s="85" t="s">
        <v>4662</v>
      </c>
      <c r="I51" s="85" t="s">
        <v>918</v>
      </c>
      <c r="J51" s="86" t="s">
        <v>918</v>
      </c>
      <c r="K51" s="85" t="s">
        <v>90</v>
      </c>
      <c r="L51" s="85" t="s">
        <v>4357</v>
      </c>
      <c r="M51" s="87">
        <v>40072</v>
      </c>
      <c r="N51" s="85" t="s">
        <v>4328</v>
      </c>
      <c r="O51" s="85" t="s">
        <v>4308</v>
      </c>
      <c r="P51" s="88">
        <v>4</v>
      </c>
      <c r="Q51" s="88">
        <v>4</v>
      </c>
      <c r="R51" s="88">
        <v>0</v>
      </c>
      <c r="S51" s="88">
        <v>0</v>
      </c>
      <c r="T51" s="88">
        <f t="shared" si="0"/>
        <v>4</v>
      </c>
      <c r="U51" s="85" t="s">
        <v>4675</v>
      </c>
      <c r="V51" s="88">
        <v>0</v>
      </c>
      <c r="W51" s="109" t="s">
        <v>4676</v>
      </c>
      <c r="X51" s="109" t="s">
        <v>4464</v>
      </c>
      <c r="Y51" s="109" t="s">
        <v>4360</v>
      </c>
      <c r="Z51" s="109" t="s">
        <v>4677</v>
      </c>
      <c r="AA51" s="109" t="s">
        <v>4494</v>
      </c>
      <c r="AB51" s="109" t="s">
        <v>4451</v>
      </c>
      <c r="AC51" s="109">
        <v>40534</v>
      </c>
      <c r="AD51" s="85" t="s">
        <v>4678</v>
      </c>
      <c r="AE51" s="88" t="s">
        <v>4679</v>
      </c>
      <c r="AF51" s="88" t="s">
        <v>4680</v>
      </c>
      <c r="AG51" s="85" t="s">
        <v>4681</v>
      </c>
      <c r="AH51" s="85" t="s">
        <v>4682</v>
      </c>
      <c r="AI51" s="85" t="s">
        <v>4683</v>
      </c>
      <c r="AJ51" s="85" t="s">
        <v>4638</v>
      </c>
      <c r="AK51" s="85" t="s">
        <v>4337</v>
      </c>
      <c r="AL51" s="90"/>
      <c r="AM51" s="85" t="s">
        <v>4372</v>
      </c>
      <c r="AN51" s="85" t="s">
        <v>4684</v>
      </c>
      <c r="AO51" s="90"/>
      <c r="AP51" s="88">
        <v>149</v>
      </c>
      <c r="AQ51" s="88">
        <v>39</v>
      </c>
      <c r="AR51" s="85" t="s">
        <v>4443</v>
      </c>
    </row>
    <row r="52" s="66" customFormat="1" spans="2:44">
      <c r="B52" s="91" t="s">
        <v>4354</v>
      </c>
      <c r="C52" s="92">
        <v>49</v>
      </c>
      <c r="D52" s="93">
        <v>252610051</v>
      </c>
      <c r="E52" s="94" t="s">
        <v>1494</v>
      </c>
      <c r="F52" s="95" t="s">
        <v>1495</v>
      </c>
      <c r="G52" s="96" t="s">
        <v>4062</v>
      </c>
      <c r="H52" s="97"/>
      <c r="I52" s="96" t="s">
        <v>1494</v>
      </c>
      <c r="J52" s="96" t="s">
        <v>1494</v>
      </c>
      <c r="K52" s="97"/>
      <c r="L52" s="97"/>
      <c r="M52" s="98"/>
      <c r="N52" s="97"/>
      <c r="O52" s="97"/>
      <c r="P52" s="99"/>
      <c r="Q52" s="96"/>
      <c r="R52" s="96"/>
      <c r="S52" s="96"/>
      <c r="T52" s="88">
        <f t="shared" si="0"/>
        <v>0</v>
      </c>
      <c r="U52" s="97"/>
      <c r="V52" s="100"/>
      <c r="W52" s="101"/>
      <c r="X52" s="101"/>
      <c r="Y52" s="101"/>
      <c r="Z52" s="101"/>
      <c r="AA52" s="101"/>
      <c r="AB52" s="101"/>
      <c r="AC52" s="101"/>
      <c r="AD52" s="97"/>
      <c r="AE52" s="100"/>
      <c r="AF52" s="100"/>
      <c r="AG52" s="97"/>
      <c r="AH52" s="97"/>
      <c r="AI52" s="97"/>
      <c r="AJ52" s="97"/>
      <c r="AK52" s="97"/>
      <c r="AL52" s="97"/>
      <c r="AM52" s="97"/>
      <c r="AN52" s="97"/>
      <c r="AO52" s="97"/>
      <c r="AP52" s="100"/>
      <c r="AQ52" s="100"/>
      <c r="AR52" s="97"/>
    </row>
    <row r="53" s="66" customFormat="1" spans="2:44">
      <c r="B53" s="91" t="s">
        <v>4386</v>
      </c>
      <c r="C53" s="92">
        <v>50</v>
      </c>
      <c r="D53" s="93">
        <v>252610339</v>
      </c>
      <c r="E53" s="94" t="s">
        <v>1496</v>
      </c>
      <c r="F53" s="95" t="s">
        <v>1497</v>
      </c>
      <c r="G53" s="96" t="s">
        <v>4063</v>
      </c>
      <c r="H53" s="97"/>
      <c r="I53" s="96" t="s">
        <v>1496</v>
      </c>
      <c r="J53" s="96" t="s">
        <v>1496</v>
      </c>
      <c r="K53" s="97"/>
      <c r="L53" s="97"/>
      <c r="M53" s="98"/>
      <c r="N53" s="97"/>
      <c r="O53" s="97"/>
      <c r="P53" s="88"/>
      <c r="Q53" s="96"/>
      <c r="R53" s="96"/>
      <c r="S53" s="96"/>
      <c r="T53" s="88">
        <f t="shared" si="0"/>
        <v>0</v>
      </c>
      <c r="U53" s="97"/>
      <c r="V53" s="100"/>
      <c r="W53" s="101"/>
      <c r="X53" s="101"/>
      <c r="Y53" s="101"/>
      <c r="Z53" s="101"/>
      <c r="AA53" s="101"/>
      <c r="AB53" s="101"/>
      <c r="AC53" s="101"/>
      <c r="AD53" s="97"/>
      <c r="AE53" s="100"/>
      <c r="AF53" s="100"/>
      <c r="AG53" s="97"/>
      <c r="AH53" s="97"/>
      <c r="AI53" s="97"/>
      <c r="AJ53" s="97"/>
      <c r="AK53" s="97"/>
      <c r="AL53" s="97"/>
      <c r="AM53" s="97"/>
      <c r="AN53" s="97"/>
      <c r="AO53" s="97"/>
      <c r="AP53" s="100"/>
      <c r="AQ53" s="100"/>
      <c r="AR53" s="97"/>
    </row>
    <row r="54" spans="2:44">
      <c r="B54" s="69" t="s">
        <v>4354</v>
      </c>
      <c r="C54" s="81">
        <v>51</v>
      </c>
      <c r="D54" s="82">
        <v>252610052</v>
      </c>
      <c r="E54" s="116" t="s">
        <v>1006</v>
      </c>
      <c r="F54" s="84" t="s">
        <v>1007</v>
      </c>
      <c r="G54" s="104" t="s">
        <v>1007</v>
      </c>
      <c r="H54" s="104" t="s">
        <v>4685</v>
      </c>
      <c r="I54" s="104" t="s">
        <v>1006</v>
      </c>
      <c r="J54" s="86" t="s">
        <v>1006</v>
      </c>
      <c r="K54" s="104" t="s">
        <v>89</v>
      </c>
      <c r="L54" s="104" t="s">
        <v>4357</v>
      </c>
      <c r="M54" s="105">
        <v>40036</v>
      </c>
      <c r="N54" s="104" t="s">
        <v>4307</v>
      </c>
      <c r="O54" s="104" t="s">
        <v>4344</v>
      </c>
      <c r="P54" s="99">
        <v>3</v>
      </c>
      <c r="Q54" s="99">
        <v>2</v>
      </c>
      <c r="R54" s="99">
        <v>0</v>
      </c>
      <c r="S54" s="99">
        <v>0</v>
      </c>
      <c r="T54" s="88">
        <f t="shared" si="0"/>
        <v>2</v>
      </c>
      <c r="U54" s="104" t="s">
        <v>4344</v>
      </c>
      <c r="V54" s="99" t="s">
        <v>4310</v>
      </c>
      <c r="W54" s="108" t="s">
        <v>4686</v>
      </c>
      <c r="X54" s="108" t="s">
        <v>4606</v>
      </c>
      <c r="Y54" s="108" t="s">
        <v>4687</v>
      </c>
      <c r="Z54" s="108" t="s">
        <v>4406</v>
      </c>
      <c r="AA54" s="108" t="s">
        <v>4363</v>
      </c>
      <c r="AB54" s="108" t="s">
        <v>4378</v>
      </c>
      <c r="AC54" s="108">
        <v>40534</v>
      </c>
      <c r="AD54" s="104" t="s">
        <v>4688</v>
      </c>
      <c r="AE54" s="99" t="s">
        <v>4422</v>
      </c>
      <c r="AF54" s="99" t="s">
        <v>4381</v>
      </c>
      <c r="AG54" s="104" t="s">
        <v>4689</v>
      </c>
      <c r="AH54" s="104" t="s">
        <v>4690</v>
      </c>
      <c r="AI54" s="104" t="s">
        <v>4456</v>
      </c>
      <c r="AJ54" s="104" t="s">
        <v>4352</v>
      </c>
      <c r="AK54" s="104" t="s">
        <v>4320</v>
      </c>
      <c r="AL54" s="104" t="s">
        <v>4406</v>
      </c>
      <c r="AM54" s="104" t="s">
        <v>4372</v>
      </c>
      <c r="AN54" s="104" t="s">
        <v>4384</v>
      </c>
      <c r="AO54" s="104" t="s">
        <v>4406</v>
      </c>
      <c r="AP54" s="99">
        <v>165</v>
      </c>
      <c r="AQ54" s="99">
        <v>56</v>
      </c>
      <c r="AR54" s="104" t="s">
        <v>4322</v>
      </c>
    </row>
    <row r="55" s="66" customFormat="1" spans="2:44">
      <c r="B55" s="91" t="s">
        <v>4674</v>
      </c>
      <c r="C55" s="92">
        <v>52</v>
      </c>
      <c r="D55" s="93">
        <v>252610388</v>
      </c>
      <c r="E55" s="94" t="s">
        <v>1584</v>
      </c>
      <c r="F55" s="95" t="s">
        <v>1585</v>
      </c>
      <c r="G55" s="96" t="s">
        <v>1585</v>
      </c>
      <c r="H55" s="97"/>
      <c r="I55" s="96" t="s">
        <v>1584</v>
      </c>
      <c r="J55" s="96" t="s">
        <v>1584</v>
      </c>
      <c r="K55" s="97"/>
      <c r="L55" s="97"/>
      <c r="M55" s="98"/>
      <c r="N55" s="97"/>
      <c r="O55" s="97"/>
      <c r="P55" s="88"/>
      <c r="Q55" s="96"/>
      <c r="R55" s="96"/>
      <c r="S55" s="96"/>
      <c r="T55" s="88">
        <f t="shared" si="0"/>
        <v>0</v>
      </c>
      <c r="U55" s="97"/>
      <c r="V55" s="100"/>
      <c r="W55" s="101"/>
      <c r="X55" s="101"/>
      <c r="Y55" s="101"/>
      <c r="Z55" s="101"/>
      <c r="AA55" s="101"/>
      <c r="AB55" s="101"/>
      <c r="AC55" s="101"/>
      <c r="AD55" s="97"/>
      <c r="AE55" s="100"/>
      <c r="AF55" s="100"/>
      <c r="AG55" s="97"/>
      <c r="AH55" s="97"/>
      <c r="AI55" s="97"/>
      <c r="AJ55" s="97"/>
      <c r="AK55" s="97"/>
      <c r="AL55" s="97"/>
      <c r="AM55" s="97"/>
      <c r="AN55" s="97"/>
      <c r="AO55" s="97"/>
      <c r="AP55" s="100"/>
      <c r="AQ55" s="100"/>
      <c r="AR55" s="97"/>
    </row>
    <row r="56" s="66" customFormat="1" spans="2:44">
      <c r="B56" s="91" t="s">
        <v>4324</v>
      </c>
      <c r="C56" s="92">
        <v>53</v>
      </c>
      <c r="D56" s="93">
        <v>252610100</v>
      </c>
      <c r="E56" s="94" t="s">
        <v>1207</v>
      </c>
      <c r="F56" s="95" t="s">
        <v>1208</v>
      </c>
      <c r="G56" s="96" t="s">
        <v>1208</v>
      </c>
      <c r="H56" s="97"/>
      <c r="I56" s="96" t="s">
        <v>1207</v>
      </c>
      <c r="J56" s="96" t="s">
        <v>1207</v>
      </c>
      <c r="K56" s="97"/>
      <c r="L56" s="97"/>
      <c r="M56" s="98"/>
      <c r="N56" s="97"/>
      <c r="O56" s="97"/>
      <c r="P56" s="99"/>
      <c r="Q56" s="96"/>
      <c r="R56" s="96"/>
      <c r="S56" s="96"/>
      <c r="T56" s="88">
        <f t="shared" si="0"/>
        <v>0</v>
      </c>
      <c r="U56" s="97"/>
      <c r="V56" s="100"/>
      <c r="W56" s="101"/>
      <c r="X56" s="101"/>
      <c r="Y56" s="101"/>
      <c r="Z56" s="101"/>
      <c r="AA56" s="101"/>
      <c r="AB56" s="101"/>
      <c r="AC56" s="101"/>
      <c r="AD56" s="97"/>
      <c r="AE56" s="100"/>
      <c r="AF56" s="100"/>
      <c r="AG56" s="97"/>
      <c r="AH56" s="97"/>
      <c r="AI56" s="97"/>
      <c r="AJ56" s="97"/>
      <c r="AK56" s="97"/>
      <c r="AL56" s="97"/>
      <c r="AM56" s="97"/>
      <c r="AN56" s="97"/>
      <c r="AO56" s="97"/>
      <c r="AP56" s="100"/>
      <c r="AQ56" s="100"/>
      <c r="AR56" s="97"/>
    </row>
    <row r="57" s="66" customFormat="1" spans="2:44">
      <c r="B57" s="91" t="s">
        <v>4304</v>
      </c>
      <c r="C57" s="92">
        <v>54</v>
      </c>
      <c r="D57" s="93">
        <v>252610436</v>
      </c>
      <c r="E57" s="94" t="s">
        <v>1209</v>
      </c>
      <c r="F57" s="95" t="s">
        <v>1210</v>
      </c>
      <c r="G57" s="96" t="s">
        <v>1210</v>
      </c>
      <c r="H57" s="97"/>
      <c r="I57" s="96" t="s">
        <v>1209</v>
      </c>
      <c r="J57" s="96" t="s">
        <v>1209</v>
      </c>
      <c r="K57" s="97"/>
      <c r="L57" s="97"/>
      <c r="M57" s="98"/>
      <c r="N57" s="97"/>
      <c r="O57" s="97"/>
      <c r="P57" s="88"/>
      <c r="Q57" s="96"/>
      <c r="R57" s="96"/>
      <c r="S57" s="96"/>
      <c r="T57" s="88">
        <f t="shared" si="0"/>
        <v>0</v>
      </c>
      <c r="U57" s="97"/>
      <c r="V57" s="100"/>
      <c r="W57" s="101"/>
      <c r="X57" s="101"/>
      <c r="Y57" s="101"/>
      <c r="Z57" s="101"/>
      <c r="AA57" s="101"/>
      <c r="AB57" s="101"/>
      <c r="AC57" s="101"/>
      <c r="AD57" s="97"/>
      <c r="AE57" s="100"/>
      <c r="AF57" s="100"/>
      <c r="AG57" s="97"/>
      <c r="AH57" s="97"/>
      <c r="AI57" s="97"/>
      <c r="AJ57" s="97"/>
      <c r="AK57" s="97"/>
      <c r="AL57" s="97"/>
      <c r="AM57" s="97"/>
      <c r="AN57" s="97"/>
      <c r="AO57" s="97"/>
      <c r="AP57" s="100"/>
      <c r="AQ57" s="100"/>
      <c r="AR57" s="97"/>
    </row>
    <row r="58" spans="2:44">
      <c r="B58" s="69" t="s">
        <v>4674</v>
      </c>
      <c r="C58" s="81">
        <v>55</v>
      </c>
      <c r="D58" s="82">
        <v>252610389</v>
      </c>
      <c r="E58" s="83" t="s">
        <v>1686</v>
      </c>
      <c r="F58" s="84" t="s">
        <v>1687</v>
      </c>
      <c r="G58" s="104" t="s">
        <v>1687</v>
      </c>
      <c r="H58" s="104" t="s">
        <v>4691</v>
      </c>
      <c r="I58" s="104" t="s">
        <v>1686</v>
      </c>
      <c r="J58" s="86" t="s">
        <v>1686</v>
      </c>
      <c r="K58" s="104" t="s">
        <v>90</v>
      </c>
      <c r="L58" s="104" t="s">
        <v>4343</v>
      </c>
      <c r="M58" s="105">
        <v>40302</v>
      </c>
      <c r="N58" s="104" t="s">
        <v>4307</v>
      </c>
      <c r="O58" s="104" t="s">
        <v>4344</v>
      </c>
      <c r="P58" s="99">
        <v>1</v>
      </c>
      <c r="Q58" s="99">
        <v>0</v>
      </c>
      <c r="R58" s="99">
        <v>2</v>
      </c>
      <c r="S58" s="99">
        <v>0</v>
      </c>
      <c r="T58" s="88">
        <f t="shared" si="0"/>
        <v>2</v>
      </c>
      <c r="U58" s="104" t="s">
        <v>4344</v>
      </c>
      <c r="V58" s="99" t="s">
        <v>4310</v>
      </c>
      <c r="W58" s="108" t="s">
        <v>4692</v>
      </c>
      <c r="X58" s="108" t="s">
        <v>4431</v>
      </c>
      <c r="Y58" s="108" t="s">
        <v>4509</v>
      </c>
      <c r="Z58" s="114"/>
      <c r="AA58" s="108" t="s">
        <v>4693</v>
      </c>
      <c r="AB58" s="108" t="s">
        <v>4694</v>
      </c>
      <c r="AC58" s="108">
        <v>40183</v>
      </c>
      <c r="AD58" s="104" t="s">
        <v>4695</v>
      </c>
      <c r="AE58" s="99" t="s">
        <v>4481</v>
      </c>
      <c r="AF58" s="99" t="s">
        <v>4576</v>
      </c>
      <c r="AG58" s="104" t="s">
        <v>4696</v>
      </c>
      <c r="AH58" s="104" t="s">
        <v>4697</v>
      </c>
      <c r="AI58" s="104" t="s">
        <v>4698</v>
      </c>
      <c r="AJ58" s="104" t="s">
        <v>4699</v>
      </c>
      <c r="AK58" s="104" t="s">
        <v>4372</v>
      </c>
      <c r="AL58" s="106"/>
      <c r="AM58" s="104" t="s">
        <v>4337</v>
      </c>
      <c r="AN58" s="104" t="s">
        <v>4700</v>
      </c>
      <c r="AO58" s="106"/>
      <c r="AP58" s="99">
        <v>153</v>
      </c>
      <c r="AQ58" s="99">
        <v>52</v>
      </c>
      <c r="AR58" s="104" t="s">
        <v>4322</v>
      </c>
    </row>
    <row r="59" s="66" customFormat="1" spans="2:44">
      <c r="B59" s="91" t="s">
        <v>4355</v>
      </c>
      <c r="C59" s="92">
        <v>56</v>
      </c>
      <c r="D59" s="93">
        <v>252610149</v>
      </c>
      <c r="E59" s="94" t="s">
        <v>920</v>
      </c>
      <c r="F59" s="95" t="s">
        <v>921</v>
      </c>
      <c r="G59" s="96" t="s">
        <v>921</v>
      </c>
      <c r="H59" s="97"/>
      <c r="I59" s="96" t="s">
        <v>920</v>
      </c>
      <c r="J59" s="96" t="s">
        <v>920</v>
      </c>
      <c r="K59" s="97"/>
      <c r="L59" s="97"/>
      <c r="M59" s="98"/>
      <c r="N59" s="97"/>
      <c r="O59" s="97"/>
      <c r="P59" s="88"/>
      <c r="Q59" s="96"/>
      <c r="R59" s="96"/>
      <c r="S59" s="96"/>
      <c r="T59" s="88">
        <f t="shared" si="0"/>
        <v>0</v>
      </c>
      <c r="U59" s="97"/>
      <c r="V59" s="100"/>
      <c r="W59" s="101"/>
      <c r="X59" s="101"/>
      <c r="Y59" s="101"/>
      <c r="Z59" s="101"/>
      <c r="AA59" s="101"/>
      <c r="AB59" s="101"/>
      <c r="AC59" s="101"/>
      <c r="AD59" s="97"/>
      <c r="AE59" s="100"/>
      <c r="AF59" s="100"/>
      <c r="AG59" s="97"/>
      <c r="AH59" s="97"/>
      <c r="AI59" s="97"/>
      <c r="AJ59" s="97"/>
      <c r="AK59" s="97"/>
      <c r="AL59" s="97"/>
      <c r="AM59" s="97"/>
      <c r="AN59" s="97"/>
      <c r="AO59" s="97"/>
      <c r="AP59" s="100"/>
      <c r="AQ59" s="100"/>
      <c r="AR59" s="97"/>
    </row>
    <row r="60" spans="2:44">
      <c r="B60" s="69" t="s">
        <v>4373</v>
      </c>
      <c r="C60" s="81">
        <v>57</v>
      </c>
      <c r="D60" s="82">
        <v>252610484</v>
      </c>
      <c r="E60" s="83" t="s">
        <v>1119</v>
      </c>
      <c r="F60" s="84" t="s">
        <v>1120</v>
      </c>
      <c r="G60" s="104" t="s">
        <v>4064</v>
      </c>
      <c r="H60" s="104" t="s">
        <v>4701</v>
      </c>
      <c r="I60" s="104" t="s">
        <v>1119</v>
      </c>
      <c r="J60" s="86" t="s">
        <v>1119</v>
      </c>
      <c r="K60" s="104" t="s">
        <v>90</v>
      </c>
      <c r="L60" s="104" t="s">
        <v>4629</v>
      </c>
      <c r="M60" s="105">
        <v>40217</v>
      </c>
      <c r="N60" s="104" t="s">
        <v>4328</v>
      </c>
      <c r="O60" s="104" t="s">
        <v>4329</v>
      </c>
      <c r="P60" s="99">
        <v>2</v>
      </c>
      <c r="Q60" s="99">
        <v>1</v>
      </c>
      <c r="R60" s="99">
        <v>0</v>
      </c>
      <c r="S60" s="99">
        <v>0</v>
      </c>
      <c r="T60" s="88">
        <f t="shared" si="0"/>
        <v>1</v>
      </c>
      <c r="U60" s="104" t="s">
        <v>4329</v>
      </c>
      <c r="V60" s="99" t="s">
        <v>4330</v>
      </c>
      <c r="W60" s="108" t="s">
        <v>4702</v>
      </c>
      <c r="X60" s="108" t="s">
        <v>4544</v>
      </c>
      <c r="Y60" s="108" t="s">
        <v>4703</v>
      </c>
      <c r="Z60" s="108" t="s">
        <v>4704</v>
      </c>
      <c r="AA60" s="108" t="s">
        <v>4704</v>
      </c>
      <c r="AB60" s="108" t="s">
        <v>4705</v>
      </c>
      <c r="AC60" s="108">
        <v>40215</v>
      </c>
      <c r="AD60" s="104" t="s">
        <v>4706</v>
      </c>
      <c r="AE60" s="99" t="s">
        <v>4707</v>
      </c>
      <c r="AF60" s="117">
        <v>932</v>
      </c>
      <c r="AG60" s="104" t="s">
        <v>4708</v>
      </c>
      <c r="AH60" s="104" t="s">
        <v>4709</v>
      </c>
      <c r="AI60" s="104" t="s">
        <v>4384</v>
      </c>
      <c r="AJ60" s="104" t="s">
        <v>4384</v>
      </c>
      <c r="AK60" s="104" t="s">
        <v>4337</v>
      </c>
      <c r="AL60" s="106"/>
      <c r="AM60" s="104" t="s">
        <v>4372</v>
      </c>
      <c r="AN60" s="104" t="s">
        <v>4710</v>
      </c>
      <c r="AO60" s="106"/>
      <c r="AP60" s="99">
        <v>160</v>
      </c>
      <c r="AQ60" s="99">
        <v>41</v>
      </c>
      <c r="AR60" s="104" t="s">
        <v>4538</v>
      </c>
    </row>
    <row r="61" s="66" customFormat="1" spans="2:44">
      <c r="B61" s="91" t="s">
        <v>4304</v>
      </c>
      <c r="C61" s="92">
        <v>58</v>
      </c>
      <c r="D61" s="93">
        <v>252610437</v>
      </c>
      <c r="E61" s="94" t="s">
        <v>1295</v>
      </c>
      <c r="F61" s="95" t="s">
        <v>1296</v>
      </c>
      <c r="G61" s="96" t="s">
        <v>4065</v>
      </c>
      <c r="H61" s="97"/>
      <c r="I61" s="96" t="s">
        <v>1295</v>
      </c>
      <c r="J61" s="96" t="s">
        <v>1295</v>
      </c>
      <c r="K61" s="97"/>
      <c r="L61" s="97"/>
      <c r="M61" s="98"/>
      <c r="N61" s="97"/>
      <c r="O61" s="97"/>
      <c r="P61" s="88"/>
      <c r="Q61" s="96"/>
      <c r="R61" s="96"/>
      <c r="S61" s="96"/>
      <c r="T61" s="88">
        <f t="shared" si="0"/>
        <v>0</v>
      </c>
      <c r="U61" s="97"/>
      <c r="V61" s="100"/>
      <c r="W61" s="101"/>
      <c r="X61" s="101"/>
      <c r="Y61" s="101"/>
      <c r="Z61" s="101"/>
      <c r="AA61" s="101"/>
      <c r="AB61" s="101"/>
      <c r="AC61" s="101"/>
      <c r="AD61" s="97"/>
      <c r="AE61" s="100"/>
      <c r="AF61" s="100"/>
      <c r="AG61" s="97"/>
      <c r="AH61" s="97"/>
      <c r="AI61" s="97"/>
      <c r="AJ61" s="97"/>
      <c r="AK61" s="97"/>
      <c r="AL61" s="97"/>
      <c r="AM61" s="97"/>
      <c r="AN61" s="97"/>
      <c r="AO61" s="97"/>
      <c r="AP61" s="100"/>
      <c r="AQ61" s="100"/>
      <c r="AR61" s="97"/>
    </row>
    <row r="62" spans="2:44">
      <c r="B62" s="69" t="s">
        <v>4341</v>
      </c>
      <c r="C62" s="81">
        <v>59</v>
      </c>
      <c r="D62" s="82">
        <v>252610294</v>
      </c>
      <c r="E62" s="116" t="s">
        <v>1498</v>
      </c>
      <c r="F62" s="84" t="s">
        <v>1499</v>
      </c>
      <c r="G62" s="104" t="s">
        <v>1499</v>
      </c>
      <c r="H62" s="104" t="s">
        <v>4711</v>
      </c>
      <c r="I62" s="104" t="s">
        <v>1498</v>
      </c>
      <c r="J62" s="86" t="s">
        <v>1498</v>
      </c>
      <c r="K62" s="104" t="s">
        <v>89</v>
      </c>
      <c r="L62" s="104" t="s">
        <v>4557</v>
      </c>
      <c r="M62" s="105">
        <v>40079</v>
      </c>
      <c r="N62" s="104" t="s">
        <v>4460</v>
      </c>
      <c r="O62" s="104" t="s">
        <v>4489</v>
      </c>
      <c r="P62" s="99">
        <v>1</v>
      </c>
      <c r="Q62" s="99">
        <v>1</v>
      </c>
      <c r="R62" s="99">
        <v>0</v>
      </c>
      <c r="S62" s="99">
        <v>0</v>
      </c>
      <c r="T62" s="88">
        <f t="shared" si="0"/>
        <v>1</v>
      </c>
      <c r="U62" s="104" t="s">
        <v>4712</v>
      </c>
      <c r="V62" s="99" t="s">
        <v>4595</v>
      </c>
      <c r="W62" s="108" t="s">
        <v>4713</v>
      </c>
      <c r="X62" s="108" t="s">
        <v>4431</v>
      </c>
      <c r="Y62" s="108" t="s">
        <v>4714</v>
      </c>
      <c r="Z62" s="108" t="s">
        <v>4715</v>
      </c>
      <c r="AA62" s="108" t="s">
        <v>4715</v>
      </c>
      <c r="AB62" s="108" t="s">
        <v>4715</v>
      </c>
      <c r="AC62" s="108">
        <v>40223</v>
      </c>
      <c r="AD62" s="104" t="s">
        <v>4716</v>
      </c>
      <c r="AE62" s="99" t="s">
        <v>4679</v>
      </c>
      <c r="AF62" s="99" t="s">
        <v>4381</v>
      </c>
      <c r="AG62" s="104" t="s">
        <v>4717</v>
      </c>
      <c r="AH62" s="104" t="s">
        <v>4718</v>
      </c>
      <c r="AI62" s="104" t="s">
        <v>4456</v>
      </c>
      <c r="AJ62" s="104" t="s">
        <v>4318</v>
      </c>
      <c r="AK62" s="104" t="s">
        <v>4651</v>
      </c>
      <c r="AL62" s="104" t="s">
        <v>4406</v>
      </c>
      <c r="AM62" s="104" t="s">
        <v>4372</v>
      </c>
      <c r="AN62" s="104" t="s">
        <v>4719</v>
      </c>
      <c r="AO62" s="104" t="s">
        <v>4720</v>
      </c>
      <c r="AP62" s="99">
        <v>177</v>
      </c>
      <c r="AQ62" s="99">
        <v>79</v>
      </c>
      <c r="AR62" s="104" t="s">
        <v>4443</v>
      </c>
    </row>
    <row r="63" spans="2:44">
      <c r="B63" s="69" t="s">
        <v>4373</v>
      </c>
      <c r="C63" s="81">
        <v>60</v>
      </c>
      <c r="D63" s="82">
        <v>252610485</v>
      </c>
      <c r="E63" s="83" t="s">
        <v>1297</v>
      </c>
      <c r="F63" s="84" t="s">
        <v>1298</v>
      </c>
      <c r="G63" s="85" t="s">
        <v>1298</v>
      </c>
      <c r="H63" s="85" t="s">
        <v>4721</v>
      </c>
      <c r="I63" s="85" t="s">
        <v>1297</v>
      </c>
      <c r="J63" s="86" t="s">
        <v>1297</v>
      </c>
      <c r="K63" s="85" t="s">
        <v>89</v>
      </c>
      <c r="L63" s="85" t="s">
        <v>4722</v>
      </c>
      <c r="M63" s="87">
        <v>40066</v>
      </c>
      <c r="N63" s="85" t="s">
        <v>4328</v>
      </c>
      <c r="O63" s="85" t="s">
        <v>4489</v>
      </c>
      <c r="P63" s="88">
        <v>1</v>
      </c>
      <c r="Q63" s="88">
        <v>2</v>
      </c>
      <c r="R63" s="88">
        <v>1</v>
      </c>
      <c r="S63" s="88">
        <v>0</v>
      </c>
      <c r="T63" s="88">
        <f t="shared" si="0"/>
        <v>3</v>
      </c>
      <c r="U63" s="85" t="s">
        <v>4723</v>
      </c>
      <c r="V63" s="88" t="s">
        <v>4358</v>
      </c>
      <c r="W63" s="109" t="s">
        <v>4724</v>
      </c>
      <c r="X63" s="109" t="s">
        <v>4431</v>
      </c>
      <c r="Y63" s="109" t="s">
        <v>4621</v>
      </c>
      <c r="Z63" s="109" t="s">
        <v>4725</v>
      </c>
      <c r="AA63" s="109" t="s">
        <v>4494</v>
      </c>
      <c r="AB63" s="109" t="s">
        <v>4451</v>
      </c>
      <c r="AC63" s="109">
        <v>40534</v>
      </c>
      <c r="AD63" s="85" t="s">
        <v>4726</v>
      </c>
      <c r="AE63" s="88" t="s">
        <v>4727</v>
      </c>
      <c r="AF63" s="88" t="s">
        <v>4502</v>
      </c>
      <c r="AG63" s="85" t="s">
        <v>4728</v>
      </c>
      <c r="AH63" s="85" t="s">
        <v>4729</v>
      </c>
      <c r="AI63" s="85" t="s">
        <v>4318</v>
      </c>
      <c r="AJ63" s="85" t="s">
        <v>4318</v>
      </c>
      <c r="AK63" s="85" t="s">
        <v>4337</v>
      </c>
      <c r="AL63" s="90"/>
      <c r="AM63" s="85" t="s">
        <v>4372</v>
      </c>
      <c r="AN63" s="85" t="s">
        <v>3563</v>
      </c>
      <c r="AO63" s="90"/>
      <c r="AP63" s="88">
        <v>170</v>
      </c>
      <c r="AQ63" s="88">
        <v>48</v>
      </c>
      <c r="AR63" s="85" t="s">
        <v>4340</v>
      </c>
    </row>
    <row r="64" spans="2:44">
      <c r="B64" s="69" t="s">
        <v>4304</v>
      </c>
      <c r="C64" s="81">
        <v>61</v>
      </c>
      <c r="D64" s="82">
        <v>252610438</v>
      </c>
      <c r="E64" s="116" t="s">
        <v>1885</v>
      </c>
      <c r="F64" s="84" t="s">
        <v>1886</v>
      </c>
      <c r="G64" s="104" t="s">
        <v>1886</v>
      </c>
      <c r="H64" s="104" t="s">
        <v>4730</v>
      </c>
      <c r="I64" s="104" t="s">
        <v>1885</v>
      </c>
      <c r="J64" s="86" t="s">
        <v>1885</v>
      </c>
      <c r="K64" s="104" t="s">
        <v>90</v>
      </c>
      <c r="L64" s="104" t="s">
        <v>4327</v>
      </c>
      <c r="M64" s="105">
        <v>40433</v>
      </c>
      <c r="N64" s="104" t="s">
        <v>4307</v>
      </c>
      <c r="O64" s="104" t="s">
        <v>4344</v>
      </c>
      <c r="P64" s="99">
        <v>3</v>
      </c>
      <c r="Q64" s="99">
        <v>4</v>
      </c>
      <c r="R64" s="99">
        <v>0</v>
      </c>
      <c r="S64" s="99">
        <v>0</v>
      </c>
      <c r="T64" s="88">
        <f t="shared" si="0"/>
        <v>4</v>
      </c>
      <c r="U64" s="104" t="s">
        <v>4309</v>
      </c>
      <c r="V64" s="99">
        <v>0</v>
      </c>
      <c r="W64" s="108" t="s">
        <v>4731</v>
      </c>
      <c r="X64" s="108" t="s">
        <v>4477</v>
      </c>
      <c r="Y64" s="108">
        <v>10</v>
      </c>
      <c r="Z64" s="108" t="s">
        <v>4521</v>
      </c>
      <c r="AA64" s="108" t="s">
        <v>4521</v>
      </c>
      <c r="AB64" s="108" t="s">
        <v>4395</v>
      </c>
      <c r="AC64" s="108">
        <v>40214</v>
      </c>
      <c r="AD64" s="104" t="s">
        <v>4732</v>
      </c>
      <c r="AE64" s="99" t="s">
        <v>4422</v>
      </c>
      <c r="AF64" s="99" t="s">
        <v>4733</v>
      </c>
      <c r="AG64" s="104" t="s">
        <v>4734</v>
      </c>
      <c r="AH64" s="104" t="s">
        <v>4735</v>
      </c>
      <c r="AI64" s="104" t="s">
        <v>4672</v>
      </c>
      <c r="AJ64" s="104" t="s">
        <v>4672</v>
      </c>
      <c r="AK64" s="104" t="s">
        <v>4338</v>
      </c>
      <c r="AL64" s="104" t="s">
        <v>4736</v>
      </c>
      <c r="AM64" s="104" t="s">
        <v>4338</v>
      </c>
      <c r="AN64" s="104" t="s">
        <v>4737</v>
      </c>
      <c r="AO64" s="106"/>
      <c r="AP64" s="99">
        <v>154</v>
      </c>
      <c r="AQ64" s="99" t="s">
        <v>4738</v>
      </c>
      <c r="AR64" s="104" t="s">
        <v>4322</v>
      </c>
    </row>
    <row r="65" spans="2:44">
      <c r="B65" s="69" t="s">
        <v>4354</v>
      </c>
      <c r="C65" s="81">
        <v>62</v>
      </c>
      <c r="D65" s="82">
        <v>252610053</v>
      </c>
      <c r="E65" s="83" t="s">
        <v>1586</v>
      </c>
      <c r="F65" s="84" t="s">
        <v>1587</v>
      </c>
      <c r="G65" s="85" t="s">
        <v>1587</v>
      </c>
      <c r="H65" s="85" t="s">
        <v>4739</v>
      </c>
      <c r="I65" s="85" t="s">
        <v>1586</v>
      </c>
      <c r="J65" s="86" t="s">
        <v>1586</v>
      </c>
      <c r="K65" s="85" t="s">
        <v>90</v>
      </c>
      <c r="L65" s="85" t="s">
        <v>4557</v>
      </c>
      <c r="M65" s="87">
        <v>40046</v>
      </c>
      <c r="N65" s="85" t="s">
        <v>4328</v>
      </c>
      <c r="O65" s="85" t="s">
        <v>4489</v>
      </c>
      <c r="P65" s="88">
        <v>1</v>
      </c>
      <c r="Q65" s="88">
        <v>2</v>
      </c>
      <c r="R65" s="88">
        <v>0</v>
      </c>
      <c r="S65" s="88">
        <v>0</v>
      </c>
      <c r="T65" s="88">
        <f t="shared" si="0"/>
        <v>2</v>
      </c>
      <c r="U65" s="85" t="s">
        <v>4345</v>
      </c>
      <c r="V65" s="88">
        <v>0</v>
      </c>
      <c r="W65" s="109" t="s">
        <v>4740</v>
      </c>
      <c r="X65" s="109" t="s">
        <v>4477</v>
      </c>
      <c r="Y65" s="109" t="s">
        <v>4360</v>
      </c>
      <c r="Z65" s="112"/>
      <c r="AA65" s="109" t="s">
        <v>4561</v>
      </c>
      <c r="AB65" s="109" t="s">
        <v>4562</v>
      </c>
      <c r="AC65" s="109">
        <v>40211</v>
      </c>
      <c r="AD65" s="85" t="s">
        <v>4741</v>
      </c>
      <c r="AE65" s="88" t="s">
        <v>4410</v>
      </c>
      <c r="AF65" s="88" t="s">
        <v>4742</v>
      </c>
      <c r="AG65" s="85" t="s">
        <v>4743</v>
      </c>
      <c r="AH65" s="85" t="s">
        <v>4744</v>
      </c>
      <c r="AI65" s="85" t="s">
        <v>4384</v>
      </c>
      <c r="AJ65" s="85" t="s">
        <v>4384</v>
      </c>
      <c r="AK65" s="85" t="s">
        <v>4337</v>
      </c>
      <c r="AL65" s="90"/>
      <c r="AM65" s="85" t="s">
        <v>4372</v>
      </c>
      <c r="AN65" s="85" t="s">
        <v>4745</v>
      </c>
      <c r="AO65" s="85" t="s">
        <v>4746</v>
      </c>
      <c r="AP65" s="88">
        <v>164</v>
      </c>
      <c r="AQ65" s="88">
        <v>53</v>
      </c>
      <c r="AR65" s="85" t="s">
        <v>4428</v>
      </c>
    </row>
    <row r="66" s="66" customFormat="1" spans="2:44">
      <c r="B66" s="91" t="s">
        <v>4642</v>
      </c>
      <c r="C66" s="92">
        <v>63</v>
      </c>
      <c r="D66" s="93">
        <v>252610534</v>
      </c>
      <c r="E66" s="115" t="s">
        <v>1122</v>
      </c>
      <c r="F66" s="95" t="s">
        <v>1123</v>
      </c>
      <c r="G66" s="96" t="s">
        <v>1123</v>
      </c>
      <c r="H66" s="97"/>
      <c r="I66" s="96" t="s">
        <v>1122</v>
      </c>
      <c r="J66" s="96" t="s">
        <v>1122</v>
      </c>
      <c r="K66" s="97"/>
      <c r="L66" s="97"/>
      <c r="M66" s="98"/>
      <c r="N66" s="97"/>
      <c r="O66" s="97"/>
      <c r="P66" s="99"/>
      <c r="Q66" s="96"/>
      <c r="R66" s="96"/>
      <c r="S66" s="96"/>
      <c r="T66" s="88">
        <f t="shared" si="0"/>
        <v>0</v>
      </c>
      <c r="U66" s="97"/>
      <c r="V66" s="100"/>
      <c r="W66" s="101"/>
      <c r="X66" s="101"/>
      <c r="Y66" s="101"/>
      <c r="Z66" s="101"/>
      <c r="AA66" s="101"/>
      <c r="AB66" s="101"/>
      <c r="AC66" s="101"/>
      <c r="AD66" s="97"/>
      <c r="AE66" s="100"/>
      <c r="AF66" s="100"/>
      <c r="AG66" s="97"/>
      <c r="AH66" s="97"/>
      <c r="AI66" s="97"/>
      <c r="AJ66" s="97"/>
      <c r="AK66" s="97"/>
      <c r="AL66" s="97"/>
      <c r="AM66" s="97"/>
      <c r="AN66" s="97"/>
      <c r="AO66" s="97"/>
      <c r="AP66" s="100"/>
      <c r="AQ66" s="100"/>
      <c r="AR66" s="97"/>
    </row>
    <row r="67" s="66" customFormat="1" spans="2:44">
      <c r="B67" s="91" t="s">
        <v>4568</v>
      </c>
      <c r="C67" s="92">
        <v>64</v>
      </c>
      <c r="D67" s="93">
        <v>252610197</v>
      </c>
      <c r="E67" s="94" t="s">
        <v>1979</v>
      </c>
      <c r="F67" s="95" t="s">
        <v>1980</v>
      </c>
      <c r="G67" s="96" t="s">
        <v>1980</v>
      </c>
      <c r="H67" s="97"/>
      <c r="I67" s="96" t="s">
        <v>1979</v>
      </c>
      <c r="J67" s="96" t="s">
        <v>1979</v>
      </c>
      <c r="K67" s="97"/>
      <c r="L67" s="97"/>
      <c r="M67" s="98"/>
      <c r="N67" s="97"/>
      <c r="O67" s="97"/>
      <c r="P67" s="88"/>
      <c r="Q67" s="96"/>
      <c r="R67" s="96"/>
      <c r="S67" s="96"/>
      <c r="T67" s="88">
        <f t="shared" si="0"/>
        <v>0</v>
      </c>
      <c r="U67" s="97"/>
      <c r="V67" s="100"/>
      <c r="W67" s="101"/>
      <c r="X67" s="101"/>
      <c r="Y67" s="101"/>
      <c r="Z67" s="101"/>
      <c r="AA67" s="101"/>
      <c r="AB67" s="101"/>
      <c r="AC67" s="101"/>
      <c r="AD67" s="97"/>
      <c r="AE67" s="100"/>
      <c r="AF67" s="100"/>
      <c r="AG67" s="97"/>
      <c r="AH67" s="97"/>
      <c r="AI67" s="97"/>
      <c r="AJ67" s="97"/>
      <c r="AK67" s="97"/>
      <c r="AL67" s="97"/>
      <c r="AM67" s="97"/>
      <c r="AN67" s="97"/>
      <c r="AO67" s="97"/>
      <c r="AP67" s="100"/>
      <c r="AQ67" s="100"/>
      <c r="AR67" s="97"/>
    </row>
    <row r="68" s="66" customFormat="1" spans="2:44">
      <c r="B68" s="91" t="s">
        <v>4341</v>
      </c>
      <c r="C68" s="92">
        <v>65</v>
      </c>
      <c r="D68" s="93">
        <v>252610295</v>
      </c>
      <c r="E68" s="115" t="s">
        <v>1688</v>
      </c>
      <c r="F68" s="95" t="s">
        <v>1689</v>
      </c>
      <c r="G68" s="96" t="s">
        <v>1689</v>
      </c>
      <c r="H68" s="97"/>
      <c r="I68" s="96" t="s">
        <v>1688</v>
      </c>
      <c r="J68" s="96" t="s">
        <v>1688</v>
      </c>
      <c r="K68" s="97"/>
      <c r="L68" s="97"/>
      <c r="M68" s="98"/>
      <c r="N68" s="97"/>
      <c r="O68" s="97"/>
      <c r="P68" s="99"/>
      <c r="Q68" s="96"/>
      <c r="R68" s="96"/>
      <c r="S68" s="96"/>
      <c r="T68" s="88">
        <f t="shared" ref="T68:T131" si="1">Q68+R68+S68</f>
        <v>0</v>
      </c>
      <c r="U68" s="97"/>
      <c r="V68" s="100"/>
      <c r="W68" s="101"/>
      <c r="X68" s="101"/>
      <c r="Y68" s="101"/>
      <c r="Z68" s="101"/>
      <c r="AA68" s="101"/>
      <c r="AB68" s="101"/>
      <c r="AC68" s="101"/>
      <c r="AD68" s="97"/>
      <c r="AE68" s="100"/>
      <c r="AF68" s="100"/>
      <c r="AG68" s="97"/>
      <c r="AH68" s="97"/>
      <c r="AI68" s="97"/>
      <c r="AJ68" s="97"/>
      <c r="AK68" s="97"/>
      <c r="AL68" s="97"/>
      <c r="AM68" s="97"/>
      <c r="AN68" s="97"/>
      <c r="AO68" s="97"/>
      <c r="AP68" s="100"/>
      <c r="AQ68" s="100"/>
      <c r="AR68" s="97"/>
    </row>
    <row r="69" s="66" customFormat="1" spans="2:44">
      <c r="B69" s="91" t="s">
        <v>4386</v>
      </c>
      <c r="C69" s="92">
        <v>66</v>
      </c>
      <c r="D69" s="93">
        <v>252610340</v>
      </c>
      <c r="E69" s="94" t="s">
        <v>922</v>
      </c>
      <c r="F69" s="95" t="s">
        <v>923</v>
      </c>
      <c r="G69" s="96" t="s">
        <v>4067</v>
      </c>
      <c r="H69" s="97"/>
      <c r="I69" s="96" t="s">
        <v>922</v>
      </c>
      <c r="J69" s="96" t="s">
        <v>922</v>
      </c>
      <c r="K69" s="97"/>
      <c r="L69" s="97"/>
      <c r="M69" s="98"/>
      <c r="N69" s="97"/>
      <c r="O69" s="97"/>
      <c r="P69" s="88"/>
      <c r="Q69" s="96"/>
      <c r="R69" s="96"/>
      <c r="S69" s="96"/>
      <c r="T69" s="88">
        <f t="shared" si="1"/>
        <v>0</v>
      </c>
      <c r="U69" s="97"/>
      <c r="V69" s="100"/>
      <c r="W69" s="101"/>
      <c r="X69" s="101"/>
      <c r="Y69" s="101"/>
      <c r="Z69" s="101"/>
      <c r="AA69" s="101"/>
      <c r="AB69" s="101"/>
      <c r="AC69" s="101"/>
      <c r="AD69" s="97"/>
      <c r="AE69" s="100"/>
      <c r="AF69" s="100"/>
      <c r="AG69" s="97"/>
      <c r="AH69" s="97"/>
      <c r="AI69" s="97"/>
      <c r="AJ69" s="97"/>
      <c r="AK69" s="97"/>
      <c r="AL69" s="97"/>
      <c r="AM69" s="97"/>
      <c r="AN69" s="97"/>
      <c r="AO69" s="97"/>
      <c r="AP69" s="100"/>
      <c r="AQ69" s="100"/>
      <c r="AR69" s="97"/>
    </row>
    <row r="70" s="66" customFormat="1" spans="2:44">
      <c r="B70" s="91" t="s">
        <v>4674</v>
      </c>
      <c r="C70" s="92">
        <v>67</v>
      </c>
      <c r="D70" s="93">
        <v>252610390</v>
      </c>
      <c r="E70" s="115" t="s">
        <v>4070</v>
      </c>
      <c r="F70" s="95" t="s">
        <v>4068</v>
      </c>
      <c r="G70" s="96" t="s">
        <v>4068</v>
      </c>
      <c r="H70" s="97"/>
      <c r="I70" s="96">
        <v>1617231006</v>
      </c>
      <c r="J70" s="96" t="s">
        <v>4070</v>
      </c>
      <c r="K70" s="97"/>
      <c r="L70" s="97"/>
      <c r="M70" s="98"/>
      <c r="N70" s="97"/>
      <c r="O70" s="97"/>
      <c r="P70" s="99"/>
      <c r="Q70" s="96"/>
      <c r="R70" s="96"/>
      <c r="S70" s="96"/>
      <c r="T70" s="88">
        <f t="shared" si="1"/>
        <v>0</v>
      </c>
      <c r="U70" s="97"/>
      <c r="V70" s="100"/>
      <c r="W70" s="101"/>
      <c r="X70" s="101"/>
      <c r="Y70" s="101"/>
      <c r="Z70" s="101"/>
      <c r="AA70" s="101"/>
      <c r="AB70" s="101"/>
      <c r="AC70" s="101"/>
      <c r="AD70" s="97"/>
      <c r="AE70" s="100"/>
      <c r="AF70" s="100"/>
      <c r="AG70" s="97"/>
      <c r="AH70" s="97"/>
      <c r="AI70" s="97"/>
      <c r="AJ70" s="97"/>
      <c r="AK70" s="97"/>
      <c r="AL70" s="97"/>
      <c r="AM70" s="97"/>
      <c r="AN70" s="97"/>
      <c r="AO70" s="97"/>
      <c r="AP70" s="100"/>
      <c r="AQ70" s="100"/>
      <c r="AR70" s="97"/>
    </row>
    <row r="71" spans="2:44">
      <c r="B71" s="69" t="s">
        <v>4373</v>
      </c>
      <c r="C71" s="81">
        <v>68</v>
      </c>
      <c r="D71" s="82">
        <v>252610486</v>
      </c>
      <c r="E71" s="116" t="s">
        <v>1009</v>
      </c>
      <c r="F71" s="84" t="s">
        <v>1010</v>
      </c>
      <c r="G71" s="85" t="s">
        <v>4069</v>
      </c>
      <c r="H71" s="85" t="s">
        <v>4747</v>
      </c>
      <c r="I71" s="85" t="s">
        <v>1009</v>
      </c>
      <c r="J71" s="86" t="s">
        <v>1009</v>
      </c>
      <c r="K71" s="85" t="s">
        <v>90</v>
      </c>
      <c r="L71" s="85" t="s">
        <v>4357</v>
      </c>
      <c r="M71" s="87">
        <v>40297</v>
      </c>
      <c r="N71" s="85" t="s">
        <v>4307</v>
      </c>
      <c r="O71" s="85" t="s">
        <v>4344</v>
      </c>
      <c r="P71" s="88">
        <v>1</v>
      </c>
      <c r="Q71" s="88">
        <v>1</v>
      </c>
      <c r="R71" s="88">
        <v>0</v>
      </c>
      <c r="S71" s="88">
        <v>0</v>
      </c>
      <c r="T71" s="88">
        <f t="shared" si="1"/>
        <v>1</v>
      </c>
      <c r="U71" s="85" t="s">
        <v>4308</v>
      </c>
      <c r="V71" s="88">
        <v>0</v>
      </c>
      <c r="W71" s="109" t="s">
        <v>4748</v>
      </c>
      <c r="X71" s="109" t="s">
        <v>4714</v>
      </c>
      <c r="Y71" s="109" t="s">
        <v>4431</v>
      </c>
      <c r="Z71" s="109" t="s">
        <v>4494</v>
      </c>
      <c r="AA71" s="109" t="s">
        <v>4494</v>
      </c>
      <c r="AB71" s="109" t="s">
        <v>4451</v>
      </c>
      <c r="AC71" s="109">
        <v>40534</v>
      </c>
      <c r="AD71" s="85" t="s">
        <v>4749</v>
      </c>
      <c r="AE71" s="88" t="s">
        <v>4422</v>
      </c>
      <c r="AF71" s="88" t="s">
        <v>4750</v>
      </c>
      <c r="AG71" s="85" t="s">
        <v>4751</v>
      </c>
      <c r="AH71" s="85" t="s">
        <v>4752</v>
      </c>
      <c r="AI71" s="85" t="s">
        <v>4318</v>
      </c>
      <c r="AJ71" s="85" t="s">
        <v>4456</v>
      </c>
      <c r="AK71" s="85" t="s">
        <v>4337</v>
      </c>
      <c r="AL71" s="90"/>
      <c r="AM71" s="85" t="s">
        <v>4372</v>
      </c>
      <c r="AN71" s="85" t="s">
        <v>4592</v>
      </c>
      <c r="AO71" s="90"/>
      <c r="AP71" s="88">
        <v>165</v>
      </c>
      <c r="AQ71" s="88">
        <v>48</v>
      </c>
      <c r="AR71" s="85" t="s">
        <v>4322</v>
      </c>
    </row>
    <row r="72" spans="2:44">
      <c r="B72" s="69" t="s">
        <v>4642</v>
      </c>
      <c r="C72" s="81">
        <v>69</v>
      </c>
      <c r="D72" s="82">
        <v>252610535</v>
      </c>
      <c r="E72" s="116" t="s">
        <v>1011</v>
      </c>
      <c r="F72" s="84" t="s">
        <v>1012</v>
      </c>
      <c r="G72" s="104" t="s">
        <v>1012</v>
      </c>
      <c r="H72" s="104" t="s">
        <v>4753</v>
      </c>
      <c r="I72" s="104" t="s">
        <v>1011</v>
      </c>
      <c r="J72" s="86" t="s">
        <v>1011</v>
      </c>
      <c r="K72" s="104" t="s">
        <v>90</v>
      </c>
      <c r="L72" s="104" t="s">
        <v>4343</v>
      </c>
      <c r="M72" s="105">
        <v>40048</v>
      </c>
      <c r="N72" s="104" t="s">
        <v>4328</v>
      </c>
      <c r="O72" s="104" t="s">
        <v>4489</v>
      </c>
      <c r="P72" s="99">
        <v>2</v>
      </c>
      <c r="Q72" s="99">
        <v>3</v>
      </c>
      <c r="R72" s="99">
        <v>0</v>
      </c>
      <c r="S72" s="99">
        <v>0</v>
      </c>
      <c r="T72" s="88">
        <f t="shared" si="1"/>
        <v>3</v>
      </c>
      <c r="U72" s="104" t="s">
        <v>4754</v>
      </c>
      <c r="V72" s="99" t="s">
        <v>4595</v>
      </c>
      <c r="W72" s="108" t="s">
        <v>4755</v>
      </c>
      <c r="X72" s="108" t="s">
        <v>4391</v>
      </c>
      <c r="Y72" s="108" t="s">
        <v>4756</v>
      </c>
      <c r="Z72" s="108" t="s">
        <v>4757</v>
      </c>
      <c r="AA72" s="108" t="s">
        <v>4420</v>
      </c>
      <c r="AB72" s="108" t="s">
        <v>4420</v>
      </c>
      <c r="AC72" s="108">
        <v>40217</v>
      </c>
      <c r="AD72" s="104" t="s">
        <v>4758</v>
      </c>
      <c r="AE72" s="99" t="s">
        <v>4410</v>
      </c>
      <c r="AF72" s="99" t="s">
        <v>4750</v>
      </c>
      <c r="AG72" s="104" t="s">
        <v>4759</v>
      </c>
      <c r="AH72" s="104" t="s">
        <v>4760</v>
      </c>
      <c r="AI72" s="104" t="s">
        <v>4318</v>
      </c>
      <c r="AJ72" s="104" t="s">
        <v>4384</v>
      </c>
      <c r="AK72" s="104" t="s">
        <v>4319</v>
      </c>
      <c r="AL72" s="106"/>
      <c r="AM72" s="104" t="s">
        <v>4372</v>
      </c>
      <c r="AN72" s="104" t="s">
        <v>4427</v>
      </c>
      <c r="AO72" s="106"/>
      <c r="AP72" s="99">
        <v>153</v>
      </c>
      <c r="AQ72" s="99">
        <v>38</v>
      </c>
      <c r="AR72" s="104" t="s">
        <v>4322</v>
      </c>
    </row>
    <row r="73" s="66" customFormat="1" spans="2:44">
      <c r="B73" s="91" t="s">
        <v>4325</v>
      </c>
      <c r="C73" s="92">
        <v>70</v>
      </c>
      <c r="D73" s="93">
        <v>252610009</v>
      </c>
      <c r="E73" s="118" t="s">
        <v>1690</v>
      </c>
      <c r="F73" s="119" t="s">
        <v>1691</v>
      </c>
      <c r="G73" s="96" t="s">
        <v>1691</v>
      </c>
      <c r="H73" s="97"/>
      <c r="I73" s="96" t="s">
        <v>1690</v>
      </c>
      <c r="J73" s="96" t="s">
        <v>1690</v>
      </c>
      <c r="K73" s="97"/>
      <c r="L73" s="97"/>
      <c r="M73" s="98"/>
      <c r="N73" s="97"/>
      <c r="O73" s="97"/>
      <c r="P73" s="88"/>
      <c r="Q73" s="96"/>
      <c r="R73" s="96"/>
      <c r="S73" s="96"/>
      <c r="T73" s="88">
        <f t="shared" si="1"/>
        <v>0</v>
      </c>
      <c r="U73" s="97"/>
      <c r="V73" s="100"/>
      <c r="W73" s="101"/>
      <c r="X73" s="101"/>
      <c r="Y73" s="101"/>
      <c r="Z73" s="101"/>
      <c r="AA73" s="101"/>
      <c r="AB73" s="101"/>
      <c r="AC73" s="101"/>
      <c r="AD73" s="97"/>
      <c r="AE73" s="100"/>
      <c r="AF73" s="100"/>
      <c r="AG73" s="97"/>
      <c r="AH73" s="97"/>
      <c r="AI73" s="97"/>
      <c r="AJ73" s="97"/>
      <c r="AK73" s="97"/>
      <c r="AL73" s="97"/>
      <c r="AM73" s="97"/>
      <c r="AN73" s="97"/>
      <c r="AO73" s="97"/>
      <c r="AP73" s="100"/>
      <c r="AQ73" s="100"/>
      <c r="AR73" s="97"/>
    </row>
    <row r="74" spans="2:44">
      <c r="B74" s="69" t="s">
        <v>4354</v>
      </c>
      <c r="C74" s="81">
        <v>71</v>
      </c>
      <c r="D74" s="82">
        <v>252610054</v>
      </c>
      <c r="E74" s="83" t="s">
        <v>924</v>
      </c>
      <c r="F74" s="84" t="s">
        <v>925</v>
      </c>
      <c r="G74" s="104" t="s">
        <v>4071</v>
      </c>
      <c r="H74" s="104" t="s">
        <v>4761</v>
      </c>
      <c r="I74" s="104" t="s">
        <v>924</v>
      </c>
      <c r="J74" s="86" t="s">
        <v>4074</v>
      </c>
      <c r="K74" s="104" t="s">
        <v>90</v>
      </c>
      <c r="L74" s="104" t="s">
        <v>4762</v>
      </c>
      <c r="M74" s="105">
        <v>39970</v>
      </c>
      <c r="N74" s="104" t="s">
        <v>4541</v>
      </c>
      <c r="O74" s="104" t="s">
        <v>4308</v>
      </c>
      <c r="P74" s="99">
        <v>1</v>
      </c>
      <c r="Q74" s="99">
        <v>3</v>
      </c>
      <c r="R74" s="99">
        <v>0</v>
      </c>
      <c r="S74" s="99">
        <v>0</v>
      </c>
      <c r="T74" s="88">
        <f t="shared" si="1"/>
        <v>3</v>
      </c>
      <c r="U74" s="104" t="s">
        <v>4583</v>
      </c>
      <c r="V74" s="99" t="s">
        <v>4310</v>
      </c>
      <c r="W74" s="108" t="s">
        <v>4763</v>
      </c>
      <c r="X74" s="108" t="s">
        <v>4703</v>
      </c>
      <c r="Y74" s="108" t="s">
        <v>4632</v>
      </c>
      <c r="Z74" s="108" t="s">
        <v>4764</v>
      </c>
      <c r="AA74" s="108" t="s">
        <v>4765</v>
      </c>
      <c r="AB74" s="108" t="s">
        <v>4766</v>
      </c>
      <c r="AC74" s="108">
        <v>40213</v>
      </c>
      <c r="AD74" s="104" t="s">
        <v>4767</v>
      </c>
      <c r="AE74" s="99" t="s">
        <v>4768</v>
      </c>
      <c r="AF74" s="99" t="s">
        <v>4658</v>
      </c>
      <c r="AG74" s="104" t="s">
        <v>4769</v>
      </c>
      <c r="AH74" s="104" t="s">
        <v>4770</v>
      </c>
      <c r="AI74" s="104" t="s">
        <v>4352</v>
      </c>
      <c r="AJ74" s="104" t="s">
        <v>4683</v>
      </c>
      <c r="AK74" s="104" t="s">
        <v>4441</v>
      </c>
      <c r="AL74" s="104" t="s">
        <v>4771</v>
      </c>
      <c r="AM74" s="104" t="s">
        <v>4441</v>
      </c>
      <c r="AN74" s="104" t="s">
        <v>4772</v>
      </c>
      <c r="AO74" s="106"/>
      <c r="AP74" s="99">
        <v>156</v>
      </c>
      <c r="AQ74" s="99">
        <v>53</v>
      </c>
      <c r="AR74" s="104" t="s">
        <v>4415</v>
      </c>
    </row>
    <row r="75" spans="2:44">
      <c r="B75" s="69" t="s">
        <v>4324</v>
      </c>
      <c r="C75" s="81">
        <v>72</v>
      </c>
      <c r="D75" s="82">
        <v>252610101</v>
      </c>
      <c r="E75" s="83" t="s">
        <v>1124</v>
      </c>
      <c r="F75" s="84" t="s">
        <v>1125</v>
      </c>
      <c r="G75" s="85" t="s">
        <v>4072</v>
      </c>
      <c r="H75" s="85" t="s">
        <v>4773</v>
      </c>
      <c r="I75" s="85" t="s">
        <v>1124</v>
      </c>
      <c r="J75" s="86" t="s">
        <v>1124</v>
      </c>
      <c r="K75" s="85" t="s">
        <v>90</v>
      </c>
      <c r="L75" s="85" t="s">
        <v>4357</v>
      </c>
      <c r="M75" s="87">
        <v>40102</v>
      </c>
      <c r="N75" s="85" t="s">
        <v>4541</v>
      </c>
      <c r="O75" s="85" t="s">
        <v>4308</v>
      </c>
      <c r="P75" s="88">
        <v>4</v>
      </c>
      <c r="Q75" s="88">
        <v>3</v>
      </c>
      <c r="R75" s="88">
        <v>0</v>
      </c>
      <c r="S75" s="88">
        <v>0</v>
      </c>
      <c r="T75" s="88">
        <f t="shared" si="1"/>
        <v>3</v>
      </c>
      <c r="U75" s="85" t="s">
        <v>4675</v>
      </c>
      <c r="V75" s="88" t="s">
        <v>4595</v>
      </c>
      <c r="W75" s="109" t="s">
        <v>4774</v>
      </c>
      <c r="X75" s="109" t="s">
        <v>4392</v>
      </c>
      <c r="Y75" s="109" t="s">
        <v>4606</v>
      </c>
      <c r="Z75" s="112"/>
      <c r="AA75" s="109" t="s">
        <v>4478</v>
      </c>
      <c r="AB75" s="109" t="s">
        <v>4775</v>
      </c>
      <c r="AC75" s="109">
        <v>40213</v>
      </c>
      <c r="AD75" s="85" t="s">
        <v>4776</v>
      </c>
      <c r="AE75" s="88" t="s">
        <v>4366</v>
      </c>
      <c r="AF75" s="88" t="s">
        <v>4750</v>
      </c>
      <c r="AG75" s="85" t="s">
        <v>4777</v>
      </c>
      <c r="AH75" s="85" t="s">
        <v>4778</v>
      </c>
      <c r="AI75" s="85" t="s">
        <v>4626</v>
      </c>
      <c r="AJ75" s="85" t="s">
        <v>4779</v>
      </c>
      <c r="AK75" s="85" t="s">
        <v>4553</v>
      </c>
      <c r="AL75" s="90"/>
      <c r="AM75" s="85" t="s">
        <v>4372</v>
      </c>
      <c r="AN75" s="85" t="s">
        <v>4780</v>
      </c>
      <c r="AO75" s="90"/>
      <c r="AP75" s="88">
        <v>156</v>
      </c>
      <c r="AQ75" s="88">
        <v>46</v>
      </c>
      <c r="AR75" s="85" t="s">
        <v>4538</v>
      </c>
    </row>
    <row r="76" s="66" customFormat="1" spans="2:44">
      <c r="B76" s="91" t="s">
        <v>4355</v>
      </c>
      <c r="C76" s="92">
        <v>73</v>
      </c>
      <c r="D76" s="93">
        <v>252610150</v>
      </c>
      <c r="E76" s="115" t="s">
        <v>1211</v>
      </c>
      <c r="F76" s="95" t="s">
        <v>1212</v>
      </c>
      <c r="G76" s="96" t="s">
        <v>4073</v>
      </c>
      <c r="H76" s="97"/>
      <c r="I76" s="96" t="s">
        <v>1211</v>
      </c>
      <c r="J76" s="96" t="s">
        <v>1211</v>
      </c>
      <c r="K76" s="97"/>
      <c r="L76" s="97"/>
      <c r="M76" s="98"/>
      <c r="N76" s="97"/>
      <c r="O76" s="97"/>
      <c r="P76" s="99"/>
      <c r="Q76" s="96"/>
      <c r="R76" s="96"/>
      <c r="S76" s="96"/>
      <c r="T76" s="88">
        <f t="shared" si="1"/>
        <v>0</v>
      </c>
      <c r="U76" s="97"/>
      <c r="V76" s="100"/>
      <c r="W76" s="101"/>
      <c r="X76" s="101"/>
      <c r="Y76" s="101"/>
      <c r="Z76" s="101"/>
      <c r="AA76" s="101"/>
      <c r="AB76" s="101"/>
      <c r="AC76" s="101"/>
      <c r="AD76" s="97"/>
      <c r="AE76" s="100"/>
      <c r="AF76" s="100"/>
      <c r="AG76" s="97"/>
      <c r="AH76" s="97"/>
      <c r="AI76" s="97"/>
      <c r="AJ76" s="97"/>
      <c r="AK76" s="97"/>
      <c r="AL76" s="97"/>
      <c r="AM76" s="97"/>
      <c r="AN76" s="97"/>
      <c r="AO76" s="97"/>
      <c r="AP76" s="100"/>
      <c r="AQ76" s="100"/>
      <c r="AR76" s="97"/>
    </row>
    <row r="77" s="66" customFormat="1" spans="2:44">
      <c r="B77" s="91" t="s">
        <v>4642</v>
      </c>
      <c r="C77" s="92">
        <v>74</v>
      </c>
      <c r="D77" s="93">
        <v>252610536</v>
      </c>
      <c r="E77" s="94" t="s">
        <v>1981</v>
      </c>
      <c r="F77" s="95" t="s">
        <v>1982</v>
      </c>
      <c r="G77" s="96" t="s">
        <v>1982</v>
      </c>
      <c r="H77" s="97"/>
      <c r="I77" s="96" t="s">
        <v>1981</v>
      </c>
      <c r="J77" s="96" t="s">
        <v>1981</v>
      </c>
      <c r="K77" s="97"/>
      <c r="L77" s="97"/>
      <c r="M77" s="98"/>
      <c r="N77" s="97"/>
      <c r="O77" s="97"/>
      <c r="P77" s="99"/>
      <c r="Q77" s="96"/>
      <c r="R77" s="96"/>
      <c r="S77" s="96"/>
      <c r="T77" s="88">
        <f t="shared" si="1"/>
        <v>0</v>
      </c>
      <c r="U77" s="97"/>
      <c r="V77" s="100"/>
      <c r="W77" s="101"/>
      <c r="X77" s="101"/>
      <c r="Y77" s="101"/>
      <c r="Z77" s="101"/>
      <c r="AA77" s="101"/>
      <c r="AB77" s="101"/>
      <c r="AC77" s="101"/>
      <c r="AD77" s="97"/>
      <c r="AE77" s="100"/>
      <c r="AF77" s="100"/>
      <c r="AG77" s="97"/>
      <c r="AH77" s="97"/>
      <c r="AI77" s="97"/>
      <c r="AJ77" s="97"/>
      <c r="AK77" s="97"/>
      <c r="AL77" s="97"/>
      <c r="AM77" s="97"/>
      <c r="AN77" s="97"/>
      <c r="AO77" s="97"/>
      <c r="AP77" s="100"/>
      <c r="AQ77" s="100"/>
      <c r="AR77" s="97"/>
    </row>
    <row r="78" spans="2:44">
      <c r="B78" s="69" t="s">
        <v>4325</v>
      </c>
      <c r="C78" s="81">
        <v>75</v>
      </c>
      <c r="D78" s="82">
        <v>252610010</v>
      </c>
      <c r="E78" s="102" t="s">
        <v>1500</v>
      </c>
      <c r="F78" s="103" t="s">
        <v>1501</v>
      </c>
      <c r="G78" s="85" t="s">
        <v>1501</v>
      </c>
      <c r="H78" s="85" t="s">
        <v>4781</v>
      </c>
      <c r="I78" s="85" t="s">
        <v>1500</v>
      </c>
      <c r="J78" s="86" t="s">
        <v>1500</v>
      </c>
      <c r="K78" s="85" t="s">
        <v>90</v>
      </c>
      <c r="L78" s="85" t="s">
        <v>4629</v>
      </c>
      <c r="M78" s="87">
        <v>39990</v>
      </c>
      <c r="N78" s="85" t="s">
        <v>4328</v>
      </c>
      <c r="O78" s="85" t="s">
        <v>4489</v>
      </c>
      <c r="P78" s="88">
        <v>1</v>
      </c>
      <c r="Q78" s="99">
        <v>2</v>
      </c>
      <c r="R78" s="99">
        <v>0</v>
      </c>
      <c r="S78" s="99">
        <v>0</v>
      </c>
      <c r="T78" s="88">
        <f t="shared" si="1"/>
        <v>2</v>
      </c>
      <c r="U78" s="85" t="s">
        <v>4489</v>
      </c>
      <c r="V78" s="88">
        <v>0</v>
      </c>
      <c r="W78" s="109" t="s">
        <v>4782</v>
      </c>
      <c r="X78" s="109" t="s">
        <v>4464</v>
      </c>
      <c r="Y78" s="109">
        <v>29</v>
      </c>
      <c r="Z78" s="109" t="s">
        <v>4783</v>
      </c>
      <c r="AA78" s="109" t="s">
        <v>4494</v>
      </c>
      <c r="AB78" s="109" t="s">
        <v>4451</v>
      </c>
      <c r="AC78" s="109">
        <v>40534</v>
      </c>
      <c r="AD78" s="85" t="s">
        <v>4784</v>
      </c>
      <c r="AE78" s="88" t="s">
        <v>4410</v>
      </c>
      <c r="AF78" s="88" t="s">
        <v>4398</v>
      </c>
      <c r="AG78" s="85" t="s">
        <v>4785</v>
      </c>
      <c r="AH78" s="85" t="s">
        <v>4786</v>
      </c>
      <c r="AI78" s="85" t="s">
        <v>4787</v>
      </c>
      <c r="AJ78" s="85" t="s">
        <v>4788</v>
      </c>
      <c r="AK78" s="85" t="s">
        <v>4320</v>
      </c>
      <c r="AL78" s="90"/>
      <c r="AM78" s="85" t="s">
        <v>4320</v>
      </c>
      <c r="AN78" s="85" t="s">
        <v>4789</v>
      </c>
      <c r="AO78" s="90"/>
      <c r="AP78" s="88">
        <v>154</v>
      </c>
      <c r="AQ78" s="88">
        <v>48</v>
      </c>
      <c r="AR78" s="85" t="s">
        <v>4517</v>
      </c>
    </row>
    <row r="79" s="66" customFormat="1" spans="2:44">
      <c r="B79" s="91" t="s">
        <v>4304</v>
      </c>
      <c r="C79" s="92">
        <v>76</v>
      </c>
      <c r="D79" s="93">
        <v>252610439</v>
      </c>
      <c r="E79" s="115" t="s">
        <v>1887</v>
      </c>
      <c r="F79" s="95" t="s">
        <v>1888</v>
      </c>
      <c r="G79" s="96" t="s">
        <v>4076</v>
      </c>
      <c r="H79" s="97"/>
      <c r="I79" s="96" t="s">
        <v>1887</v>
      </c>
      <c r="J79" s="96" t="s">
        <v>1887</v>
      </c>
      <c r="K79" s="97"/>
      <c r="L79" s="97"/>
      <c r="M79" s="98"/>
      <c r="N79" s="97"/>
      <c r="O79" s="97"/>
      <c r="P79" s="99"/>
      <c r="Q79" s="96"/>
      <c r="R79" s="96"/>
      <c r="S79" s="96"/>
      <c r="T79" s="88">
        <f t="shared" si="1"/>
        <v>0</v>
      </c>
      <c r="U79" s="97"/>
      <c r="V79" s="100"/>
      <c r="W79" s="101"/>
      <c r="X79" s="101"/>
      <c r="Y79" s="101"/>
      <c r="Z79" s="101"/>
      <c r="AA79" s="101"/>
      <c r="AB79" s="101"/>
      <c r="AC79" s="101"/>
      <c r="AD79" s="97"/>
      <c r="AE79" s="100"/>
      <c r="AF79" s="100"/>
      <c r="AG79" s="97"/>
      <c r="AH79" s="97"/>
      <c r="AI79" s="97"/>
      <c r="AJ79" s="97"/>
      <c r="AK79" s="97"/>
      <c r="AL79" s="97"/>
      <c r="AM79" s="97"/>
      <c r="AN79" s="97"/>
      <c r="AO79" s="97"/>
      <c r="AP79" s="100"/>
      <c r="AQ79" s="100"/>
      <c r="AR79" s="97"/>
    </row>
    <row r="80" s="66" customFormat="1" spans="2:44">
      <c r="B80" s="91" t="s">
        <v>4373</v>
      </c>
      <c r="C80" s="92">
        <v>77</v>
      </c>
      <c r="D80" s="93">
        <v>252610487</v>
      </c>
      <c r="E80" s="115" t="s">
        <v>1983</v>
      </c>
      <c r="F80" s="95" t="s">
        <v>1984</v>
      </c>
      <c r="G80" s="96" t="s">
        <v>4077</v>
      </c>
      <c r="H80" s="97"/>
      <c r="I80" s="96" t="s">
        <v>1983</v>
      </c>
      <c r="J80" s="96" t="s">
        <v>1983</v>
      </c>
      <c r="K80" s="97"/>
      <c r="L80" s="97"/>
      <c r="M80" s="98"/>
      <c r="N80" s="97"/>
      <c r="O80" s="97"/>
      <c r="P80" s="88"/>
      <c r="Q80" s="96"/>
      <c r="R80" s="96"/>
      <c r="S80" s="96"/>
      <c r="T80" s="88">
        <f t="shared" si="1"/>
        <v>0</v>
      </c>
      <c r="U80" s="97"/>
      <c r="V80" s="100"/>
      <c r="W80" s="101"/>
      <c r="X80" s="101"/>
      <c r="Y80" s="101"/>
      <c r="Z80" s="101"/>
      <c r="AA80" s="101"/>
      <c r="AB80" s="101"/>
      <c r="AC80" s="101"/>
      <c r="AD80" s="97"/>
      <c r="AE80" s="100"/>
      <c r="AF80" s="100"/>
      <c r="AG80" s="97"/>
      <c r="AH80" s="97"/>
      <c r="AI80" s="97"/>
      <c r="AJ80" s="97"/>
      <c r="AK80" s="97"/>
      <c r="AL80" s="97"/>
      <c r="AM80" s="97"/>
      <c r="AN80" s="97"/>
      <c r="AO80" s="97"/>
      <c r="AP80" s="100"/>
      <c r="AQ80" s="100"/>
      <c r="AR80" s="97"/>
    </row>
    <row r="81" spans="2:44">
      <c r="B81" s="69" t="s">
        <v>4386</v>
      </c>
      <c r="C81" s="81">
        <v>78</v>
      </c>
      <c r="D81" s="82">
        <v>252610341</v>
      </c>
      <c r="E81" s="83" t="s">
        <v>1395</v>
      </c>
      <c r="F81" s="84" t="s">
        <v>1396</v>
      </c>
      <c r="G81" s="104" t="s">
        <v>1396</v>
      </c>
      <c r="H81" s="104" t="s">
        <v>4790</v>
      </c>
      <c r="I81" s="104" t="s">
        <v>1395</v>
      </c>
      <c r="J81" s="86" t="s">
        <v>1395</v>
      </c>
      <c r="K81" s="104" t="s">
        <v>89</v>
      </c>
      <c r="L81" s="104" t="s">
        <v>4357</v>
      </c>
      <c r="M81" s="105">
        <v>40205</v>
      </c>
      <c r="N81" s="104" t="s">
        <v>4541</v>
      </c>
      <c r="O81" s="104" t="s">
        <v>4344</v>
      </c>
      <c r="P81" s="99">
        <v>2</v>
      </c>
      <c r="Q81" s="88">
        <v>1</v>
      </c>
      <c r="R81" s="88">
        <v>0</v>
      </c>
      <c r="S81" s="88">
        <v>0</v>
      </c>
      <c r="T81" s="88">
        <f t="shared" si="1"/>
        <v>1</v>
      </c>
      <c r="U81" s="104" t="s">
        <v>4791</v>
      </c>
      <c r="V81" s="99" t="s">
        <v>4330</v>
      </c>
      <c r="W81" s="108" t="s">
        <v>4792</v>
      </c>
      <c r="X81" s="108" t="s">
        <v>4419</v>
      </c>
      <c r="Y81" s="108" t="s">
        <v>4793</v>
      </c>
      <c r="Z81" s="108" t="s">
        <v>4794</v>
      </c>
      <c r="AA81" s="108" t="s">
        <v>4795</v>
      </c>
      <c r="AB81" s="108" t="s">
        <v>4395</v>
      </c>
      <c r="AC81" s="108">
        <v>40215</v>
      </c>
      <c r="AD81" s="104" t="s">
        <v>4796</v>
      </c>
      <c r="AE81" s="99" t="s">
        <v>4410</v>
      </c>
      <c r="AF81" s="99" t="s">
        <v>4576</v>
      </c>
      <c r="AG81" s="104" t="s">
        <v>4797</v>
      </c>
      <c r="AH81" s="104" t="s">
        <v>4798</v>
      </c>
      <c r="AI81" s="104" t="s">
        <v>4799</v>
      </c>
      <c r="AJ81" s="104" t="s">
        <v>4799</v>
      </c>
      <c r="AK81" s="104" t="s">
        <v>4337</v>
      </c>
      <c r="AL81" s="106"/>
      <c r="AM81" s="104" t="s">
        <v>4372</v>
      </c>
      <c r="AN81" s="104" t="s">
        <v>4800</v>
      </c>
      <c r="AO81" s="106"/>
      <c r="AP81" s="99" t="s">
        <v>4801</v>
      </c>
      <c r="AQ81" s="99" t="s">
        <v>4802</v>
      </c>
      <c r="AR81" s="104" t="s">
        <v>4443</v>
      </c>
    </row>
    <row r="82" s="66" customFormat="1" spans="2:44">
      <c r="B82" s="91" t="s">
        <v>4325</v>
      </c>
      <c r="C82" s="92">
        <v>79</v>
      </c>
      <c r="D82" s="93">
        <v>252610011</v>
      </c>
      <c r="E82" s="118" t="s">
        <v>1588</v>
      </c>
      <c r="F82" s="119" t="s">
        <v>1589</v>
      </c>
      <c r="G82" s="96" t="s">
        <v>4078</v>
      </c>
      <c r="H82" s="97"/>
      <c r="I82" s="96" t="s">
        <v>1588</v>
      </c>
      <c r="J82" s="96" t="s">
        <v>1588</v>
      </c>
      <c r="K82" s="97"/>
      <c r="L82" s="97"/>
      <c r="M82" s="98"/>
      <c r="N82" s="97"/>
      <c r="O82" s="97"/>
      <c r="P82" s="88"/>
      <c r="Q82" s="96"/>
      <c r="R82" s="96"/>
      <c r="S82" s="96"/>
      <c r="T82" s="88">
        <f t="shared" si="1"/>
        <v>0</v>
      </c>
      <c r="U82" s="97"/>
      <c r="V82" s="100"/>
      <c r="W82" s="101"/>
      <c r="X82" s="101"/>
      <c r="Y82" s="101"/>
      <c r="Z82" s="101"/>
      <c r="AA82" s="101"/>
      <c r="AB82" s="101"/>
      <c r="AC82" s="101"/>
      <c r="AD82" s="97"/>
      <c r="AE82" s="100"/>
      <c r="AF82" s="100"/>
      <c r="AG82" s="97"/>
      <c r="AH82" s="97"/>
      <c r="AI82" s="97"/>
      <c r="AJ82" s="97"/>
      <c r="AK82" s="97"/>
      <c r="AL82" s="97"/>
      <c r="AM82" s="97"/>
      <c r="AN82" s="97"/>
      <c r="AO82" s="97"/>
      <c r="AP82" s="100"/>
      <c r="AQ82" s="100"/>
      <c r="AR82" s="97"/>
    </row>
    <row r="83" s="66" customFormat="1" spans="2:44">
      <c r="B83" s="91" t="s">
        <v>4568</v>
      </c>
      <c r="C83" s="92">
        <v>80</v>
      </c>
      <c r="D83" s="93">
        <v>252610198</v>
      </c>
      <c r="E83" s="115" t="s">
        <v>1299</v>
      </c>
      <c r="F83" s="95" t="s">
        <v>1300</v>
      </c>
      <c r="G83" s="96" t="s">
        <v>4803</v>
      </c>
      <c r="H83" s="97"/>
      <c r="I83" s="96" t="s">
        <v>1299</v>
      </c>
      <c r="J83" s="96" t="s">
        <v>1299</v>
      </c>
      <c r="K83" s="97"/>
      <c r="L83" s="97"/>
      <c r="M83" s="98"/>
      <c r="N83" s="97"/>
      <c r="O83" s="97"/>
      <c r="P83" s="120"/>
      <c r="Q83" s="96"/>
      <c r="R83" s="96"/>
      <c r="S83" s="96"/>
      <c r="T83" s="88">
        <f t="shared" si="1"/>
        <v>0</v>
      </c>
      <c r="U83" s="97"/>
      <c r="V83" s="100"/>
      <c r="W83" s="101"/>
      <c r="X83" s="101"/>
      <c r="Y83" s="101"/>
      <c r="Z83" s="101"/>
      <c r="AA83" s="101"/>
      <c r="AB83" s="101"/>
      <c r="AC83" s="101"/>
      <c r="AD83" s="97"/>
      <c r="AE83" s="100"/>
      <c r="AF83" s="100"/>
      <c r="AG83" s="97"/>
      <c r="AH83" s="97"/>
      <c r="AI83" s="97"/>
      <c r="AJ83" s="97"/>
      <c r="AK83" s="97"/>
      <c r="AL83" s="97"/>
      <c r="AM83" s="97"/>
      <c r="AN83" s="97"/>
      <c r="AO83" s="97"/>
      <c r="AP83" s="100"/>
      <c r="AQ83" s="100"/>
      <c r="AR83" s="97"/>
    </row>
    <row r="84" spans="2:44">
      <c r="B84" s="69" t="s">
        <v>4325</v>
      </c>
      <c r="C84" s="81">
        <v>81</v>
      </c>
      <c r="D84" s="82">
        <v>252610012</v>
      </c>
      <c r="E84" s="102" t="s">
        <v>1013</v>
      </c>
      <c r="F84" s="103" t="s">
        <v>1014</v>
      </c>
      <c r="G84" s="104" t="s">
        <v>4079</v>
      </c>
      <c r="H84" s="104" t="s">
        <v>4804</v>
      </c>
      <c r="I84" s="104" t="s">
        <v>1013</v>
      </c>
      <c r="J84" s="86" t="s">
        <v>1013</v>
      </c>
      <c r="K84" s="104" t="s">
        <v>90</v>
      </c>
      <c r="L84" s="104" t="s">
        <v>4343</v>
      </c>
      <c r="M84" s="105">
        <v>40326</v>
      </c>
      <c r="N84" s="104" t="s">
        <v>4307</v>
      </c>
      <c r="O84" s="104" t="s">
        <v>4344</v>
      </c>
      <c r="P84" s="99">
        <v>1</v>
      </c>
      <c r="Q84" s="88">
        <v>1</v>
      </c>
      <c r="R84" s="88">
        <v>0</v>
      </c>
      <c r="S84" s="88">
        <v>0</v>
      </c>
      <c r="T84" s="88">
        <f t="shared" si="1"/>
        <v>1</v>
      </c>
      <c r="U84" s="104" t="s">
        <v>4805</v>
      </c>
      <c r="V84" s="99">
        <v>0</v>
      </c>
      <c r="W84" s="108" t="s">
        <v>4806</v>
      </c>
      <c r="X84" s="108" t="s">
        <v>4477</v>
      </c>
      <c r="Y84" s="108" t="s">
        <v>4419</v>
      </c>
      <c r="Z84" s="108" t="s">
        <v>4432</v>
      </c>
      <c r="AA84" s="108" t="s">
        <v>4807</v>
      </c>
      <c r="AB84" s="108" t="s">
        <v>4434</v>
      </c>
      <c r="AC84" s="108">
        <v>40184</v>
      </c>
      <c r="AD84" s="104" t="s">
        <v>4808</v>
      </c>
      <c r="AE84" s="99" t="s">
        <v>4436</v>
      </c>
      <c r="AF84" s="99">
        <v>3</v>
      </c>
      <c r="AG84" s="104" t="s">
        <v>4809</v>
      </c>
      <c r="AH84" s="104" t="s">
        <v>4810</v>
      </c>
      <c r="AI84" s="104" t="s">
        <v>4318</v>
      </c>
      <c r="AJ84" s="104" t="s">
        <v>4318</v>
      </c>
      <c r="AK84" s="104" t="s">
        <v>4319</v>
      </c>
      <c r="AL84" s="106"/>
      <c r="AM84" s="104" t="s">
        <v>4319</v>
      </c>
      <c r="AN84" s="104" t="s">
        <v>4811</v>
      </c>
      <c r="AO84" s="106"/>
      <c r="AP84" s="99">
        <v>155</v>
      </c>
      <c r="AQ84" s="99">
        <v>50</v>
      </c>
      <c r="AR84" s="104" t="s">
        <v>4322</v>
      </c>
    </row>
    <row r="85" s="66" customFormat="1" spans="2:44">
      <c r="B85" s="91" t="s">
        <v>4323</v>
      </c>
      <c r="C85" s="92">
        <v>82</v>
      </c>
      <c r="D85" s="93">
        <v>252610247</v>
      </c>
      <c r="E85" s="115" t="s">
        <v>1692</v>
      </c>
      <c r="F85" s="95" t="s">
        <v>1693</v>
      </c>
      <c r="G85" s="96" t="s">
        <v>4080</v>
      </c>
      <c r="H85" s="97"/>
      <c r="I85" s="96" t="s">
        <v>1692</v>
      </c>
      <c r="J85" s="96" t="s">
        <v>1692</v>
      </c>
      <c r="K85" s="97"/>
      <c r="L85" s="97"/>
      <c r="M85" s="98"/>
      <c r="N85" s="97"/>
      <c r="O85" s="97"/>
      <c r="P85" s="88"/>
      <c r="Q85" s="96"/>
      <c r="R85" s="96"/>
      <c r="S85" s="96"/>
      <c r="T85" s="88">
        <f t="shared" si="1"/>
        <v>0</v>
      </c>
      <c r="U85" s="97"/>
      <c r="V85" s="100"/>
      <c r="W85" s="101"/>
      <c r="X85" s="101"/>
      <c r="Y85" s="101"/>
      <c r="Z85" s="101"/>
      <c r="AA85" s="101"/>
      <c r="AB85" s="101"/>
      <c r="AC85" s="101"/>
      <c r="AD85" s="97"/>
      <c r="AE85" s="100"/>
      <c r="AF85" s="100"/>
      <c r="AG85" s="97"/>
      <c r="AH85" s="97"/>
      <c r="AI85" s="97"/>
      <c r="AJ85" s="97"/>
      <c r="AK85" s="97"/>
      <c r="AL85" s="97"/>
      <c r="AM85" s="97"/>
      <c r="AN85" s="97"/>
      <c r="AO85" s="97"/>
      <c r="AP85" s="100"/>
      <c r="AQ85" s="100"/>
      <c r="AR85" s="97"/>
    </row>
    <row r="86" spans="2:44">
      <c r="B86" s="69" t="s">
        <v>4386</v>
      </c>
      <c r="C86" s="81">
        <v>83</v>
      </c>
      <c r="D86" s="82">
        <v>252610342</v>
      </c>
      <c r="E86" s="116" t="s">
        <v>1694</v>
      </c>
      <c r="F86" s="84" t="s">
        <v>1695</v>
      </c>
      <c r="G86" s="104" t="s">
        <v>1695</v>
      </c>
      <c r="H86" s="104" t="s">
        <v>4812</v>
      </c>
      <c r="I86" s="104" t="s">
        <v>1694</v>
      </c>
      <c r="J86" s="86" t="s">
        <v>1694</v>
      </c>
      <c r="K86" s="104" t="s">
        <v>90</v>
      </c>
      <c r="L86" s="104" t="s">
        <v>4343</v>
      </c>
      <c r="M86" s="105">
        <v>39941</v>
      </c>
      <c r="N86" s="104" t="s">
        <v>4307</v>
      </c>
      <c r="O86" s="104" t="s">
        <v>4329</v>
      </c>
      <c r="P86" s="99">
        <v>1</v>
      </c>
      <c r="Q86" s="88">
        <v>1</v>
      </c>
      <c r="R86" s="88">
        <v>0</v>
      </c>
      <c r="S86" s="88">
        <v>0</v>
      </c>
      <c r="T86" s="88">
        <f t="shared" si="1"/>
        <v>1</v>
      </c>
      <c r="U86" s="104" t="s">
        <v>4462</v>
      </c>
      <c r="V86" s="99">
        <v>0</v>
      </c>
      <c r="W86" s="108" t="s">
        <v>4813</v>
      </c>
      <c r="X86" s="108" t="s">
        <v>4392</v>
      </c>
      <c r="Y86" s="108" t="s">
        <v>4756</v>
      </c>
      <c r="Z86" s="108" t="s">
        <v>4406</v>
      </c>
      <c r="AA86" s="108" t="s">
        <v>4450</v>
      </c>
      <c r="AB86" s="108" t="s">
        <v>4408</v>
      </c>
      <c r="AC86" s="108">
        <v>40535</v>
      </c>
      <c r="AD86" s="104" t="s">
        <v>4814</v>
      </c>
      <c r="AE86" s="99" t="s">
        <v>4815</v>
      </c>
      <c r="AF86" s="99" t="s">
        <v>4381</v>
      </c>
      <c r="AG86" s="104" t="s">
        <v>4816</v>
      </c>
      <c r="AH86" s="104" t="s">
        <v>4817</v>
      </c>
      <c r="AI86" s="104" t="s">
        <v>4818</v>
      </c>
      <c r="AJ86" s="104" t="s">
        <v>4818</v>
      </c>
      <c r="AK86" s="104" t="s">
        <v>4338</v>
      </c>
      <c r="AL86" s="104" t="s">
        <v>4819</v>
      </c>
      <c r="AM86" s="104" t="s">
        <v>4338</v>
      </c>
      <c r="AN86" s="104" t="s">
        <v>4820</v>
      </c>
      <c r="AO86" s="104" t="s">
        <v>4821</v>
      </c>
      <c r="AP86" s="99">
        <v>165</v>
      </c>
      <c r="AQ86" s="99">
        <v>50</v>
      </c>
      <c r="AR86" s="104" t="s">
        <v>4443</v>
      </c>
    </row>
    <row r="87" s="66" customFormat="1" spans="2:44">
      <c r="B87" s="91" t="s">
        <v>4341</v>
      </c>
      <c r="C87" s="92">
        <v>84</v>
      </c>
      <c r="D87" s="93">
        <v>252610296</v>
      </c>
      <c r="E87" s="94" t="s">
        <v>1015</v>
      </c>
      <c r="F87" s="95" t="s">
        <v>1016</v>
      </c>
      <c r="G87" s="96" t="s">
        <v>1016</v>
      </c>
      <c r="H87" s="97"/>
      <c r="I87" s="96" t="s">
        <v>1015</v>
      </c>
      <c r="J87" s="96" t="s">
        <v>1015</v>
      </c>
      <c r="K87" s="97"/>
      <c r="L87" s="97"/>
      <c r="M87" s="98"/>
      <c r="N87" s="97"/>
      <c r="O87" s="97"/>
      <c r="P87" s="88"/>
      <c r="Q87" s="96"/>
      <c r="R87" s="96"/>
      <c r="S87" s="96"/>
      <c r="T87" s="88">
        <f t="shared" si="1"/>
        <v>0</v>
      </c>
      <c r="U87" s="97"/>
      <c r="V87" s="100"/>
      <c r="W87" s="101"/>
      <c r="X87" s="101"/>
      <c r="Y87" s="101"/>
      <c r="Z87" s="101"/>
      <c r="AA87" s="101"/>
      <c r="AB87" s="101"/>
      <c r="AC87" s="101"/>
      <c r="AD87" s="97"/>
      <c r="AE87" s="100"/>
      <c r="AF87" s="100"/>
      <c r="AG87" s="97"/>
      <c r="AH87" s="97"/>
      <c r="AI87" s="97"/>
      <c r="AJ87" s="97"/>
      <c r="AK87" s="97"/>
      <c r="AL87" s="97"/>
      <c r="AM87" s="97"/>
      <c r="AN87" s="97"/>
      <c r="AO87" s="97"/>
      <c r="AP87" s="100"/>
      <c r="AQ87" s="100"/>
      <c r="AR87" s="97"/>
    </row>
    <row r="88" s="66" customFormat="1" spans="2:44">
      <c r="B88" s="91" t="s">
        <v>4386</v>
      </c>
      <c r="C88" s="92">
        <v>85</v>
      </c>
      <c r="D88" s="93">
        <v>252610343</v>
      </c>
      <c r="E88" s="115" t="s">
        <v>1696</v>
      </c>
      <c r="F88" s="95" t="s">
        <v>1697</v>
      </c>
      <c r="G88" s="96" t="s">
        <v>1697</v>
      </c>
      <c r="H88" s="97"/>
      <c r="I88" s="96" t="s">
        <v>1696</v>
      </c>
      <c r="J88" s="96" t="s">
        <v>1696</v>
      </c>
      <c r="K88" s="97"/>
      <c r="L88" s="97"/>
      <c r="M88" s="98"/>
      <c r="N88" s="97"/>
      <c r="O88" s="97"/>
      <c r="P88" s="99"/>
      <c r="Q88" s="96"/>
      <c r="R88" s="96"/>
      <c r="S88" s="96"/>
      <c r="T88" s="88">
        <f t="shared" si="1"/>
        <v>0</v>
      </c>
      <c r="U88" s="97"/>
      <c r="V88" s="100"/>
      <c r="W88" s="101"/>
      <c r="X88" s="101"/>
      <c r="Y88" s="101"/>
      <c r="Z88" s="101"/>
      <c r="AA88" s="101"/>
      <c r="AB88" s="101"/>
      <c r="AC88" s="101"/>
      <c r="AD88" s="97"/>
      <c r="AE88" s="100"/>
      <c r="AF88" s="100"/>
      <c r="AG88" s="97"/>
      <c r="AH88" s="97"/>
      <c r="AI88" s="97"/>
      <c r="AJ88" s="97"/>
      <c r="AK88" s="97"/>
      <c r="AL88" s="97"/>
      <c r="AM88" s="97"/>
      <c r="AN88" s="97"/>
      <c r="AO88" s="97"/>
      <c r="AP88" s="100"/>
      <c r="AQ88" s="100"/>
      <c r="AR88" s="97"/>
    </row>
    <row r="89" spans="2:44">
      <c r="B89" s="69" t="s">
        <v>4354</v>
      </c>
      <c r="C89" s="81">
        <v>86</v>
      </c>
      <c r="D89" s="82">
        <v>252610055</v>
      </c>
      <c r="E89" s="116" t="s">
        <v>1502</v>
      </c>
      <c r="F89" s="84" t="s">
        <v>1503</v>
      </c>
      <c r="G89" s="85" t="s">
        <v>1503</v>
      </c>
      <c r="H89" s="85" t="s">
        <v>4822</v>
      </c>
      <c r="I89" s="85" t="s">
        <v>1502</v>
      </c>
      <c r="J89" s="86" t="s">
        <v>1502</v>
      </c>
      <c r="K89" s="85" t="s">
        <v>90</v>
      </c>
      <c r="L89" s="85" t="s">
        <v>4343</v>
      </c>
      <c r="M89" s="87">
        <v>40022</v>
      </c>
      <c r="N89" s="85" t="s">
        <v>4823</v>
      </c>
      <c r="O89" s="85" t="s">
        <v>4489</v>
      </c>
      <c r="P89" s="88">
        <v>2</v>
      </c>
      <c r="Q89" s="99">
        <v>1</v>
      </c>
      <c r="R89" s="99">
        <v>0</v>
      </c>
      <c r="S89" s="99">
        <v>0</v>
      </c>
      <c r="T89" s="88">
        <f t="shared" si="1"/>
        <v>1</v>
      </c>
      <c r="U89" s="85" t="s">
        <v>4489</v>
      </c>
      <c r="V89" s="88" t="s">
        <v>4595</v>
      </c>
      <c r="W89" s="109" t="s">
        <v>4824</v>
      </c>
      <c r="X89" s="109" t="s">
        <v>4544</v>
      </c>
      <c r="Y89" s="109" t="s">
        <v>4825</v>
      </c>
      <c r="Z89" s="112"/>
      <c r="AA89" s="109" t="s">
        <v>4826</v>
      </c>
      <c r="AB89" s="109" t="s">
        <v>4562</v>
      </c>
      <c r="AC89" s="109">
        <v>40124</v>
      </c>
      <c r="AD89" s="85" t="s">
        <v>4827</v>
      </c>
      <c r="AE89" s="88" t="s">
        <v>4410</v>
      </c>
      <c r="AF89" s="88" t="s">
        <v>4469</v>
      </c>
      <c r="AG89" s="85" t="s">
        <v>4828</v>
      </c>
      <c r="AH89" s="85" t="s">
        <v>4829</v>
      </c>
      <c r="AI89" s="85" t="s">
        <v>4370</v>
      </c>
      <c r="AJ89" s="85" t="s">
        <v>4370</v>
      </c>
      <c r="AK89" s="85" t="s">
        <v>4320</v>
      </c>
      <c r="AL89" s="90"/>
      <c r="AM89" s="85" t="s">
        <v>4372</v>
      </c>
      <c r="AN89" s="85" t="s">
        <v>4830</v>
      </c>
      <c r="AO89" s="90"/>
      <c r="AP89" s="88">
        <v>162</v>
      </c>
      <c r="AQ89" s="88">
        <v>42</v>
      </c>
      <c r="AR89" s="85" t="s">
        <v>4322</v>
      </c>
    </row>
    <row r="90" spans="2:44">
      <c r="B90" s="69" t="s">
        <v>4354</v>
      </c>
      <c r="C90" s="81">
        <v>87</v>
      </c>
      <c r="D90" s="82">
        <v>252610056</v>
      </c>
      <c r="E90" s="83" t="s">
        <v>1590</v>
      </c>
      <c r="F90" s="84" t="s">
        <v>1591</v>
      </c>
      <c r="G90" s="104" t="s">
        <v>1591</v>
      </c>
      <c r="H90" s="104" t="s">
        <v>1591</v>
      </c>
      <c r="I90" s="104" t="s">
        <v>1590</v>
      </c>
      <c r="J90" s="86" t="s">
        <v>1590</v>
      </c>
      <c r="K90" s="104" t="s">
        <v>89</v>
      </c>
      <c r="L90" s="104" t="s">
        <v>4557</v>
      </c>
      <c r="M90" s="105">
        <v>39921</v>
      </c>
      <c r="N90" s="104" t="s">
        <v>4307</v>
      </c>
      <c r="O90" s="104" t="s">
        <v>4308</v>
      </c>
      <c r="P90" s="99">
        <v>4</v>
      </c>
      <c r="Q90" s="88">
        <v>3</v>
      </c>
      <c r="R90" s="88">
        <v>0</v>
      </c>
      <c r="S90" s="88">
        <v>0</v>
      </c>
      <c r="T90" s="88">
        <f t="shared" si="1"/>
        <v>3</v>
      </c>
      <c r="U90" s="104" t="s">
        <v>4309</v>
      </c>
      <c r="V90" s="99" t="s">
        <v>4595</v>
      </c>
      <c r="W90" s="108" t="s">
        <v>4831</v>
      </c>
      <c r="X90" s="108" t="s">
        <v>4832</v>
      </c>
      <c r="Y90" s="108" t="s">
        <v>4833</v>
      </c>
      <c r="Z90" s="108" t="s">
        <v>4834</v>
      </c>
      <c r="AA90" s="108" t="s">
        <v>4835</v>
      </c>
      <c r="AB90" s="108" t="s">
        <v>4608</v>
      </c>
      <c r="AC90" s="108">
        <v>40211</v>
      </c>
      <c r="AD90" s="104">
        <v>83834092678</v>
      </c>
      <c r="AE90" s="99" t="s">
        <v>4679</v>
      </c>
      <c r="AF90" s="99">
        <v>2</v>
      </c>
      <c r="AG90" s="104" t="s">
        <v>4836</v>
      </c>
      <c r="AH90" s="104" t="s">
        <v>4837</v>
      </c>
      <c r="AI90" s="104" t="s">
        <v>4318</v>
      </c>
      <c r="AJ90" s="104" t="s">
        <v>4456</v>
      </c>
      <c r="AK90" s="104" t="s">
        <v>4553</v>
      </c>
      <c r="AL90" s="104" t="s">
        <v>4838</v>
      </c>
      <c r="AM90" s="104" t="s">
        <v>4372</v>
      </c>
      <c r="AN90" s="104" t="s">
        <v>4839</v>
      </c>
      <c r="AO90" s="104">
        <v>0</v>
      </c>
      <c r="AP90" s="99">
        <v>120</v>
      </c>
      <c r="AQ90" s="99">
        <v>31</v>
      </c>
      <c r="AR90" s="104" t="s">
        <v>4340</v>
      </c>
    </row>
    <row r="91" spans="2:44">
      <c r="B91" s="69" t="s">
        <v>4674</v>
      </c>
      <c r="C91" s="81">
        <v>88</v>
      </c>
      <c r="D91" s="82">
        <v>252610391</v>
      </c>
      <c r="E91" s="116" t="s">
        <v>1504</v>
      </c>
      <c r="F91" s="84" t="s">
        <v>1505</v>
      </c>
      <c r="G91" s="85" t="s">
        <v>1505</v>
      </c>
      <c r="H91" s="85" t="s">
        <v>4840</v>
      </c>
      <c r="I91" s="85" t="s">
        <v>1504</v>
      </c>
      <c r="J91" s="86" t="s">
        <v>1504</v>
      </c>
      <c r="K91" s="85" t="s">
        <v>89</v>
      </c>
      <c r="L91" s="85" t="s">
        <v>4357</v>
      </c>
      <c r="M91" s="87">
        <v>40261</v>
      </c>
      <c r="N91" s="85" t="s">
        <v>4307</v>
      </c>
      <c r="O91" s="85" t="s">
        <v>4344</v>
      </c>
      <c r="P91" s="88">
        <v>2</v>
      </c>
      <c r="Q91" s="99">
        <v>3</v>
      </c>
      <c r="R91" s="99">
        <v>0</v>
      </c>
      <c r="S91" s="99">
        <v>0</v>
      </c>
      <c r="T91" s="88">
        <f t="shared" si="1"/>
        <v>3</v>
      </c>
      <c r="U91" s="85" t="s">
        <v>4309</v>
      </c>
      <c r="V91" s="88">
        <v>0</v>
      </c>
      <c r="W91" s="109" t="s">
        <v>4841</v>
      </c>
      <c r="X91" s="109" t="s">
        <v>4464</v>
      </c>
      <c r="Y91" s="109">
        <v>34</v>
      </c>
      <c r="Z91" s="109" t="s">
        <v>4842</v>
      </c>
      <c r="AA91" s="109" t="s">
        <v>4363</v>
      </c>
      <c r="AB91" s="109" t="s">
        <v>4479</v>
      </c>
      <c r="AC91" s="109">
        <v>40534</v>
      </c>
      <c r="AD91" s="85" t="s">
        <v>4843</v>
      </c>
      <c r="AE91" s="88" t="s">
        <v>4313</v>
      </c>
      <c r="AF91" s="88" t="s">
        <v>4411</v>
      </c>
      <c r="AG91" s="85" t="s">
        <v>4844</v>
      </c>
      <c r="AH91" s="85" t="s">
        <v>4845</v>
      </c>
      <c r="AI91" s="85" t="s">
        <v>4384</v>
      </c>
      <c r="AJ91" s="85" t="s">
        <v>4384</v>
      </c>
      <c r="AK91" s="85" t="s">
        <v>4320</v>
      </c>
      <c r="AL91" s="90"/>
      <c r="AM91" s="85" t="s">
        <v>4320</v>
      </c>
      <c r="AN91" s="85" t="s">
        <v>4846</v>
      </c>
      <c r="AO91" s="85" t="s">
        <v>4847</v>
      </c>
      <c r="AP91" s="88">
        <v>164</v>
      </c>
      <c r="AQ91" s="88">
        <v>56</v>
      </c>
      <c r="AR91" s="85" t="s">
        <v>4415</v>
      </c>
    </row>
    <row r="92" s="66" customFormat="1" spans="2:44">
      <c r="B92" s="91" t="s">
        <v>4304</v>
      </c>
      <c r="C92" s="92">
        <v>89</v>
      </c>
      <c r="D92" s="93">
        <v>252610440</v>
      </c>
      <c r="E92" s="94" t="s">
        <v>1301</v>
      </c>
      <c r="F92" s="95" t="s">
        <v>1302</v>
      </c>
      <c r="G92" s="96" t="s">
        <v>4081</v>
      </c>
      <c r="H92" s="97"/>
      <c r="I92" s="96" t="s">
        <v>1301</v>
      </c>
      <c r="J92" s="96" t="s">
        <v>1301</v>
      </c>
      <c r="K92" s="97"/>
      <c r="L92" s="97"/>
      <c r="M92" s="98"/>
      <c r="N92" s="97"/>
      <c r="O92" s="97"/>
      <c r="P92" s="99"/>
      <c r="Q92" s="96"/>
      <c r="R92" s="96"/>
      <c r="S92" s="96"/>
      <c r="T92" s="88">
        <f t="shared" si="1"/>
        <v>0</v>
      </c>
      <c r="U92" s="97"/>
      <c r="V92" s="100"/>
      <c r="W92" s="101"/>
      <c r="X92" s="101"/>
      <c r="Y92" s="101"/>
      <c r="Z92" s="101"/>
      <c r="AA92" s="101"/>
      <c r="AB92" s="101"/>
      <c r="AC92" s="101"/>
      <c r="AD92" s="97"/>
      <c r="AE92" s="100"/>
      <c r="AF92" s="100"/>
      <c r="AG92" s="97"/>
      <c r="AH92" s="97"/>
      <c r="AI92" s="97"/>
      <c r="AJ92" s="97"/>
      <c r="AK92" s="97"/>
      <c r="AL92" s="97"/>
      <c r="AM92" s="97"/>
      <c r="AN92" s="97"/>
      <c r="AO92" s="97"/>
      <c r="AP92" s="100"/>
      <c r="AQ92" s="100"/>
      <c r="AR92" s="97"/>
    </row>
    <row r="93" spans="2:44">
      <c r="B93" s="69" t="s">
        <v>4324</v>
      </c>
      <c r="C93" s="81">
        <v>90</v>
      </c>
      <c r="D93" s="82">
        <v>252610102</v>
      </c>
      <c r="E93" s="116" t="s">
        <v>926</v>
      </c>
      <c r="F93" s="84" t="s">
        <v>927</v>
      </c>
      <c r="G93" s="85" t="s">
        <v>927</v>
      </c>
      <c r="H93" s="85" t="s">
        <v>4848</v>
      </c>
      <c r="I93" s="85" t="s">
        <v>926</v>
      </c>
      <c r="J93" s="86" t="s">
        <v>926</v>
      </c>
      <c r="K93" s="85" t="s">
        <v>90</v>
      </c>
      <c r="L93" s="85" t="s">
        <v>4343</v>
      </c>
      <c r="M93" s="87" t="s">
        <v>4849</v>
      </c>
      <c r="N93" s="85" t="s">
        <v>4307</v>
      </c>
      <c r="O93" s="85" t="s">
        <v>4308</v>
      </c>
      <c r="P93" s="88">
        <v>1</v>
      </c>
      <c r="Q93" s="99">
        <v>2</v>
      </c>
      <c r="R93" s="99">
        <v>0</v>
      </c>
      <c r="S93" s="99">
        <v>0</v>
      </c>
      <c r="T93" s="88">
        <f t="shared" si="1"/>
        <v>2</v>
      </c>
      <c r="U93" s="85" t="s">
        <v>4344</v>
      </c>
      <c r="V93" s="88">
        <v>0</v>
      </c>
      <c r="W93" s="109" t="s">
        <v>4850</v>
      </c>
      <c r="X93" s="109">
        <v>1</v>
      </c>
      <c r="Y93" s="109">
        <v>7</v>
      </c>
      <c r="Z93" s="109" t="s">
        <v>4851</v>
      </c>
      <c r="AA93" s="109" t="s">
        <v>4450</v>
      </c>
      <c r="AB93" s="109" t="s">
        <v>4451</v>
      </c>
      <c r="AC93" s="109">
        <v>40535</v>
      </c>
      <c r="AD93" s="85" t="s">
        <v>4852</v>
      </c>
      <c r="AE93" s="88" t="s">
        <v>4436</v>
      </c>
      <c r="AF93" s="113">
        <v>1595</v>
      </c>
      <c r="AG93" s="85" t="s">
        <v>4853</v>
      </c>
      <c r="AH93" s="85" t="s">
        <v>4854</v>
      </c>
      <c r="AI93" s="85" t="s">
        <v>4318</v>
      </c>
      <c r="AJ93" s="85" t="s">
        <v>4318</v>
      </c>
      <c r="AK93" s="85" t="s">
        <v>4320</v>
      </c>
      <c r="AL93" s="90"/>
      <c r="AM93" s="85" t="s">
        <v>4372</v>
      </c>
      <c r="AN93" s="85" t="s">
        <v>4579</v>
      </c>
      <c r="AO93" s="85"/>
      <c r="AP93" s="88">
        <v>155</v>
      </c>
      <c r="AQ93" s="88">
        <v>39</v>
      </c>
      <c r="AR93" s="85" t="s">
        <v>4322</v>
      </c>
    </row>
    <row r="94" s="66" customFormat="1" spans="2:44">
      <c r="B94" s="91" t="s">
        <v>4323</v>
      </c>
      <c r="C94" s="92">
        <v>91</v>
      </c>
      <c r="D94" s="93">
        <v>252610248</v>
      </c>
      <c r="E94" s="94" t="s">
        <v>1303</v>
      </c>
      <c r="F94" s="95" t="s">
        <v>1304</v>
      </c>
      <c r="G94" s="96" t="s">
        <v>1304</v>
      </c>
      <c r="H94" s="97"/>
      <c r="I94" s="96" t="s">
        <v>1303</v>
      </c>
      <c r="J94" s="96" t="s">
        <v>1303</v>
      </c>
      <c r="K94" s="97"/>
      <c r="L94" s="97"/>
      <c r="M94" s="98"/>
      <c r="N94" s="97"/>
      <c r="O94" s="97"/>
      <c r="P94" s="99"/>
      <c r="Q94" s="96"/>
      <c r="R94" s="96"/>
      <c r="S94" s="96"/>
      <c r="T94" s="88">
        <f t="shared" si="1"/>
        <v>0</v>
      </c>
      <c r="U94" s="97"/>
      <c r="V94" s="100"/>
      <c r="W94" s="101"/>
      <c r="X94" s="101"/>
      <c r="Y94" s="101"/>
      <c r="Z94" s="101"/>
      <c r="AA94" s="101"/>
      <c r="AB94" s="101"/>
      <c r="AC94" s="101"/>
      <c r="AD94" s="97"/>
      <c r="AE94" s="100"/>
      <c r="AF94" s="100"/>
      <c r="AG94" s="97"/>
      <c r="AH94" s="97"/>
      <c r="AI94" s="97"/>
      <c r="AJ94" s="97"/>
      <c r="AK94" s="97"/>
      <c r="AL94" s="97"/>
      <c r="AM94" s="97"/>
      <c r="AN94" s="97"/>
      <c r="AO94" s="97"/>
      <c r="AP94" s="100"/>
      <c r="AQ94" s="100"/>
      <c r="AR94" s="97"/>
    </row>
    <row r="95" spans="2:44">
      <c r="B95" s="69" t="s">
        <v>4355</v>
      </c>
      <c r="C95" s="81">
        <v>92</v>
      </c>
      <c r="D95" s="82">
        <v>252610151</v>
      </c>
      <c r="E95" s="116" t="s">
        <v>1213</v>
      </c>
      <c r="F95" s="84" t="s">
        <v>1214</v>
      </c>
      <c r="G95" s="85" t="s">
        <v>1214</v>
      </c>
      <c r="H95" s="85" t="s">
        <v>4855</v>
      </c>
      <c r="I95" s="85" t="s">
        <v>1213</v>
      </c>
      <c r="J95" s="86" t="s">
        <v>1213</v>
      </c>
      <c r="K95" s="85" t="s">
        <v>90</v>
      </c>
      <c r="L95" s="85" t="s">
        <v>4357</v>
      </c>
      <c r="M95" s="87">
        <v>40354</v>
      </c>
      <c r="N95" s="85" t="s">
        <v>4307</v>
      </c>
      <c r="O95" s="85" t="s">
        <v>4344</v>
      </c>
      <c r="P95" s="88">
        <v>1</v>
      </c>
      <c r="Q95" s="99">
        <v>2</v>
      </c>
      <c r="R95" s="99">
        <v>0</v>
      </c>
      <c r="S95" s="99">
        <v>0</v>
      </c>
      <c r="T95" s="88">
        <f t="shared" si="1"/>
        <v>2</v>
      </c>
      <c r="U95" s="85" t="s">
        <v>4856</v>
      </c>
      <c r="V95" s="88">
        <v>0</v>
      </c>
      <c r="W95" s="109" t="s">
        <v>4857</v>
      </c>
      <c r="X95" s="109" t="s">
        <v>4391</v>
      </c>
      <c r="Y95" s="109" t="s">
        <v>4632</v>
      </c>
      <c r="Z95" s="109" t="s">
        <v>4645</v>
      </c>
      <c r="AA95" s="109" t="s">
        <v>4645</v>
      </c>
      <c r="AB95" s="109" t="s">
        <v>4420</v>
      </c>
      <c r="AC95" s="109">
        <v>40216</v>
      </c>
      <c r="AD95" s="85" t="s">
        <v>4858</v>
      </c>
      <c r="AE95" s="88" t="s">
        <v>4422</v>
      </c>
      <c r="AF95" s="88" t="s">
        <v>4859</v>
      </c>
      <c r="AG95" s="85" t="s">
        <v>4860</v>
      </c>
      <c r="AH95" s="85" t="s">
        <v>4861</v>
      </c>
      <c r="AI95" s="85" t="s">
        <v>4318</v>
      </c>
      <c r="AJ95" s="85" t="s">
        <v>4862</v>
      </c>
      <c r="AK95" s="85" t="s">
        <v>4320</v>
      </c>
      <c r="AL95" s="85" t="s">
        <v>4406</v>
      </c>
      <c r="AM95" s="85" t="s">
        <v>4372</v>
      </c>
      <c r="AN95" s="85" t="s">
        <v>3504</v>
      </c>
      <c r="AO95" s="85" t="s">
        <v>4406</v>
      </c>
      <c r="AP95" s="88">
        <v>155</v>
      </c>
      <c r="AQ95" s="88">
        <v>41</v>
      </c>
      <c r="AR95" s="85" t="s">
        <v>4322</v>
      </c>
    </row>
    <row r="96" spans="2:44">
      <c r="B96" s="69" t="s">
        <v>4324</v>
      </c>
      <c r="C96" s="81">
        <v>93</v>
      </c>
      <c r="D96" s="82">
        <v>252610103</v>
      </c>
      <c r="E96" s="116" t="s">
        <v>1126</v>
      </c>
      <c r="F96" s="84" t="s">
        <v>1127</v>
      </c>
      <c r="G96" s="104" t="s">
        <v>1127</v>
      </c>
      <c r="H96" s="104" t="s">
        <v>4863</v>
      </c>
      <c r="I96" s="104" t="s">
        <v>1126</v>
      </c>
      <c r="J96" s="86" t="s">
        <v>1126</v>
      </c>
      <c r="K96" s="104" t="s">
        <v>89</v>
      </c>
      <c r="L96" s="104" t="s">
        <v>4343</v>
      </c>
      <c r="M96" s="105">
        <v>40288</v>
      </c>
      <c r="N96" s="104" t="s">
        <v>4864</v>
      </c>
      <c r="O96" s="104" t="s">
        <v>4344</v>
      </c>
      <c r="P96" s="99">
        <v>1</v>
      </c>
      <c r="Q96" s="88">
        <v>2</v>
      </c>
      <c r="R96" s="88">
        <v>0</v>
      </c>
      <c r="S96" s="88">
        <v>0</v>
      </c>
      <c r="T96" s="88">
        <f t="shared" si="1"/>
        <v>2</v>
      </c>
      <c r="U96" s="104" t="s">
        <v>4865</v>
      </c>
      <c r="V96" s="99">
        <v>0</v>
      </c>
      <c r="W96" s="108" t="s">
        <v>4866</v>
      </c>
      <c r="X96" s="108" t="s">
        <v>4714</v>
      </c>
      <c r="Y96" s="108" t="s">
        <v>4606</v>
      </c>
      <c r="Z96" s="114"/>
      <c r="AA96" s="108" t="s">
        <v>4494</v>
      </c>
      <c r="AB96" s="108" t="s">
        <v>4451</v>
      </c>
      <c r="AC96" s="108">
        <v>40534</v>
      </c>
      <c r="AD96" s="104" t="s">
        <v>4867</v>
      </c>
      <c r="AE96" s="99" t="s">
        <v>4422</v>
      </c>
      <c r="AF96" s="99">
        <v>1</v>
      </c>
      <c r="AG96" s="104" t="s">
        <v>4868</v>
      </c>
      <c r="AH96" s="104" t="s">
        <v>4869</v>
      </c>
      <c r="AI96" s="104" t="s">
        <v>4318</v>
      </c>
      <c r="AJ96" s="104" t="s">
        <v>4318</v>
      </c>
      <c r="AK96" s="104" t="s">
        <v>4441</v>
      </c>
      <c r="AL96" s="106"/>
      <c r="AM96" s="104" t="s">
        <v>4441</v>
      </c>
      <c r="AN96" s="104" t="s">
        <v>4870</v>
      </c>
      <c r="AO96" s="106"/>
      <c r="AP96" s="99">
        <v>157</v>
      </c>
      <c r="AQ96" s="99">
        <v>45</v>
      </c>
      <c r="AR96" s="104" t="s">
        <v>4322</v>
      </c>
    </row>
    <row r="97" s="66" customFormat="1" spans="2:44">
      <c r="B97" s="91" t="s">
        <v>4324</v>
      </c>
      <c r="C97" s="92">
        <v>94</v>
      </c>
      <c r="D97" s="93">
        <v>252610104</v>
      </c>
      <c r="E97" s="94" t="s">
        <v>1889</v>
      </c>
      <c r="F97" s="95" t="s">
        <v>1890</v>
      </c>
      <c r="G97" s="96" t="s">
        <v>1890</v>
      </c>
      <c r="H97" s="97"/>
      <c r="I97" s="96" t="s">
        <v>1889</v>
      </c>
      <c r="J97" s="96" t="s">
        <v>1889</v>
      </c>
      <c r="K97" s="97"/>
      <c r="L97" s="97"/>
      <c r="M97" s="98"/>
      <c r="N97" s="97"/>
      <c r="O97" s="97"/>
      <c r="P97" s="88"/>
      <c r="Q97" s="96"/>
      <c r="R97" s="96"/>
      <c r="S97" s="96"/>
      <c r="T97" s="88">
        <f t="shared" si="1"/>
        <v>0</v>
      </c>
      <c r="U97" s="97"/>
      <c r="V97" s="100"/>
      <c r="W97" s="101"/>
      <c r="X97" s="101"/>
      <c r="Y97" s="101"/>
      <c r="Z97" s="101"/>
      <c r="AA97" s="101"/>
      <c r="AB97" s="101"/>
      <c r="AC97" s="101"/>
      <c r="AD97" s="97"/>
      <c r="AE97" s="100"/>
      <c r="AF97" s="100"/>
      <c r="AG97" s="97"/>
      <c r="AH97" s="97"/>
      <c r="AI97" s="97"/>
      <c r="AJ97" s="97"/>
      <c r="AK97" s="97"/>
      <c r="AL97" s="97"/>
      <c r="AM97" s="97"/>
      <c r="AN97" s="97"/>
      <c r="AO97" s="97"/>
      <c r="AP97" s="100"/>
      <c r="AQ97" s="100"/>
      <c r="AR97" s="97"/>
    </row>
    <row r="98" s="66" customFormat="1" spans="2:44">
      <c r="B98" s="91" t="s">
        <v>4642</v>
      </c>
      <c r="C98" s="92">
        <v>95</v>
      </c>
      <c r="D98" s="93">
        <v>252610537</v>
      </c>
      <c r="E98" s="94" t="s">
        <v>1397</v>
      </c>
      <c r="F98" s="95" t="s">
        <v>1398</v>
      </c>
      <c r="G98" s="96" t="s">
        <v>1398</v>
      </c>
      <c r="H98" s="97"/>
      <c r="I98" s="96" t="s">
        <v>1397</v>
      </c>
      <c r="J98" s="96" t="s">
        <v>1397</v>
      </c>
      <c r="K98" s="97"/>
      <c r="L98" s="97"/>
      <c r="M98" s="98"/>
      <c r="N98" s="97"/>
      <c r="O98" s="97"/>
      <c r="P98" s="99"/>
      <c r="Q98" s="96"/>
      <c r="R98" s="96"/>
      <c r="S98" s="96"/>
      <c r="T98" s="88">
        <f t="shared" si="1"/>
        <v>0</v>
      </c>
      <c r="U98" s="97"/>
      <c r="V98" s="100"/>
      <c r="W98" s="101"/>
      <c r="X98" s="101"/>
      <c r="Y98" s="101"/>
      <c r="Z98" s="101"/>
      <c r="AA98" s="101"/>
      <c r="AB98" s="101"/>
      <c r="AC98" s="101"/>
      <c r="AD98" s="97"/>
      <c r="AE98" s="100"/>
      <c r="AF98" s="100"/>
      <c r="AG98" s="97"/>
      <c r="AH98" s="97"/>
      <c r="AI98" s="97"/>
      <c r="AJ98" s="97"/>
      <c r="AK98" s="97"/>
      <c r="AL98" s="97"/>
      <c r="AM98" s="97"/>
      <c r="AN98" s="97"/>
      <c r="AO98" s="97"/>
      <c r="AP98" s="100"/>
      <c r="AQ98" s="100"/>
      <c r="AR98" s="97"/>
    </row>
    <row r="99" spans="2:44">
      <c r="B99" s="69" t="s">
        <v>4341</v>
      </c>
      <c r="C99" s="81">
        <v>96</v>
      </c>
      <c r="D99" s="82">
        <v>252610297</v>
      </c>
      <c r="E99" s="83" t="s">
        <v>1985</v>
      </c>
      <c r="F99" s="84" t="s">
        <v>1986</v>
      </c>
      <c r="G99" s="85" t="s">
        <v>4082</v>
      </c>
      <c r="H99" s="85" t="s">
        <v>4871</v>
      </c>
      <c r="I99" s="85" t="s">
        <v>1985</v>
      </c>
      <c r="J99" s="86" t="s">
        <v>1985</v>
      </c>
      <c r="K99" s="85" t="s">
        <v>90</v>
      </c>
      <c r="L99" s="85" t="s">
        <v>4872</v>
      </c>
      <c r="M99" s="87">
        <v>40000</v>
      </c>
      <c r="N99" s="85" t="s">
        <v>4307</v>
      </c>
      <c r="O99" s="85" t="s">
        <v>4308</v>
      </c>
      <c r="P99" s="88">
        <v>2</v>
      </c>
      <c r="Q99" s="99">
        <v>2</v>
      </c>
      <c r="R99" s="99">
        <v>1</v>
      </c>
      <c r="S99" s="99">
        <v>0</v>
      </c>
      <c r="T99" s="88">
        <f t="shared" si="1"/>
        <v>3</v>
      </c>
      <c r="U99" s="85" t="s">
        <v>4873</v>
      </c>
      <c r="V99" s="88" t="s">
        <v>4310</v>
      </c>
      <c r="W99" s="109" t="s">
        <v>4874</v>
      </c>
      <c r="X99" s="109" t="s">
        <v>4544</v>
      </c>
      <c r="Y99" s="109" t="s">
        <v>4875</v>
      </c>
      <c r="Z99" s="109" t="s">
        <v>4876</v>
      </c>
      <c r="AA99" s="109" t="s">
        <v>4363</v>
      </c>
      <c r="AB99" s="109" t="s">
        <v>4364</v>
      </c>
      <c r="AC99" s="109">
        <v>40534</v>
      </c>
      <c r="AD99" s="85" t="s">
        <v>4877</v>
      </c>
      <c r="AE99" s="88" t="s">
        <v>4878</v>
      </c>
      <c r="AF99" s="88" t="s">
        <v>4879</v>
      </c>
      <c r="AG99" s="85" t="s">
        <v>4880</v>
      </c>
      <c r="AH99" s="85" t="s">
        <v>4881</v>
      </c>
      <c r="AI99" s="85" t="s">
        <v>4882</v>
      </c>
      <c r="AJ99" s="85" t="s">
        <v>4672</v>
      </c>
      <c r="AK99" s="85" t="s">
        <v>4337</v>
      </c>
      <c r="AL99" s="90"/>
      <c r="AM99" s="85" t="s">
        <v>4553</v>
      </c>
      <c r="AN99" s="85" t="s">
        <v>3124</v>
      </c>
      <c r="AO99" s="85" t="s">
        <v>4883</v>
      </c>
      <c r="AP99" s="88">
        <v>155</v>
      </c>
      <c r="AQ99" s="88">
        <v>49</v>
      </c>
      <c r="AR99" s="85" t="s">
        <v>4415</v>
      </c>
    </row>
    <row r="100" spans="2:44">
      <c r="B100" s="69" t="s">
        <v>4386</v>
      </c>
      <c r="C100" s="81">
        <v>97</v>
      </c>
      <c r="D100" s="121">
        <v>252610344</v>
      </c>
      <c r="E100" s="83" t="s">
        <v>1783</v>
      </c>
      <c r="F100" s="84" t="s">
        <v>1784</v>
      </c>
      <c r="G100" s="104" t="s">
        <v>1784</v>
      </c>
      <c r="H100" s="104" t="s">
        <v>4884</v>
      </c>
      <c r="I100" s="104" t="s">
        <v>1783</v>
      </c>
      <c r="J100" s="86" t="s">
        <v>1783</v>
      </c>
      <c r="K100" s="104" t="s">
        <v>90</v>
      </c>
      <c r="L100" s="104" t="s">
        <v>4357</v>
      </c>
      <c r="M100" s="105">
        <v>40193</v>
      </c>
      <c r="N100" s="104" t="s">
        <v>4885</v>
      </c>
      <c r="O100" s="104" t="s">
        <v>4489</v>
      </c>
      <c r="P100" s="99">
        <v>3</v>
      </c>
      <c r="Q100" s="88">
        <v>2</v>
      </c>
      <c r="R100" s="88">
        <v>0</v>
      </c>
      <c r="S100" s="88">
        <v>0</v>
      </c>
      <c r="T100" s="88">
        <f t="shared" si="1"/>
        <v>2</v>
      </c>
      <c r="U100" s="104" t="s">
        <v>4344</v>
      </c>
      <c r="V100" s="99">
        <v>0</v>
      </c>
      <c r="W100" s="108" t="s">
        <v>4886</v>
      </c>
      <c r="X100" s="108" t="s">
        <v>4477</v>
      </c>
      <c r="Y100" s="108" t="s">
        <v>4376</v>
      </c>
      <c r="Z100" s="108" t="s">
        <v>4887</v>
      </c>
      <c r="AA100" s="108" t="s">
        <v>4478</v>
      </c>
      <c r="AB100" s="108" t="s">
        <v>4608</v>
      </c>
      <c r="AC100" s="108">
        <v>40213</v>
      </c>
      <c r="AD100" s="104" t="s">
        <v>4888</v>
      </c>
      <c r="AE100" s="99" t="s">
        <v>4436</v>
      </c>
      <c r="AF100" s="99" t="s">
        <v>4334</v>
      </c>
      <c r="AG100" s="104" t="s">
        <v>4889</v>
      </c>
      <c r="AH100" s="104" t="s">
        <v>4890</v>
      </c>
      <c r="AI100" s="104" t="s">
        <v>4318</v>
      </c>
      <c r="AJ100" s="104" t="s">
        <v>4318</v>
      </c>
      <c r="AK100" s="104" t="s">
        <v>4319</v>
      </c>
      <c r="AL100" s="104" t="s">
        <v>4406</v>
      </c>
      <c r="AM100" s="104" t="s">
        <v>4372</v>
      </c>
      <c r="AN100" s="104" t="s">
        <v>4891</v>
      </c>
      <c r="AO100" s="104" t="s">
        <v>4892</v>
      </c>
      <c r="AP100" s="99">
        <v>155</v>
      </c>
      <c r="AQ100" s="99">
        <v>51</v>
      </c>
      <c r="AR100" s="104" t="s">
        <v>4538</v>
      </c>
    </row>
    <row r="101" spans="2:44">
      <c r="B101" s="69" t="s">
        <v>4325</v>
      </c>
      <c r="C101" s="81">
        <v>98</v>
      </c>
      <c r="D101" s="82">
        <v>252610013</v>
      </c>
      <c r="E101" s="102" t="s">
        <v>1399</v>
      </c>
      <c r="F101" s="103" t="s">
        <v>1400</v>
      </c>
      <c r="G101" s="85" t="s">
        <v>1400</v>
      </c>
      <c r="H101" s="85" t="s">
        <v>4893</v>
      </c>
      <c r="I101" s="85" t="s">
        <v>1399</v>
      </c>
      <c r="J101" s="86" t="s">
        <v>1399</v>
      </c>
      <c r="K101" s="85" t="s">
        <v>90</v>
      </c>
      <c r="L101" s="85" t="s">
        <v>4343</v>
      </c>
      <c r="M101" s="87">
        <v>40107</v>
      </c>
      <c r="N101" s="85" t="s">
        <v>4307</v>
      </c>
      <c r="O101" s="85" t="s">
        <v>4462</v>
      </c>
      <c r="P101" s="88">
        <v>1</v>
      </c>
      <c r="Q101" s="99">
        <v>1</v>
      </c>
      <c r="R101" s="99">
        <v>0</v>
      </c>
      <c r="S101" s="99">
        <v>0</v>
      </c>
      <c r="T101" s="88">
        <f t="shared" si="1"/>
        <v>1</v>
      </c>
      <c r="U101" s="85" t="s">
        <v>4462</v>
      </c>
      <c r="V101" s="88">
        <v>0</v>
      </c>
      <c r="W101" s="109" t="s">
        <v>4894</v>
      </c>
      <c r="X101" s="109" t="s">
        <v>4391</v>
      </c>
      <c r="Y101" s="109" t="s">
        <v>4703</v>
      </c>
      <c r="Z101" s="109" t="s">
        <v>4895</v>
      </c>
      <c r="AA101" s="109" t="s">
        <v>4896</v>
      </c>
      <c r="AB101" s="109" t="s">
        <v>4395</v>
      </c>
      <c r="AC101" s="109">
        <v>40215</v>
      </c>
      <c r="AD101" s="85" t="s">
        <v>4897</v>
      </c>
      <c r="AE101" s="88" t="s">
        <v>4898</v>
      </c>
      <c r="AF101" s="88" t="s">
        <v>4899</v>
      </c>
      <c r="AG101" s="85" t="s">
        <v>4900</v>
      </c>
      <c r="AH101" s="85" t="s">
        <v>4901</v>
      </c>
      <c r="AI101" s="85" t="s">
        <v>4384</v>
      </c>
      <c r="AJ101" s="85" t="s">
        <v>4384</v>
      </c>
      <c r="AK101" s="85" t="s">
        <v>4319</v>
      </c>
      <c r="AL101" s="90"/>
      <c r="AM101" s="85" t="s">
        <v>4372</v>
      </c>
      <c r="AN101" s="85" t="s">
        <v>4902</v>
      </c>
      <c r="AO101" s="85" t="s">
        <v>4903</v>
      </c>
      <c r="AP101" s="88">
        <v>165</v>
      </c>
      <c r="AQ101" s="88">
        <v>60</v>
      </c>
      <c r="AR101" s="85" t="s">
        <v>4340</v>
      </c>
    </row>
    <row r="102" spans="2:44">
      <c r="B102" s="69" t="s">
        <v>4674</v>
      </c>
      <c r="C102" s="81">
        <v>99</v>
      </c>
      <c r="D102" s="82">
        <v>252610392</v>
      </c>
      <c r="E102" s="83" t="s">
        <v>1506</v>
      </c>
      <c r="F102" s="84" t="s">
        <v>1507</v>
      </c>
      <c r="G102" s="104" t="s">
        <v>4083</v>
      </c>
      <c r="H102" s="104" t="s">
        <v>4904</v>
      </c>
      <c r="I102" s="104">
        <v>3092643458</v>
      </c>
      <c r="J102" s="86">
        <v>3092643458</v>
      </c>
      <c r="K102" s="104" t="s">
        <v>90</v>
      </c>
      <c r="L102" s="104" t="s">
        <v>4905</v>
      </c>
      <c r="M102" s="105">
        <v>40071</v>
      </c>
      <c r="N102" s="104" t="s">
        <v>4307</v>
      </c>
      <c r="O102" s="104" t="s">
        <v>4329</v>
      </c>
      <c r="P102" s="99">
        <v>2</v>
      </c>
      <c r="Q102" s="88">
        <v>2</v>
      </c>
      <c r="R102" s="88">
        <v>0</v>
      </c>
      <c r="S102" s="88">
        <v>0</v>
      </c>
      <c r="T102" s="88">
        <f t="shared" si="1"/>
        <v>2</v>
      </c>
      <c r="U102" s="104" t="s">
        <v>4906</v>
      </c>
      <c r="V102" s="99">
        <v>0</v>
      </c>
      <c r="W102" s="108" t="s">
        <v>4907</v>
      </c>
      <c r="X102" s="108" t="s">
        <v>4431</v>
      </c>
      <c r="Y102" s="108" t="s">
        <v>4793</v>
      </c>
      <c r="Z102" s="108" t="s">
        <v>4765</v>
      </c>
      <c r="AA102" s="108" t="s">
        <v>4765</v>
      </c>
      <c r="AB102" s="108" t="s">
        <v>4608</v>
      </c>
      <c r="AC102" s="108">
        <v>40213</v>
      </c>
      <c r="AD102" s="104" t="s">
        <v>4908</v>
      </c>
      <c r="AE102" s="99" t="s">
        <v>4909</v>
      </c>
      <c r="AF102" s="99" t="s">
        <v>4750</v>
      </c>
      <c r="AG102" s="104" t="s">
        <v>4910</v>
      </c>
      <c r="AH102" s="104" t="s">
        <v>4911</v>
      </c>
      <c r="AI102" s="104" t="s">
        <v>4615</v>
      </c>
      <c r="AJ102" s="104" t="s">
        <v>4384</v>
      </c>
      <c r="AK102" s="104" t="s">
        <v>4553</v>
      </c>
      <c r="AL102" s="106"/>
      <c r="AM102" s="104" t="s">
        <v>4553</v>
      </c>
      <c r="AN102" s="104" t="s">
        <v>4592</v>
      </c>
      <c r="AO102" s="104" t="s">
        <v>4912</v>
      </c>
      <c r="AP102" s="99">
        <v>155</v>
      </c>
      <c r="AQ102" s="99">
        <v>40</v>
      </c>
      <c r="AR102" s="106"/>
    </row>
    <row r="103" spans="2:44">
      <c r="B103" s="69" t="s">
        <v>4304</v>
      </c>
      <c r="C103" s="81">
        <v>100</v>
      </c>
      <c r="D103" s="82">
        <v>252610441</v>
      </c>
      <c r="E103" s="83" t="s">
        <v>1592</v>
      </c>
      <c r="F103" s="84" t="s">
        <v>1593</v>
      </c>
      <c r="G103" s="85" t="s">
        <v>1593</v>
      </c>
      <c r="H103" s="85" t="s">
        <v>4913</v>
      </c>
      <c r="I103" s="85" t="s">
        <v>1592</v>
      </c>
      <c r="J103" s="86" t="s">
        <v>1592</v>
      </c>
      <c r="K103" s="85" t="s">
        <v>90</v>
      </c>
      <c r="L103" s="85" t="s">
        <v>4629</v>
      </c>
      <c r="M103" s="87">
        <v>40047</v>
      </c>
      <c r="N103" s="85" t="s">
        <v>4328</v>
      </c>
      <c r="O103" s="85" t="s">
        <v>4489</v>
      </c>
      <c r="P103" s="88">
        <v>1</v>
      </c>
      <c r="Q103" s="99">
        <v>2</v>
      </c>
      <c r="R103" s="99">
        <v>0</v>
      </c>
      <c r="S103" s="99">
        <v>0</v>
      </c>
      <c r="T103" s="88">
        <f t="shared" si="1"/>
        <v>2</v>
      </c>
      <c r="U103" s="85" t="s">
        <v>4489</v>
      </c>
      <c r="V103" s="88" t="s">
        <v>4595</v>
      </c>
      <c r="W103" s="109" t="s">
        <v>4914</v>
      </c>
      <c r="X103" s="109" t="s">
        <v>4703</v>
      </c>
      <c r="Y103" s="109" t="s">
        <v>4915</v>
      </c>
      <c r="Z103" s="109" t="s">
        <v>4494</v>
      </c>
      <c r="AA103" s="109" t="s">
        <v>4494</v>
      </c>
      <c r="AB103" s="109" t="s">
        <v>4451</v>
      </c>
      <c r="AC103" s="109">
        <v>40534</v>
      </c>
      <c r="AD103" s="85" t="s">
        <v>4916</v>
      </c>
      <c r="AE103" s="88" t="s">
        <v>4917</v>
      </c>
      <c r="AF103" s="88" t="s">
        <v>4482</v>
      </c>
      <c r="AG103" s="85" t="s">
        <v>4918</v>
      </c>
      <c r="AH103" s="85" t="s">
        <v>4919</v>
      </c>
      <c r="AI103" s="85" t="s">
        <v>4456</v>
      </c>
      <c r="AJ103" s="85" t="s">
        <v>4352</v>
      </c>
      <c r="AK103" s="85" t="s">
        <v>4319</v>
      </c>
      <c r="AL103" s="90"/>
      <c r="AM103" s="85" t="s">
        <v>4372</v>
      </c>
      <c r="AN103" s="85" t="s">
        <v>4846</v>
      </c>
      <c r="AO103" s="85">
        <v>0</v>
      </c>
      <c r="AP103" s="88">
        <v>146</v>
      </c>
      <c r="AQ103" s="88">
        <v>50</v>
      </c>
      <c r="AR103" s="85" t="s">
        <v>4415</v>
      </c>
    </row>
    <row r="104" spans="2:44">
      <c r="B104" s="69" t="s">
        <v>4568</v>
      </c>
      <c r="C104" s="81">
        <v>101</v>
      </c>
      <c r="D104" s="82">
        <v>252610199</v>
      </c>
      <c r="E104" s="116" t="s">
        <v>1215</v>
      </c>
      <c r="F104" s="84" t="s">
        <v>1216</v>
      </c>
      <c r="G104" s="104" t="s">
        <v>1216</v>
      </c>
      <c r="H104" s="104" t="s">
        <v>4920</v>
      </c>
      <c r="I104" s="104" t="s">
        <v>1215</v>
      </c>
      <c r="J104" s="86" t="s">
        <v>1215</v>
      </c>
      <c r="K104" s="104" t="s">
        <v>90</v>
      </c>
      <c r="L104" s="104" t="s">
        <v>4629</v>
      </c>
      <c r="M104" s="105">
        <v>40315</v>
      </c>
      <c r="N104" s="104" t="s">
        <v>4307</v>
      </c>
      <c r="O104" s="104" t="s">
        <v>4308</v>
      </c>
      <c r="P104" s="99">
        <v>1</v>
      </c>
      <c r="Q104" s="88">
        <v>2</v>
      </c>
      <c r="R104" s="88">
        <v>0</v>
      </c>
      <c r="S104" s="88">
        <v>0</v>
      </c>
      <c r="T104" s="88">
        <f t="shared" si="1"/>
        <v>2</v>
      </c>
      <c r="U104" s="104" t="s">
        <v>4308</v>
      </c>
      <c r="V104" s="99" t="s">
        <v>4358</v>
      </c>
      <c r="W104" s="108" t="s">
        <v>4921</v>
      </c>
      <c r="X104" s="108" t="s">
        <v>4392</v>
      </c>
      <c r="Y104" s="108" t="s">
        <v>4621</v>
      </c>
      <c r="Z104" s="114"/>
      <c r="AA104" s="108" t="s">
        <v>4363</v>
      </c>
      <c r="AB104" s="108" t="s">
        <v>4922</v>
      </c>
      <c r="AC104" s="108">
        <v>40534</v>
      </c>
      <c r="AD104" s="104" t="s">
        <v>4923</v>
      </c>
      <c r="AE104" s="99" t="s">
        <v>4924</v>
      </c>
      <c r="AF104" s="99" t="s">
        <v>4502</v>
      </c>
      <c r="AG104" s="104" t="s">
        <v>4925</v>
      </c>
      <c r="AH104" s="104" t="s">
        <v>4926</v>
      </c>
      <c r="AI104" s="104" t="s">
        <v>4384</v>
      </c>
      <c r="AJ104" s="104" t="s">
        <v>4318</v>
      </c>
      <c r="AK104" s="104" t="s">
        <v>4337</v>
      </c>
      <c r="AL104" s="106"/>
      <c r="AM104" s="104" t="s">
        <v>4372</v>
      </c>
      <c r="AN104" s="104" t="s">
        <v>3124</v>
      </c>
      <c r="AO104" s="106"/>
      <c r="AP104" s="99">
        <v>150</v>
      </c>
      <c r="AQ104" s="99">
        <v>40</v>
      </c>
      <c r="AR104" s="104" t="s">
        <v>4322</v>
      </c>
    </row>
    <row r="105" s="66" customFormat="1" spans="2:44">
      <c r="B105" s="91" t="s">
        <v>4373</v>
      </c>
      <c r="C105" s="92">
        <v>102</v>
      </c>
      <c r="D105" s="93">
        <v>252610488</v>
      </c>
      <c r="E105" s="94" t="s">
        <v>1594</v>
      </c>
      <c r="F105" s="95" t="s">
        <v>1595</v>
      </c>
      <c r="G105" s="96" t="s">
        <v>1595</v>
      </c>
      <c r="H105" s="97"/>
      <c r="I105" s="96" t="s">
        <v>1594</v>
      </c>
      <c r="J105" s="96" t="s">
        <v>1594</v>
      </c>
      <c r="K105" s="97"/>
      <c r="L105" s="97"/>
      <c r="M105" s="98"/>
      <c r="N105" s="97"/>
      <c r="O105" s="97"/>
      <c r="P105" s="88"/>
      <c r="Q105" s="96"/>
      <c r="R105" s="96"/>
      <c r="S105" s="96"/>
      <c r="T105" s="88">
        <f t="shared" si="1"/>
        <v>0</v>
      </c>
      <c r="U105" s="97"/>
      <c r="V105" s="100"/>
      <c r="W105" s="101"/>
      <c r="X105" s="101"/>
      <c r="Y105" s="101"/>
      <c r="Z105" s="101"/>
      <c r="AA105" s="101"/>
      <c r="AB105" s="101"/>
      <c r="AC105" s="101"/>
      <c r="AD105" s="97"/>
      <c r="AE105" s="100"/>
      <c r="AF105" s="100"/>
      <c r="AG105" s="97"/>
      <c r="AH105" s="97"/>
      <c r="AI105" s="97"/>
      <c r="AJ105" s="97"/>
      <c r="AK105" s="97"/>
      <c r="AL105" s="97"/>
      <c r="AM105" s="97"/>
      <c r="AN105" s="97"/>
      <c r="AO105" s="97"/>
      <c r="AP105" s="100"/>
      <c r="AQ105" s="100"/>
      <c r="AR105" s="97"/>
    </row>
    <row r="106" s="66" customFormat="1" spans="2:44">
      <c r="B106" s="91" t="s">
        <v>4642</v>
      </c>
      <c r="C106" s="92">
        <v>103</v>
      </c>
      <c r="D106" s="93">
        <v>252610538</v>
      </c>
      <c r="E106" s="94" t="s">
        <v>928</v>
      </c>
      <c r="F106" s="95" t="s">
        <v>929</v>
      </c>
      <c r="G106" s="96" t="s">
        <v>929</v>
      </c>
      <c r="H106" s="97"/>
      <c r="I106" s="96" t="s">
        <v>928</v>
      </c>
      <c r="J106" s="96" t="s">
        <v>928</v>
      </c>
      <c r="K106" s="97"/>
      <c r="L106" s="97"/>
      <c r="M106" s="98"/>
      <c r="N106" s="97"/>
      <c r="O106" s="97"/>
      <c r="P106" s="99"/>
      <c r="Q106" s="96"/>
      <c r="R106" s="96"/>
      <c r="S106" s="96"/>
      <c r="T106" s="88">
        <f t="shared" si="1"/>
        <v>0</v>
      </c>
      <c r="U106" s="97"/>
      <c r="V106" s="100"/>
      <c r="W106" s="101"/>
      <c r="X106" s="101"/>
      <c r="Y106" s="101"/>
      <c r="Z106" s="101"/>
      <c r="AA106" s="101"/>
      <c r="AB106" s="101"/>
      <c r="AC106" s="101"/>
      <c r="AD106" s="97"/>
      <c r="AE106" s="100"/>
      <c r="AF106" s="100"/>
      <c r="AG106" s="97"/>
      <c r="AH106" s="97"/>
      <c r="AI106" s="97"/>
      <c r="AJ106" s="97"/>
      <c r="AK106" s="97"/>
      <c r="AL106" s="97"/>
      <c r="AM106" s="97"/>
      <c r="AN106" s="97"/>
      <c r="AO106" s="97"/>
      <c r="AP106" s="100"/>
      <c r="AQ106" s="100"/>
      <c r="AR106" s="97"/>
    </row>
    <row r="107" s="66" customFormat="1" spans="2:44">
      <c r="B107" s="91" t="s">
        <v>4355</v>
      </c>
      <c r="C107" s="92">
        <v>104</v>
      </c>
      <c r="D107" s="93">
        <v>252610152</v>
      </c>
      <c r="E107" s="94" t="s">
        <v>1017</v>
      </c>
      <c r="F107" s="95" t="s">
        <v>1018</v>
      </c>
      <c r="G107" s="96" t="s">
        <v>1018</v>
      </c>
      <c r="H107" s="97"/>
      <c r="I107" s="96" t="s">
        <v>1017</v>
      </c>
      <c r="J107" s="96" t="s">
        <v>1017</v>
      </c>
      <c r="K107" s="97"/>
      <c r="L107" s="97"/>
      <c r="M107" s="98"/>
      <c r="N107" s="97"/>
      <c r="O107" s="97"/>
      <c r="P107" s="88"/>
      <c r="Q107" s="96"/>
      <c r="R107" s="96"/>
      <c r="S107" s="96"/>
      <c r="T107" s="88">
        <f t="shared" si="1"/>
        <v>0</v>
      </c>
      <c r="U107" s="97"/>
      <c r="V107" s="100"/>
      <c r="W107" s="101"/>
      <c r="X107" s="101"/>
      <c r="Y107" s="101"/>
      <c r="Z107" s="101"/>
      <c r="AA107" s="101"/>
      <c r="AB107" s="101"/>
      <c r="AC107" s="101"/>
      <c r="AD107" s="97"/>
      <c r="AE107" s="100"/>
      <c r="AF107" s="100"/>
      <c r="AG107" s="97"/>
      <c r="AH107" s="97"/>
      <c r="AI107" s="97"/>
      <c r="AJ107" s="97"/>
      <c r="AK107" s="97"/>
      <c r="AL107" s="97"/>
      <c r="AM107" s="97"/>
      <c r="AN107" s="97"/>
      <c r="AO107" s="97"/>
      <c r="AP107" s="100"/>
      <c r="AQ107" s="100"/>
      <c r="AR107" s="97"/>
    </row>
    <row r="108" spans="2:44">
      <c r="B108" s="69" t="s">
        <v>4354</v>
      </c>
      <c r="C108" s="81">
        <v>105</v>
      </c>
      <c r="D108" s="82">
        <v>252610057</v>
      </c>
      <c r="E108" s="83" t="s">
        <v>1128</v>
      </c>
      <c r="F108" s="84" t="s">
        <v>1129</v>
      </c>
      <c r="G108" s="104" t="s">
        <v>1129</v>
      </c>
      <c r="H108" s="104" t="s">
        <v>4927</v>
      </c>
      <c r="I108" s="104" t="s">
        <v>1128</v>
      </c>
      <c r="J108" s="86" t="s">
        <v>1128</v>
      </c>
      <c r="K108" s="104" t="s">
        <v>90</v>
      </c>
      <c r="L108" s="104" t="s">
        <v>4357</v>
      </c>
      <c r="M108" s="105">
        <v>39949</v>
      </c>
      <c r="N108" s="104" t="s">
        <v>4307</v>
      </c>
      <c r="O108" s="104" t="s">
        <v>4619</v>
      </c>
      <c r="P108" s="99">
        <v>3</v>
      </c>
      <c r="Q108" s="88">
        <v>2</v>
      </c>
      <c r="R108" s="88">
        <v>0</v>
      </c>
      <c r="S108" s="88">
        <v>0</v>
      </c>
      <c r="T108" s="88">
        <f t="shared" si="1"/>
        <v>2</v>
      </c>
      <c r="U108" s="104" t="s">
        <v>4308</v>
      </c>
      <c r="V108" s="99" t="s">
        <v>4310</v>
      </c>
      <c r="W108" s="108" t="s">
        <v>4928</v>
      </c>
      <c r="X108" s="108" t="s">
        <v>4606</v>
      </c>
      <c r="Y108" s="108" t="s">
        <v>4929</v>
      </c>
      <c r="Z108" s="108" t="s">
        <v>4406</v>
      </c>
      <c r="AA108" s="108" t="s">
        <v>4494</v>
      </c>
      <c r="AB108" s="108" t="s">
        <v>4451</v>
      </c>
      <c r="AC108" s="108">
        <v>40534</v>
      </c>
      <c r="AD108" s="104" t="s">
        <v>4930</v>
      </c>
      <c r="AE108" s="99" t="s">
        <v>4481</v>
      </c>
      <c r="AF108" s="99" t="s">
        <v>4482</v>
      </c>
      <c r="AG108" s="104" t="s">
        <v>4931</v>
      </c>
      <c r="AH108" s="104" t="s">
        <v>4932</v>
      </c>
      <c r="AI108" s="104" t="s">
        <v>4352</v>
      </c>
      <c r="AJ108" s="104" t="s">
        <v>4318</v>
      </c>
      <c r="AK108" s="104" t="s">
        <v>4402</v>
      </c>
      <c r="AL108" s="106"/>
      <c r="AM108" s="104" t="s">
        <v>4553</v>
      </c>
      <c r="AN108" s="104" t="s">
        <v>3124</v>
      </c>
      <c r="AO108" s="104" t="s">
        <v>4406</v>
      </c>
      <c r="AP108" s="99">
        <v>158</v>
      </c>
      <c r="AQ108" s="99">
        <v>49</v>
      </c>
      <c r="AR108" s="104" t="s">
        <v>4340</v>
      </c>
    </row>
    <row r="109" spans="2:44">
      <c r="B109" s="69" t="s">
        <v>4324</v>
      </c>
      <c r="C109" s="81">
        <v>106</v>
      </c>
      <c r="D109" s="82">
        <v>252610105</v>
      </c>
      <c r="E109" s="83" t="s">
        <v>1698</v>
      </c>
      <c r="F109" s="84" t="s">
        <v>1699</v>
      </c>
      <c r="G109" s="85" t="s">
        <v>1699</v>
      </c>
      <c r="H109" s="85" t="s">
        <v>4933</v>
      </c>
      <c r="I109" s="85" t="s">
        <v>1698</v>
      </c>
      <c r="J109" s="86" t="s">
        <v>1698</v>
      </c>
      <c r="K109" s="85" t="s">
        <v>89</v>
      </c>
      <c r="L109" s="85" t="s">
        <v>4343</v>
      </c>
      <c r="M109" s="87">
        <v>40154</v>
      </c>
      <c r="N109" s="85" t="s">
        <v>4307</v>
      </c>
      <c r="O109" s="85" t="s">
        <v>4462</v>
      </c>
      <c r="P109" s="88">
        <v>2</v>
      </c>
      <c r="Q109" s="99">
        <v>1</v>
      </c>
      <c r="R109" s="99">
        <v>0</v>
      </c>
      <c r="S109" s="99">
        <v>0</v>
      </c>
      <c r="T109" s="88">
        <f t="shared" si="1"/>
        <v>1</v>
      </c>
      <c r="U109" s="85" t="s">
        <v>4462</v>
      </c>
      <c r="V109" s="88" t="s">
        <v>4595</v>
      </c>
      <c r="W109" s="109" t="s">
        <v>4934</v>
      </c>
      <c r="X109" s="109" t="s">
        <v>4391</v>
      </c>
      <c r="Y109" s="109" t="s">
        <v>4509</v>
      </c>
      <c r="Z109" s="109" t="s">
        <v>4935</v>
      </c>
      <c r="AA109" s="109" t="s">
        <v>4936</v>
      </c>
      <c r="AB109" s="109" t="s">
        <v>4511</v>
      </c>
      <c r="AC109" s="109">
        <v>40217</v>
      </c>
      <c r="AD109" s="85" t="s">
        <v>4937</v>
      </c>
      <c r="AE109" s="88" t="s">
        <v>4938</v>
      </c>
      <c r="AF109" s="88" t="s">
        <v>4502</v>
      </c>
      <c r="AG109" s="85" t="s">
        <v>4939</v>
      </c>
      <c r="AH109" s="85" t="s">
        <v>4940</v>
      </c>
      <c r="AI109" s="85" t="s">
        <v>4318</v>
      </c>
      <c r="AJ109" s="85" t="s">
        <v>4318</v>
      </c>
      <c r="AK109" s="85" t="s">
        <v>4337</v>
      </c>
      <c r="AL109" s="85" t="s">
        <v>4406</v>
      </c>
      <c r="AM109" s="85" t="s">
        <v>4372</v>
      </c>
      <c r="AN109" s="85" t="s">
        <v>3701</v>
      </c>
      <c r="AO109" s="85" t="s">
        <v>4406</v>
      </c>
      <c r="AP109" s="88">
        <v>158</v>
      </c>
      <c r="AQ109" s="88">
        <v>51</v>
      </c>
      <c r="AR109" s="85" t="s">
        <v>4428</v>
      </c>
    </row>
    <row r="110" spans="2:44">
      <c r="B110" s="69" t="s">
        <v>4355</v>
      </c>
      <c r="C110" s="81">
        <v>107</v>
      </c>
      <c r="D110" s="82">
        <v>252610153</v>
      </c>
      <c r="E110" s="83" t="s">
        <v>1019</v>
      </c>
      <c r="F110" s="84" t="s">
        <v>1020</v>
      </c>
      <c r="G110" s="104" t="s">
        <v>1020</v>
      </c>
      <c r="H110" s="104" t="s">
        <v>4941</v>
      </c>
      <c r="I110" s="104" t="s">
        <v>1019</v>
      </c>
      <c r="J110" s="86" t="s">
        <v>1019</v>
      </c>
      <c r="K110" s="104" t="s">
        <v>89</v>
      </c>
      <c r="L110" s="104" t="s">
        <v>4357</v>
      </c>
      <c r="M110" s="105">
        <v>40100</v>
      </c>
      <c r="N110" s="104" t="s">
        <v>4307</v>
      </c>
      <c r="O110" s="104" t="s">
        <v>4344</v>
      </c>
      <c r="P110" s="99">
        <v>1</v>
      </c>
      <c r="Q110" s="88">
        <v>1</v>
      </c>
      <c r="R110" s="88">
        <v>0</v>
      </c>
      <c r="S110" s="88">
        <v>0</v>
      </c>
      <c r="T110" s="88">
        <f t="shared" si="1"/>
        <v>1</v>
      </c>
      <c r="U110" s="104" t="s">
        <v>4344</v>
      </c>
      <c r="V110" s="99">
        <v>0</v>
      </c>
      <c r="W110" s="108" t="s">
        <v>4942</v>
      </c>
      <c r="X110" s="108" t="s">
        <v>4477</v>
      </c>
      <c r="Y110" s="108">
        <v>16</v>
      </c>
      <c r="Z110" s="108" t="s">
        <v>4943</v>
      </c>
      <c r="AA110" s="108" t="s">
        <v>4363</v>
      </c>
      <c r="AB110" s="108" t="s">
        <v>4378</v>
      </c>
      <c r="AC110" s="108">
        <v>40534</v>
      </c>
      <c r="AD110" s="104" t="s">
        <v>4944</v>
      </c>
      <c r="AE110" s="99" t="s">
        <v>4366</v>
      </c>
      <c r="AF110" s="117">
        <v>518</v>
      </c>
      <c r="AG110" s="104" t="s">
        <v>4945</v>
      </c>
      <c r="AH110" s="104" t="s">
        <v>4946</v>
      </c>
      <c r="AI110" s="104" t="s">
        <v>4947</v>
      </c>
      <c r="AJ110" s="104" t="s">
        <v>4351</v>
      </c>
      <c r="AK110" s="104" t="s">
        <v>4651</v>
      </c>
      <c r="AL110" s="106"/>
      <c r="AM110" s="104" t="s">
        <v>4338</v>
      </c>
      <c r="AN110" s="104" t="s">
        <v>3124</v>
      </c>
      <c r="AO110" s="106"/>
      <c r="AP110" s="99">
        <v>165</v>
      </c>
      <c r="AQ110" s="99">
        <v>68</v>
      </c>
      <c r="AR110" s="104" t="s">
        <v>4322</v>
      </c>
    </row>
    <row r="111" s="66" customFormat="1" spans="2:44">
      <c r="B111" s="91" t="s">
        <v>4568</v>
      </c>
      <c r="C111" s="92">
        <v>108</v>
      </c>
      <c r="D111" s="93">
        <v>252610200</v>
      </c>
      <c r="E111" s="94" t="s">
        <v>1891</v>
      </c>
      <c r="F111" s="95" t="s">
        <v>1892</v>
      </c>
      <c r="G111" s="96" t="s">
        <v>1892</v>
      </c>
      <c r="H111" s="97"/>
      <c r="I111" s="96" t="s">
        <v>1891</v>
      </c>
      <c r="J111" s="96" t="s">
        <v>1891</v>
      </c>
      <c r="K111" s="97"/>
      <c r="L111" s="97"/>
      <c r="M111" s="98"/>
      <c r="N111" s="97"/>
      <c r="O111" s="97"/>
      <c r="P111" s="88"/>
      <c r="Q111" s="96"/>
      <c r="R111" s="96"/>
      <c r="S111" s="96"/>
      <c r="T111" s="88">
        <f t="shared" si="1"/>
        <v>0</v>
      </c>
      <c r="U111" s="97"/>
      <c r="V111" s="100"/>
      <c r="W111" s="101"/>
      <c r="X111" s="101"/>
      <c r="Y111" s="101"/>
      <c r="Z111" s="101"/>
      <c r="AA111" s="101"/>
      <c r="AB111" s="101"/>
      <c r="AC111" s="101"/>
      <c r="AD111" s="97"/>
      <c r="AE111" s="100"/>
      <c r="AF111" s="100"/>
      <c r="AG111" s="97"/>
      <c r="AH111" s="97"/>
      <c r="AI111" s="97"/>
      <c r="AJ111" s="97"/>
      <c r="AK111" s="97"/>
      <c r="AL111" s="97"/>
      <c r="AM111" s="97"/>
      <c r="AN111" s="97"/>
      <c r="AO111" s="97"/>
      <c r="AP111" s="100"/>
      <c r="AQ111" s="100"/>
      <c r="AR111" s="97"/>
    </row>
    <row r="112" spans="2:44">
      <c r="B112" s="69" t="s">
        <v>4323</v>
      </c>
      <c r="C112" s="81">
        <v>109</v>
      </c>
      <c r="D112" s="82">
        <v>252610249</v>
      </c>
      <c r="E112" s="83" t="s">
        <v>1596</v>
      </c>
      <c r="F112" s="84" t="s">
        <v>1597</v>
      </c>
      <c r="G112" s="104" t="s">
        <v>4084</v>
      </c>
      <c r="H112" s="104" t="s">
        <v>4948</v>
      </c>
      <c r="I112" s="104" t="s">
        <v>1596</v>
      </c>
      <c r="J112" s="86" t="s">
        <v>1596</v>
      </c>
      <c r="K112" s="104" t="s">
        <v>90</v>
      </c>
      <c r="L112" s="104" t="s">
        <v>4343</v>
      </c>
      <c r="M112" s="105">
        <v>40085</v>
      </c>
      <c r="N112" s="104" t="s">
        <v>4307</v>
      </c>
      <c r="O112" s="104" t="s">
        <v>4308</v>
      </c>
      <c r="P112" s="99">
        <v>2</v>
      </c>
      <c r="Q112" s="88">
        <v>3</v>
      </c>
      <c r="R112" s="88">
        <v>0</v>
      </c>
      <c r="S112" s="88">
        <v>0</v>
      </c>
      <c r="T112" s="88">
        <f t="shared" si="1"/>
        <v>3</v>
      </c>
      <c r="U112" s="104" t="s">
        <v>4805</v>
      </c>
      <c r="V112" s="99" t="s">
        <v>4358</v>
      </c>
      <c r="W112" s="108" t="s">
        <v>4949</v>
      </c>
      <c r="X112" s="108" t="s">
        <v>4793</v>
      </c>
      <c r="Y112" s="108" t="s">
        <v>4376</v>
      </c>
      <c r="Z112" s="108" t="s">
        <v>4950</v>
      </c>
      <c r="AA112" s="108" t="s">
        <v>4478</v>
      </c>
      <c r="AB112" s="108" t="s">
        <v>4395</v>
      </c>
      <c r="AC112" s="108">
        <v>40213</v>
      </c>
      <c r="AD112" s="104" t="s">
        <v>4951</v>
      </c>
      <c r="AE112" s="99" t="s">
        <v>4422</v>
      </c>
      <c r="AF112" s="117">
        <v>898</v>
      </c>
      <c r="AG112" s="104" t="s">
        <v>4952</v>
      </c>
      <c r="AH112" s="104" t="s">
        <v>4953</v>
      </c>
      <c r="AI112" s="104" t="s">
        <v>4954</v>
      </c>
      <c r="AJ112" s="104" t="s">
        <v>4955</v>
      </c>
      <c r="AK112" s="104" t="s">
        <v>4337</v>
      </c>
      <c r="AL112" s="106"/>
      <c r="AM112" s="104" t="s">
        <v>4372</v>
      </c>
      <c r="AN112" s="104" t="s">
        <v>4956</v>
      </c>
      <c r="AO112" s="106"/>
      <c r="AP112" s="99">
        <v>155</v>
      </c>
      <c r="AQ112" s="99">
        <v>45</v>
      </c>
      <c r="AR112" s="104" t="s">
        <v>4322</v>
      </c>
    </row>
    <row r="113" s="66" customFormat="1" spans="2:44">
      <c r="B113" s="91" t="s">
        <v>4373</v>
      </c>
      <c r="C113" s="92">
        <v>110</v>
      </c>
      <c r="D113" s="93">
        <v>252610489</v>
      </c>
      <c r="E113" s="94" t="s">
        <v>1598</v>
      </c>
      <c r="F113" s="95" t="s">
        <v>1599</v>
      </c>
      <c r="G113" s="96" t="s">
        <v>1599</v>
      </c>
      <c r="H113" s="97"/>
      <c r="I113" s="96" t="s">
        <v>1598</v>
      </c>
      <c r="J113" s="96" t="s">
        <v>1598</v>
      </c>
      <c r="K113" s="97"/>
      <c r="L113" s="97"/>
      <c r="M113" s="98"/>
      <c r="N113" s="97"/>
      <c r="O113" s="97"/>
      <c r="P113" s="88"/>
      <c r="Q113" s="96"/>
      <c r="R113" s="96"/>
      <c r="S113" s="96"/>
      <c r="T113" s="88">
        <f t="shared" si="1"/>
        <v>0</v>
      </c>
      <c r="U113" s="97"/>
      <c r="V113" s="100"/>
      <c r="W113" s="101"/>
      <c r="X113" s="101"/>
      <c r="Y113" s="101"/>
      <c r="Z113" s="101"/>
      <c r="AA113" s="101"/>
      <c r="AB113" s="101"/>
      <c r="AC113" s="101"/>
      <c r="AD113" s="97"/>
      <c r="AE113" s="100"/>
      <c r="AF113" s="100"/>
      <c r="AG113" s="97"/>
      <c r="AH113" s="97"/>
      <c r="AI113" s="97"/>
      <c r="AJ113" s="97"/>
      <c r="AK113" s="97"/>
      <c r="AL113" s="97"/>
      <c r="AM113" s="97"/>
      <c r="AN113" s="97"/>
      <c r="AO113" s="97"/>
      <c r="AP113" s="100"/>
      <c r="AQ113" s="100"/>
      <c r="AR113" s="97"/>
    </row>
    <row r="114" s="66" customFormat="1" spans="2:44">
      <c r="B114" s="91" t="s">
        <v>4323</v>
      </c>
      <c r="C114" s="92">
        <v>111</v>
      </c>
      <c r="D114" s="93">
        <v>252610250</v>
      </c>
      <c r="E114" s="94" t="s">
        <v>1785</v>
      </c>
      <c r="F114" s="95" t="s">
        <v>1786</v>
      </c>
      <c r="G114" s="96" t="s">
        <v>1786</v>
      </c>
      <c r="H114" s="97"/>
      <c r="I114" s="96" t="s">
        <v>1785</v>
      </c>
      <c r="J114" s="96" t="s">
        <v>1785</v>
      </c>
      <c r="K114" s="97"/>
      <c r="L114" s="97"/>
      <c r="M114" s="98"/>
      <c r="N114" s="97"/>
      <c r="O114" s="97"/>
      <c r="P114" s="99"/>
      <c r="Q114" s="96"/>
      <c r="R114" s="96"/>
      <c r="S114" s="96"/>
      <c r="T114" s="88">
        <f t="shared" si="1"/>
        <v>0</v>
      </c>
      <c r="U114" s="97"/>
      <c r="V114" s="100"/>
      <c r="W114" s="101"/>
      <c r="X114" s="101"/>
      <c r="Y114" s="101"/>
      <c r="Z114" s="101"/>
      <c r="AA114" s="101"/>
      <c r="AB114" s="101"/>
      <c r="AC114" s="101"/>
      <c r="AD114" s="97"/>
      <c r="AE114" s="100"/>
      <c r="AF114" s="100"/>
      <c r="AG114" s="97"/>
      <c r="AH114" s="97"/>
      <c r="AI114" s="97"/>
      <c r="AJ114" s="97"/>
      <c r="AK114" s="97"/>
      <c r="AL114" s="97"/>
      <c r="AM114" s="97"/>
      <c r="AN114" s="97"/>
      <c r="AO114" s="97"/>
      <c r="AP114" s="100"/>
      <c r="AQ114" s="100"/>
      <c r="AR114" s="97"/>
    </row>
    <row r="115" spans="2:44">
      <c r="B115" s="69" t="s">
        <v>4355</v>
      </c>
      <c r="C115" s="81">
        <v>112</v>
      </c>
      <c r="D115" s="82">
        <v>252610154</v>
      </c>
      <c r="E115" s="83" t="s">
        <v>1401</v>
      </c>
      <c r="F115" s="84" t="s">
        <v>1402</v>
      </c>
      <c r="G115" s="85" t="s">
        <v>4085</v>
      </c>
      <c r="H115" s="85" t="s">
        <v>4957</v>
      </c>
      <c r="I115" s="85" t="s">
        <v>1401</v>
      </c>
      <c r="J115" s="86" t="s">
        <v>1401</v>
      </c>
      <c r="K115" s="85" t="s">
        <v>89</v>
      </c>
      <c r="L115" s="85" t="s">
        <v>4540</v>
      </c>
      <c r="M115" s="87">
        <v>40285</v>
      </c>
      <c r="N115" s="85" t="s">
        <v>4958</v>
      </c>
      <c r="O115" s="85" t="s">
        <v>4329</v>
      </c>
      <c r="P115" s="88">
        <v>1</v>
      </c>
      <c r="Q115" s="99">
        <v>1</v>
      </c>
      <c r="R115" s="99">
        <v>0</v>
      </c>
      <c r="S115" s="99">
        <v>0</v>
      </c>
      <c r="T115" s="88">
        <f t="shared" si="1"/>
        <v>1</v>
      </c>
      <c r="U115" s="85" t="s">
        <v>4329</v>
      </c>
      <c r="V115" s="88" t="s">
        <v>4595</v>
      </c>
      <c r="W115" s="109" t="s">
        <v>4959</v>
      </c>
      <c r="X115" s="109" t="s">
        <v>4431</v>
      </c>
      <c r="Y115" s="109" t="s">
        <v>4929</v>
      </c>
      <c r="Z115" s="109" t="s">
        <v>4960</v>
      </c>
      <c r="AA115" s="109" t="s">
        <v>4667</v>
      </c>
      <c r="AB115" s="109" t="s">
        <v>4364</v>
      </c>
      <c r="AC115" s="109">
        <v>40534</v>
      </c>
      <c r="AD115" s="85" t="s">
        <v>4961</v>
      </c>
      <c r="AE115" s="88" t="s">
        <v>4962</v>
      </c>
      <c r="AF115" s="113">
        <v>374</v>
      </c>
      <c r="AG115" s="85" t="s">
        <v>4963</v>
      </c>
      <c r="AH115" s="85" t="s">
        <v>4964</v>
      </c>
      <c r="AI115" s="85" t="s">
        <v>4965</v>
      </c>
      <c r="AJ115" s="85" t="s">
        <v>4965</v>
      </c>
      <c r="AK115" s="85" t="s">
        <v>4320</v>
      </c>
      <c r="AL115" s="85" t="s">
        <v>4406</v>
      </c>
      <c r="AM115" s="85" t="s">
        <v>4651</v>
      </c>
      <c r="AN115" s="85" t="s">
        <v>4966</v>
      </c>
      <c r="AO115" s="85" t="s">
        <v>4967</v>
      </c>
      <c r="AP115" s="88">
        <v>173</v>
      </c>
      <c r="AQ115" s="88">
        <v>70</v>
      </c>
      <c r="AR115" s="85" t="s">
        <v>4415</v>
      </c>
    </row>
    <row r="116" spans="2:44">
      <c r="B116" s="69" t="s">
        <v>4324</v>
      </c>
      <c r="C116" s="81">
        <v>113</v>
      </c>
      <c r="D116" s="82">
        <v>252610106</v>
      </c>
      <c r="E116" s="83">
        <v>3099740259</v>
      </c>
      <c r="F116" s="84" t="s">
        <v>1306</v>
      </c>
      <c r="G116" s="104" t="s">
        <v>4968</v>
      </c>
      <c r="H116" s="104" t="s">
        <v>4969</v>
      </c>
      <c r="I116" s="104">
        <v>3099740259</v>
      </c>
      <c r="J116" s="86">
        <v>3099740259</v>
      </c>
      <c r="K116" s="104" t="s">
        <v>90</v>
      </c>
      <c r="L116" s="104" t="s">
        <v>4343</v>
      </c>
      <c r="M116" s="105">
        <v>40011</v>
      </c>
      <c r="N116" s="104" t="s">
        <v>4307</v>
      </c>
      <c r="O116" s="104" t="s">
        <v>4308</v>
      </c>
      <c r="P116" s="99">
        <v>4</v>
      </c>
      <c r="Q116" s="88">
        <v>3</v>
      </c>
      <c r="R116" s="88">
        <v>0</v>
      </c>
      <c r="S116" s="88">
        <v>0</v>
      </c>
      <c r="T116" s="88">
        <f t="shared" si="1"/>
        <v>3</v>
      </c>
      <c r="U116" s="104" t="s">
        <v>4308</v>
      </c>
      <c r="V116" s="99">
        <v>0</v>
      </c>
      <c r="W116" s="108" t="s">
        <v>4970</v>
      </c>
      <c r="X116" s="108" t="s">
        <v>4606</v>
      </c>
      <c r="Y116" s="108" t="s">
        <v>4544</v>
      </c>
      <c r="Z116" s="114"/>
      <c r="AA116" s="108" t="s">
        <v>4532</v>
      </c>
      <c r="AB116" s="108" t="s">
        <v>4608</v>
      </c>
      <c r="AC116" s="108">
        <v>40212</v>
      </c>
      <c r="AD116" s="104" t="s">
        <v>4971</v>
      </c>
      <c r="AE116" s="99" t="s">
        <v>4972</v>
      </c>
      <c r="AF116" s="99" t="s">
        <v>4334</v>
      </c>
      <c r="AG116" s="104" t="s">
        <v>4973</v>
      </c>
      <c r="AH116" s="104" t="s">
        <v>4974</v>
      </c>
      <c r="AI116" s="104" t="s">
        <v>4318</v>
      </c>
      <c r="AJ116" s="104" t="s">
        <v>4318</v>
      </c>
      <c r="AK116" s="104" t="s">
        <v>4337</v>
      </c>
      <c r="AL116" s="106"/>
      <c r="AM116" s="104" t="s">
        <v>4372</v>
      </c>
      <c r="AN116" s="104" t="s">
        <v>4975</v>
      </c>
      <c r="AO116" s="104"/>
      <c r="AP116" s="99">
        <v>145</v>
      </c>
      <c r="AQ116" s="99">
        <v>35</v>
      </c>
      <c r="AR116" s="104" t="s">
        <v>4538</v>
      </c>
    </row>
    <row r="117" spans="2:44">
      <c r="B117" s="69" t="s">
        <v>4642</v>
      </c>
      <c r="C117" s="81">
        <v>114</v>
      </c>
      <c r="D117" s="82">
        <v>252610539</v>
      </c>
      <c r="E117" s="83">
        <v>3092452338</v>
      </c>
      <c r="F117" s="84" t="s">
        <v>1788</v>
      </c>
      <c r="G117" s="85" t="s">
        <v>1788</v>
      </c>
      <c r="H117" s="85" t="s">
        <v>4976</v>
      </c>
      <c r="I117" s="85">
        <v>3092452338</v>
      </c>
      <c r="J117" s="86">
        <v>3092452338</v>
      </c>
      <c r="K117" s="85" t="s">
        <v>89</v>
      </c>
      <c r="L117" s="85" t="s">
        <v>4343</v>
      </c>
      <c r="M117" s="87">
        <v>40062</v>
      </c>
      <c r="N117" s="85" t="s">
        <v>4307</v>
      </c>
      <c r="O117" s="85" t="s">
        <v>4344</v>
      </c>
      <c r="P117" s="88">
        <v>1</v>
      </c>
      <c r="Q117" s="99">
        <v>2</v>
      </c>
      <c r="R117" s="99">
        <v>0</v>
      </c>
      <c r="S117" s="99">
        <v>0</v>
      </c>
      <c r="T117" s="88">
        <f t="shared" si="1"/>
        <v>2</v>
      </c>
      <c r="U117" s="85" t="s">
        <v>4977</v>
      </c>
      <c r="V117" s="88">
        <v>0</v>
      </c>
      <c r="W117" s="109" t="s">
        <v>4978</v>
      </c>
      <c r="X117" s="109" t="s">
        <v>4477</v>
      </c>
      <c r="Y117" s="109">
        <v>31</v>
      </c>
      <c r="Z117" s="109" t="s">
        <v>4979</v>
      </c>
      <c r="AA117" s="109" t="s">
        <v>4363</v>
      </c>
      <c r="AB117" s="109" t="s">
        <v>4378</v>
      </c>
      <c r="AC117" s="109">
        <v>40534</v>
      </c>
      <c r="AD117" s="85" t="s">
        <v>4980</v>
      </c>
      <c r="AE117" s="88" t="s">
        <v>4815</v>
      </c>
      <c r="AF117" s="113">
        <v>142</v>
      </c>
      <c r="AG117" s="85" t="s">
        <v>4981</v>
      </c>
      <c r="AH117" s="85" t="s">
        <v>4982</v>
      </c>
      <c r="AI117" s="85">
        <v>0</v>
      </c>
      <c r="AJ117" s="85" t="s">
        <v>4983</v>
      </c>
      <c r="AK117" s="85" t="s">
        <v>4338</v>
      </c>
      <c r="AL117" s="85">
        <v>0</v>
      </c>
      <c r="AM117" s="85" t="s">
        <v>4320</v>
      </c>
      <c r="AN117" s="85" t="s">
        <v>3124</v>
      </c>
      <c r="AO117" s="85" t="s">
        <v>4984</v>
      </c>
      <c r="AP117" s="88">
        <v>162</v>
      </c>
      <c r="AQ117" s="88">
        <v>59</v>
      </c>
      <c r="AR117" s="85"/>
    </row>
    <row r="118" spans="2:44">
      <c r="B118" s="69" t="s">
        <v>4325</v>
      </c>
      <c r="C118" s="81">
        <v>115</v>
      </c>
      <c r="D118" s="82">
        <v>252610014</v>
      </c>
      <c r="E118" s="102" t="s">
        <v>930</v>
      </c>
      <c r="F118" s="103" t="s">
        <v>931</v>
      </c>
      <c r="G118" s="85" t="s">
        <v>931</v>
      </c>
      <c r="H118" s="85" t="s">
        <v>4985</v>
      </c>
      <c r="I118" s="85" t="s">
        <v>930</v>
      </c>
      <c r="J118" s="86" t="s">
        <v>930</v>
      </c>
      <c r="K118" s="85" t="s">
        <v>90</v>
      </c>
      <c r="L118" s="85" t="s">
        <v>4343</v>
      </c>
      <c r="M118" s="87">
        <v>40297</v>
      </c>
      <c r="N118" s="85" t="s">
        <v>4460</v>
      </c>
      <c r="O118" s="85" t="s">
        <v>4462</v>
      </c>
      <c r="P118" s="99">
        <v>1</v>
      </c>
      <c r="Q118" s="88">
        <v>1</v>
      </c>
      <c r="R118" s="88">
        <v>0</v>
      </c>
      <c r="S118" s="88">
        <v>0</v>
      </c>
      <c r="T118" s="88">
        <f t="shared" si="1"/>
        <v>1</v>
      </c>
      <c r="U118" s="85" t="s">
        <v>4462</v>
      </c>
      <c r="V118" s="88">
        <v>0</v>
      </c>
      <c r="W118" s="109" t="s">
        <v>4986</v>
      </c>
      <c r="X118" s="109" t="s">
        <v>4492</v>
      </c>
      <c r="Y118" s="109">
        <v>13</v>
      </c>
      <c r="Z118" s="109" t="s">
        <v>4987</v>
      </c>
      <c r="AA118" s="109" t="s">
        <v>4634</v>
      </c>
      <c r="AB118" s="109" t="s">
        <v>4988</v>
      </c>
      <c r="AC118" s="109">
        <v>40534</v>
      </c>
      <c r="AD118" s="85" t="s">
        <v>4989</v>
      </c>
      <c r="AE118" s="88" t="s">
        <v>4990</v>
      </c>
      <c r="AF118" s="88" t="s">
        <v>4991</v>
      </c>
      <c r="AG118" s="85" t="s">
        <v>4992</v>
      </c>
      <c r="AH118" s="85" t="s">
        <v>4993</v>
      </c>
      <c r="AI118" s="85" t="s">
        <v>4351</v>
      </c>
      <c r="AJ118" s="85" t="s">
        <v>4318</v>
      </c>
      <c r="AK118" s="85" t="s">
        <v>4320</v>
      </c>
      <c r="AL118" s="85" t="s">
        <v>4406</v>
      </c>
      <c r="AM118" s="85" t="s">
        <v>4320</v>
      </c>
      <c r="AN118" s="85" t="s">
        <v>3124</v>
      </c>
      <c r="AO118" s="85" t="s">
        <v>4994</v>
      </c>
      <c r="AP118" s="88">
        <v>156</v>
      </c>
      <c r="AQ118" s="88">
        <v>47</v>
      </c>
      <c r="AR118" s="85" t="s">
        <v>4415</v>
      </c>
    </row>
    <row r="119" spans="2:44">
      <c r="B119" s="69" t="s">
        <v>4354</v>
      </c>
      <c r="C119" s="81">
        <v>116</v>
      </c>
      <c r="D119" s="82">
        <v>252610058</v>
      </c>
      <c r="E119" s="83" t="s">
        <v>1508</v>
      </c>
      <c r="F119" s="84" t="s">
        <v>1509</v>
      </c>
      <c r="G119" s="104" t="s">
        <v>1509</v>
      </c>
      <c r="H119" s="104" t="s">
        <v>4580</v>
      </c>
      <c r="I119" s="104" t="s">
        <v>1508</v>
      </c>
      <c r="J119" s="86" t="s">
        <v>1508</v>
      </c>
      <c r="K119" s="104" t="s">
        <v>90</v>
      </c>
      <c r="L119" s="104" t="s">
        <v>4357</v>
      </c>
      <c r="M119" s="105" t="s">
        <v>4995</v>
      </c>
      <c r="N119" s="104" t="s">
        <v>4460</v>
      </c>
      <c r="O119" s="104" t="s">
        <v>4489</v>
      </c>
      <c r="P119" s="88">
        <v>2</v>
      </c>
      <c r="Q119" s="99">
        <v>2</v>
      </c>
      <c r="R119" s="99">
        <v>0</v>
      </c>
      <c r="S119" s="99">
        <v>0</v>
      </c>
      <c r="T119" s="88">
        <f t="shared" si="1"/>
        <v>2</v>
      </c>
      <c r="U119" s="104" t="s">
        <v>4344</v>
      </c>
      <c r="V119" s="99" t="s">
        <v>4310</v>
      </c>
      <c r="W119" s="108" t="s">
        <v>4996</v>
      </c>
      <c r="X119" s="108" t="s">
        <v>4477</v>
      </c>
      <c r="Y119" s="108">
        <v>33</v>
      </c>
      <c r="Z119" s="108" t="s">
        <v>4478</v>
      </c>
      <c r="AA119" s="108" t="s">
        <v>4634</v>
      </c>
      <c r="AB119" s="108" t="s">
        <v>4988</v>
      </c>
      <c r="AC119" s="108">
        <v>40534</v>
      </c>
      <c r="AD119" s="104" t="s">
        <v>4997</v>
      </c>
      <c r="AE119" s="99" t="s">
        <v>4998</v>
      </c>
      <c r="AF119" s="99" t="s">
        <v>4482</v>
      </c>
      <c r="AG119" s="104" t="s">
        <v>4999</v>
      </c>
      <c r="AH119" s="104" t="s">
        <v>5000</v>
      </c>
      <c r="AI119" s="104" t="s">
        <v>4318</v>
      </c>
      <c r="AJ119" s="104" t="s">
        <v>4351</v>
      </c>
      <c r="AK119" s="104" t="s">
        <v>4402</v>
      </c>
      <c r="AL119" s="106"/>
      <c r="AM119" s="104" t="s">
        <v>4372</v>
      </c>
      <c r="AN119" s="104" t="s">
        <v>3124</v>
      </c>
      <c r="AO119" s="106"/>
      <c r="AP119" s="99">
        <v>165</v>
      </c>
      <c r="AQ119" s="99">
        <v>43</v>
      </c>
      <c r="AR119" s="106"/>
    </row>
    <row r="120" spans="2:44">
      <c r="B120" s="69" t="s">
        <v>4341</v>
      </c>
      <c r="C120" s="81">
        <v>117</v>
      </c>
      <c r="D120" s="82">
        <v>252610298</v>
      </c>
      <c r="E120" s="83" t="s">
        <v>1021</v>
      </c>
      <c r="F120" s="84" t="s">
        <v>1022</v>
      </c>
      <c r="G120" s="85" t="s">
        <v>1022</v>
      </c>
      <c r="H120" s="85" t="s">
        <v>5001</v>
      </c>
      <c r="I120" s="85" t="s">
        <v>1021</v>
      </c>
      <c r="J120" s="86" t="s">
        <v>1021</v>
      </c>
      <c r="K120" s="85" t="s">
        <v>90</v>
      </c>
      <c r="L120" s="85" t="s">
        <v>4357</v>
      </c>
      <c r="M120" s="87">
        <v>40028</v>
      </c>
      <c r="N120" s="85" t="s">
        <v>4460</v>
      </c>
      <c r="O120" s="85" t="s">
        <v>4462</v>
      </c>
      <c r="P120" s="99">
        <v>3</v>
      </c>
      <c r="Q120" s="88">
        <v>1</v>
      </c>
      <c r="R120" s="88">
        <v>1</v>
      </c>
      <c r="S120" s="88">
        <v>0</v>
      </c>
      <c r="T120" s="88">
        <f t="shared" si="1"/>
        <v>2</v>
      </c>
      <c r="U120" s="85" t="s">
        <v>5002</v>
      </c>
      <c r="V120" s="88" t="s">
        <v>4358</v>
      </c>
      <c r="W120" s="109" t="s">
        <v>5003</v>
      </c>
      <c r="X120" s="109" t="s">
        <v>5004</v>
      </c>
      <c r="Y120" s="109" t="s">
        <v>4419</v>
      </c>
      <c r="Z120" s="109" t="s">
        <v>4634</v>
      </c>
      <c r="AA120" s="109" t="s">
        <v>4634</v>
      </c>
      <c r="AB120" s="109" t="s">
        <v>4479</v>
      </c>
      <c r="AC120" s="109">
        <v>40534</v>
      </c>
      <c r="AD120" s="85" t="s">
        <v>5005</v>
      </c>
      <c r="AE120" s="88" t="s">
        <v>4990</v>
      </c>
      <c r="AF120" s="88" t="s">
        <v>4502</v>
      </c>
      <c r="AG120" s="85" t="s">
        <v>5006</v>
      </c>
      <c r="AH120" s="85" t="s">
        <v>5007</v>
      </c>
      <c r="AI120" s="85" t="s">
        <v>5008</v>
      </c>
      <c r="AJ120" s="85" t="s">
        <v>5008</v>
      </c>
      <c r="AK120" s="85" t="s">
        <v>4319</v>
      </c>
      <c r="AL120" s="85" t="s">
        <v>4406</v>
      </c>
      <c r="AM120" s="85" t="s">
        <v>4319</v>
      </c>
      <c r="AN120" s="85" t="s">
        <v>5009</v>
      </c>
      <c r="AO120" s="85" t="s">
        <v>4406</v>
      </c>
      <c r="AP120" s="88">
        <v>165</v>
      </c>
      <c r="AQ120" s="88">
        <v>63</v>
      </c>
      <c r="AR120" s="85" t="s">
        <v>4322</v>
      </c>
    </row>
    <row r="121" s="66" customFormat="1" spans="2:44">
      <c r="B121" s="91" t="s">
        <v>4354</v>
      </c>
      <c r="C121" s="92">
        <v>118</v>
      </c>
      <c r="D121" s="93">
        <v>252610059</v>
      </c>
      <c r="E121" s="94" t="s">
        <v>1023</v>
      </c>
      <c r="F121" s="95" t="s">
        <v>1024</v>
      </c>
      <c r="G121" s="96" t="s">
        <v>4088</v>
      </c>
      <c r="H121" s="97"/>
      <c r="I121" s="96" t="s">
        <v>1023</v>
      </c>
      <c r="J121" s="96" t="s">
        <v>1023</v>
      </c>
      <c r="K121" s="97"/>
      <c r="L121" s="97"/>
      <c r="M121" s="98"/>
      <c r="N121" s="97"/>
      <c r="O121" s="97"/>
      <c r="P121" s="88"/>
      <c r="Q121" s="99">
        <v>4</v>
      </c>
      <c r="R121" s="99">
        <v>0</v>
      </c>
      <c r="S121" s="99">
        <v>0</v>
      </c>
      <c r="T121" s="88">
        <f t="shared" si="1"/>
        <v>4</v>
      </c>
      <c r="U121" s="97"/>
      <c r="V121" s="100"/>
      <c r="W121" s="101"/>
      <c r="X121" s="101"/>
      <c r="Y121" s="101"/>
      <c r="Z121" s="101"/>
      <c r="AA121" s="101"/>
      <c r="AB121" s="101"/>
      <c r="AC121" s="101"/>
      <c r="AD121" s="97"/>
      <c r="AE121" s="100"/>
      <c r="AF121" s="100"/>
      <c r="AG121" s="97"/>
      <c r="AH121" s="97"/>
      <c r="AI121" s="97"/>
      <c r="AJ121" s="97"/>
      <c r="AK121" s="97"/>
      <c r="AL121" s="97"/>
      <c r="AM121" s="97"/>
      <c r="AN121" s="97"/>
      <c r="AO121" s="97"/>
      <c r="AP121" s="100"/>
      <c r="AQ121" s="100"/>
      <c r="AR121" s="97"/>
    </row>
    <row r="122" s="66" customFormat="1" spans="2:44">
      <c r="B122" s="91" t="s">
        <v>4341</v>
      </c>
      <c r="C122" s="92">
        <v>119</v>
      </c>
      <c r="D122" s="93">
        <v>252610299</v>
      </c>
      <c r="E122" s="94" t="s">
        <v>1600</v>
      </c>
      <c r="F122" s="95" t="s">
        <v>1601</v>
      </c>
      <c r="G122" s="96" t="s">
        <v>4089</v>
      </c>
      <c r="H122" s="97"/>
      <c r="I122" s="96" t="s">
        <v>1600</v>
      </c>
      <c r="J122" s="96" t="s">
        <v>1600</v>
      </c>
      <c r="K122" s="97"/>
      <c r="L122" s="97"/>
      <c r="M122" s="98"/>
      <c r="N122" s="97"/>
      <c r="O122" s="97"/>
      <c r="P122" s="99"/>
      <c r="Q122" s="96"/>
      <c r="R122" s="96"/>
      <c r="S122" s="96"/>
      <c r="T122" s="88">
        <f t="shared" si="1"/>
        <v>0</v>
      </c>
      <c r="U122" s="97"/>
      <c r="V122" s="100"/>
      <c r="W122" s="101"/>
      <c r="X122" s="101"/>
      <c r="Y122" s="101"/>
      <c r="Z122" s="101"/>
      <c r="AA122" s="101"/>
      <c r="AB122" s="101"/>
      <c r="AC122" s="101"/>
      <c r="AD122" s="97"/>
      <c r="AE122" s="100"/>
      <c r="AF122" s="100"/>
      <c r="AG122" s="97"/>
      <c r="AH122" s="97"/>
      <c r="AI122" s="97"/>
      <c r="AJ122" s="97"/>
      <c r="AK122" s="97"/>
      <c r="AL122" s="97"/>
      <c r="AM122" s="97"/>
      <c r="AN122" s="97"/>
      <c r="AO122" s="97"/>
      <c r="AP122" s="100"/>
      <c r="AQ122" s="100"/>
      <c r="AR122" s="97"/>
    </row>
    <row r="123" spans="2:44">
      <c r="B123" s="69" t="s">
        <v>4324</v>
      </c>
      <c r="C123" s="81">
        <v>120</v>
      </c>
      <c r="D123" s="82">
        <v>252610107</v>
      </c>
      <c r="E123" s="83">
        <v>3105837808</v>
      </c>
      <c r="F123" s="84" t="s">
        <v>4090</v>
      </c>
      <c r="G123" s="104" t="s">
        <v>4090</v>
      </c>
      <c r="H123" s="104" t="s">
        <v>5010</v>
      </c>
      <c r="I123" s="104">
        <v>3105837808</v>
      </c>
      <c r="J123" s="86">
        <v>3105837808</v>
      </c>
      <c r="K123" s="104" t="s">
        <v>90</v>
      </c>
      <c r="L123" s="104" t="s">
        <v>4343</v>
      </c>
      <c r="M123" s="105">
        <v>40453</v>
      </c>
      <c r="N123" s="104" t="s">
        <v>4307</v>
      </c>
      <c r="O123" s="104" t="s">
        <v>4344</v>
      </c>
      <c r="P123" s="88">
        <v>3</v>
      </c>
      <c r="Q123" s="88">
        <v>3</v>
      </c>
      <c r="R123" s="88">
        <v>0</v>
      </c>
      <c r="S123" s="88">
        <v>0</v>
      </c>
      <c r="T123" s="88">
        <f t="shared" si="1"/>
        <v>3</v>
      </c>
      <c r="U123" s="104" t="s">
        <v>4344</v>
      </c>
      <c r="V123" s="99" t="s">
        <v>4595</v>
      </c>
      <c r="W123" s="108" t="s">
        <v>5011</v>
      </c>
      <c r="X123" s="108" t="s">
        <v>4376</v>
      </c>
      <c r="Y123" s="108" t="s">
        <v>4419</v>
      </c>
      <c r="Z123" s="108" t="s">
        <v>4478</v>
      </c>
      <c r="AA123" s="108" t="s">
        <v>5012</v>
      </c>
      <c r="AB123" s="108" t="s">
        <v>4395</v>
      </c>
      <c r="AC123" s="108">
        <v>40212</v>
      </c>
      <c r="AD123" s="104" t="s">
        <v>5013</v>
      </c>
      <c r="AE123" s="99" t="s">
        <v>4669</v>
      </c>
      <c r="AF123" s="99" t="s">
        <v>4334</v>
      </c>
      <c r="AG123" s="104" t="s">
        <v>5014</v>
      </c>
      <c r="AH123" s="104" t="s">
        <v>5015</v>
      </c>
      <c r="AI123" s="104" t="s">
        <v>4456</v>
      </c>
      <c r="AJ123" s="104" t="s">
        <v>4318</v>
      </c>
      <c r="AK123" s="104" t="s">
        <v>4319</v>
      </c>
      <c r="AL123" s="106"/>
      <c r="AM123" s="104" t="s">
        <v>4553</v>
      </c>
      <c r="AN123" s="104" t="s">
        <v>5016</v>
      </c>
      <c r="AO123" s="106"/>
      <c r="AP123" s="99">
        <v>152</v>
      </c>
      <c r="AQ123" s="99">
        <v>42</v>
      </c>
      <c r="AR123" s="104" t="s">
        <v>4415</v>
      </c>
    </row>
    <row r="124" spans="2:44">
      <c r="B124" s="69" t="s">
        <v>4386</v>
      </c>
      <c r="C124" s="81">
        <v>121</v>
      </c>
      <c r="D124" s="82">
        <v>252610345</v>
      </c>
      <c r="E124" s="83" t="s">
        <v>1307</v>
      </c>
      <c r="F124" s="84" t="s">
        <v>1308</v>
      </c>
      <c r="G124" s="85" t="s">
        <v>4091</v>
      </c>
      <c r="H124" s="85" t="s">
        <v>5017</v>
      </c>
      <c r="I124" s="85" t="s">
        <v>1307</v>
      </c>
      <c r="J124" s="86" t="s">
        <v>1307</v>
      </c>
      <c r="K124" s="85" t="s">
        <v>90</v>
      </c>
      <c r="L124" s="85" t="s">
        <v>4905</v>
      </c>
      <c r="M124" s="87">
        <v>40162</v>
      </c>
      <c r="N124" s="85" t="s">
        <v>4541</v>
      </c>
      <c r="O124" s="85" t="s">
        <v>4344</v>
      </c>
      <c r="P124" s="99">
        <v>1</v>
      </c>
      <c r="Q124" s="99">
        <v>0</v>
      </c>
      <c r="R124" s="99">
        <v>2</v>
      </c>
      <c r="S124" s="99">
        <v>0</v>
      </c>
      <c r="T124" s="88">
        <f t="shared" si="1"/>
        <v>2</v>
      </c>
      <c r="U124" s="85" t="s">
        <v>4344</v>
      </c>
      <c r="V124" s="88" t="s">
        <v>4358</v>
      </c>
      <c r="W124" s="109" t="s">
        <v>5018</v>
      </c>
      <c r="X124" s="109" t="s">
        <v>4703</v>
      </c>
      <c r="Y124" s="109" t="s">
        <v>4391</v>
      </c>
      <c r="Z124" s="109" t="s">
        <v>4406</v>
      </c>
      <c r="AA124" s="109" t="s">
        <v>5019</v>
      </c>
      <c r="AB124" s="109" t="s">
        <v>4562</v>
      </c>
      <c r="AC124" s="109">
        <v>40212</v>
      </c>
      <c r="AD124" s="85" t="s">
        <v>5020</v>
      </c>
      <c r="AE124" s="88" t="s">
        <v>4333</v>
      </c>
      <c r="AF124" s="88">
        <v>1</v>
      </c>
      <c r="AG124" s="85" t="s">
        <v>5021</v>
      </c>
      <c r="AH124" s="85" t="s">
        <v>5022</v>
      </c>
      <c r="AI124" s="85" t="s">
        <v>4384</v>
      </c>
      <c r="AJ124" s="85" t="s">
        <v>4318</v>
      </c>
      <c r="AK124" s="85" t="s">
        <v>4319</v>
      </c>
      <c r="AL124" s="90"/>
      <c r="AM124" s="85" t="s">
        <v>4372</v>
      </c>
      <c r="AN124" s="85" t="s">
        <v>3139</v>
      </c>
      <c r="AO124" s="85" t="s">
        <v>4406</v>
      </c>
      <c r="AP124" s="88">
        <v>150</v>
      </c>
      <c r="AQ124" s="88">
        <v>43</v>
      </c>
      <c r="AR124" s="85" t="s">
        <v>4322</v>
      </c>
    </row>
    <row r="125" s="66" customFormat="1" spans="2:44">
      <c r="B125" s="91" t="s">
        <v>4325</v>
      </c>
      <c r="C125" s="92">
        <v>122</v>
      </c>
      <c r="D125" s="93">
        <v>252610015</v>
      </c>
      <c r="E125" s="118" t="s">
        <v>1217</v>
      </c>
      <c r="F125" s="119" t="s">
        <v>1218</v>
      </c>
      <c r="G125" s="96" t="s">
        <v>1218</v>
      </c>
      <c r="H125" s="97"/>
      <c r="I125" s="96" t="s">
        <v>1217</v>
      </c>
      <c r="J125" s="96" t="s">
        <v>1217</v>
      </c>
      <c r="K125" s="97"/>
      <c r="L125" s="97"/>
      <c r="M125" s="98"/>
      <c r="N125" s="97"/>
      <c r="O125" s="97"/>
      <c r="P125" s="88"/>
      <c r="Q125" s="96"/>
      <c r="R125" s="96"/>
      <c r="S125" s="96"/>
      <c r="T125" s="88">
        <f t="shared" si="1"/>
        <v>0</v>
      </c>
      <c r="U125" s="97"/>
      <c r="V125" s="100"/>
      <c r="W125" s="101"/>
      <c r="X125" s="101"/>
      <c r="Y125" s="101"/>
      <c r="Z125" s="101"/>
      <c r="AA125" s="101"/>
      <c r="AB125" s="101"/>
      <c r="AC125" s="101"/>
      <c r="AD125" s="97"/>
      <c r="AE125" s="100"/>
      <c r="AF125" s="100"/>
      <c r="AG125" s="97"/>
      <c r="AH125" s="97"/>
      <c r="AI125" s="97"/>
      <c r="AJ125" s="97"/>
      <c r="AK125" s="97"/>
      <c r="AL125" s="97"/>
      <c r="AM125" s="97"/>
      <c r="AN125" s="97"/>
      <c r="AO125" s="97"/>
      <c r="AP125" s="100"/>
      <c r="AQ125" s="100"/>
      <c r="AR125" s="97"/>
    </row>
    <row r="126" spans="2:44">
      <c r="B126" s="69" t="s">
        <v>4386</v>
      </c>
      <c r="C126" s="81">
        <v>123</v>
      </c>
      <c r="D126" s="82">
        <v>252610346</v>
      </c>
      <c r="E126" s="83" t="s">
        <v>1219</v>
      </c>
      <c r="F126" s="84" t="s">
        <v>1220</v>
      </c>
      <c r="G126" s="85" t="s">
        <v>1220</v>
      </c>
      <c r="H126" s="85" t="s">
        <v>5023</v>
      </c>
      <c r="I126" s="85" t="s">
        <v>1219</v>
      </c>
      <c r="J126" s="86" t="s">
        <v>1219</v>
      </c>
      <c r="K126" s="85" t="s">
        <v>90</v>
      </c>
      <c r="L126" s="85" t="s">
        <v>4459</v>
      </c>
      <c r="M126" s="87">
        <v>40151</v>
      </c>
      <c r="N126" s="85" t="s">
        <v>4460</v>
      </c>
      <c r="O126" s="85" t="s">
        <v>4462</v>
      </c>
      <c r="P126" s="99">
        <v>2</v>
      </c>
      <c r="Q126" s="99">
        <v>2</v>
      </c>
      <c r="R126" s="99">
        <v>0</v>
      </c>
      <c r="S126" s="99">
        <v>0</v>
      </c>
      <c r="T126" s="88">
        <f t="shared" si="1"/>
        <v>2</v>
      </c>
      <c r="U126" s="85" t="s">
        <v>4791</v>
      </c>
      <c r="V126" s="88">
        <v>0</v>
      </c>
      <c r="W126" s="109" t="s">
        <v>5024</v>
      </c>
      <c r="X126" s="109" t="s">
        <v>4392</v>
      </c>
      <c r="Y126" s="109" t="s">
        <v>4392</v>
      </c>
      <c r="Z126" s="109" t="s">
        <v>5025</v>
      </c>
      <c r="AA126" s="109" t="s">
        <v>5025</v>
      </c>
      <c r="AB126" s="109" t="s">
        <v>4467</v>
      </c>
      <c r="AC126" s="109">
        <v>40217</v>
      </c>
      <c r="AD126" s="85" t="s">
        <v>5026</v>
      </c>
      <c r="AE126" s="88" t="s">
        <v>4333</v>
      </c>
      <c r="AF126" s="88" t="s">
        <v>5027</v>
      </c>
      <c r="AG126" s="85" t="s">
        <v>5028</v>
      </c>
      <c r="AH126" s="85" t="s">
        <v>5029</v>
      </c>
      <c r="AI126" s="85" t="s">
        <v>4699</v>
      </c>
      <c r="AJ126" s="85" t="s">
        <v>4699</v>
      </c>
      <c r="AK126" s="85" t="s">
        <v>4337</v>
      </c>
      <c r="AL126" s="90"/>
      <c r="AM126" s="85" t="s">
        <v>4372</v>
      </c>
      <c r="AN126" s="85" t="s">
        <v>3701</v>
      </c>
      <c r="AO126" s="90"/>
      <c r="AP126" s="88">
        <v>164</v>
      </c>
      <c r="AQ126" s="88">
        <v>42</v>
      </c>
      <c r="AR126" s="85" t="s">
        <v>4428</v>
      </c>
    </row>
    <row r="127" spans="2:44">
      <c r="B127" s="69" t="s">
        <v>4355</v>
      </c>
      <c r="C127" s="81">
        <v>124</v>
      </c>
      <c r="D127" s="82">
        <v>252610155</v>
      </c>
      <c r="E127" s="83" t="s">
        <v>1789</v>
      </c>
      <c r="F127" s="84" t="s">
        <v>1790</v>
      </c>
      <c r="G127" s="104" t="s">
        <v>1790</v>
      </c>
      <c r="H127" s="104" t="s">
        <v>5030</v>
      </c>
      <c r="I127" s="104" t="s">
        <v>1789</v>
      </c>
      <c r="J127" s="86" t="s">
        <v>1789</v>
      </c>
      <c r="K127" s="104" t="s">
        <v>90</v>
      </c>
      <c r="L127" s="104" t="s">
        <v>4343</v>
      </c>
      <c r="M127" s="105">
        <v>40148</v>
      </c>
      <c r="N127" s="104" t="s">
        <v>4460</v>
      </c>
      <c r="O127" s="104" t="s">
        <v>4308</v>
      </c>
      <c r="P127" s="88">
        <v>2</v>
      </c>
      <c r="Q127" s="88">
        <v>2</v>
      </c>
      <c r="R127" s="88">
        <v>0</v>
      </c>
      <c r="S127" s="88">
        <v>0</v>
      </c>
      <c r="T127" s="88">
        <f t="shared" si="1"/>
        <v>2</v>
      </c>
      <c r="U127" s="104" t="s">
        <v>5031</v>
      </c>
      <c r="V127" s="99" t="s">
        <v>4358</v>
      </c>
      <c r="W127" s="108" t="s">
        <v>5032</v>
      </c>
      <c r="X127" s="108" t="s">
        <v>4391</v>
      </c>
      <c r="Y127" s="108" t="s">
        <v>4606</v>
      </c>
      <c r="Z127" s="108" t="s">
        <v>5033</v>
      </c>
      <c r="AA127" s="108" t="s">
        <v>4765</v>
      </c>
      <c r="AB127" s="108" t="s">
        <v>4395</v>
      </c>
      <c r="AC127" s="108">
        <v>40231</v>
      </c>
      <c r="AD127" s="104" t="s">
        <v>5034</v>
      </c>
      <c r="AE127" s="99" t="s">
        <v>4410</v>
      </c>
      <c r="AF127" s="99" t="s">
        <v>5035</v>
      </c>
      <c r="AG127" s="104" t="s">
        <v>5036</v>
      </c>
      <c r="AH127" s="104" t="s">
        <v>5037</v>
      </c>
      <c r="AI127" s="104" t="s">
        <v>4384</v>
      </c>
      <c r="AJ127" s="104" t="s">
        <v>4370</v>
      </c>
      <c r="AK127" s="104" t="s">
        <v>4320</v>
      </c>
      <c r="AL127" s="104" t="s">
        <v>5038</v>
      </c>
      <c r="AM127" s="104" t="s">
        <v>4372</v>
      </c>
      <c r="AN127" s="104" t="s">
        <v>5039</v>
      </c>
      <c r="AO127" s="104"/>
      <c r="AP127" s="99">
        <v>171</v>
      </c>
      <c r="AQ127" s="99">
        <v>55</v>
      </c>
      <c r="AR127" s="104" t="s">
        <v>4538</v>
      </c>
    </row>
    <row r="128" spans="2:44">
      <c r="B128" s="69" t="s">
        <v>4568</v>
      </c>
      <c r="C128" s="81">
        <v>125</v>
      </c>
      <c r="D128" s="82">
        <v>252610201</v>
      </c>
      <c r="E128" s="83" t="s">
        <v>1025</v>
      </c>
      <c r="F128" s="84" t="s">
        <v>1026</v>
      </c>
      <c r="G128" s="85" t="s">
        <v>4092</v>
      </c>
      <c r="H128" s="85" t="s">
        <v>5040</v>
      </c>
      <c r="I128" s="85" t="s">
        <v>1025</v>
      </c>
      <c r="J128" s="86" t="s">
        <v>1025</v>
      </c>
      <c r="K128" s="85" t="s">
        <v>90</v>
      </c>
      <c r="L128" s="85" t="s">
        <v>4343</v>
      </c>
      <c r="M128" s="87">
        <v>40166</v>
      </c>
      <c r="N128" s="85" t="s">
        <v>4307</v>
      </c>
      <c r="O128" s="85" t="s">
        <v>4308</v>
      </c>
      <c r="P128" s="99">
        <v>3</v>
      </c>
      <c r="Q128" s="99">
        <v>2</v>
      </c>
      <c r="R128" s="99">
        <v>0</v>
      </c>
      <c r="S128" s="99">
        <v>0</v>
      </c>
      <c r="T128" s="88">
        <f t="shared" si="1"/>
        <v>2</v>
      </c>
      <c r="U128" s="85" t="s">
        <v>4344</v>
      </c>
      <c r="V128" s="88" t="s">
        <v>4310</v>
      </c>
      <c r="W128" s="109" t="s">
        <v>5041</v>
      </c>
      <c r="X128" s="109" t="s">
        <v>4477</v>
      </c>
      <c r="Y128" s="109">
        <v>15</v>
      </c>
      <c r="Z128" s="112"/>
      <c r="AA128" s="109" t="s">
        <v>4363</v>
      </c>
      <c r="AB128" s="109" t="s">
        <v>4357</v>
      </c>
      <c r="AC128" s="109">
        <v>40354</v>
      </c>
      <c r="AD128" s="85" t="s">
        <v>5042</v>
      </c>
      <c r="AE128" s="88" t="s">
        <v>4380</v>
      </c>
      <c r="AF128" s="88" t="s">
        <v>4411</v>
      </c>
      <c r="AG128" s="85" t="s">
        <v>5043</v>
      </c>
      <c r="AH128" s="85" t="s">
        <v>5044</v>
      </c>
      <c r="AI128" s="85" t="s">
        <v>4683</v>
      </c>
      <c r="AJ128" s="85" t="s">
        <v>4317</v>
      </c>
      <c r="AK128" s="85" t="s">
        <v>4319</v>
      </c>
      <c r="AL128" s="90"/>
      <c r="AM128" s="85" t="s">
        <v>4651</v>
      </c>
      <c r="AN128" s="85" t="s">
        <v>3124</v>
      </c>
      <c r="AO128" s="90"/>
      <c r="AP128" s="88">
        <v>157</v>
      </c>
      <c r="AQ128" s="88">
        <v>49</v>
      </c>
      <c r="AR128" s="85" t="s">
        <v>4415</v>
      </c>
    </row>
    <row r="129" s="66" customFormat="1" spans="2:44">
      <c r="B129" s="91" t="s">
        <v>4324</v>
      </c>
      <c r="C129" s="92">
        <v>126</v>
      </c>
      <c r="D129" s="93">
        <v>252610108</v>
      </c>
      <c r="E129" s="94" t="s">
        <v>4095</v>
      </c>
      <c r="F129" s="95" t="s">
        <v>417</v>
      </c>
      <c r="G129" s="96" t="s">
        <v>4093</v>
      </c>
      <c r="H129" s="97"/>
      <c r="I129" s="96" t="s">
        <v>4095</v>
      </c>
      <c r="J129" s="96" t="s">
        <v>4095</v>
      </c>
      <c r="K129" s="97"/>
      <c r="L129" s="97"/>
      <c r="M129" s="98"/>
      <c r="N129" s="97"/>
      <c r="O129" s="97"/>
      <c r="P129" s="88"/>
      <c r="Q129" s="96"/>
      <c r="R129" s="96"/>
      <c r="S129" s="96"/>
      <c r="T129" s="88">
        <f t="shared" si="1"/>
        <v>0</v>
      </c>
      <c r="U129" s="97"/>
      <c r="V129" s="100"/>
      <c r="W129" s="101"/>
      <c r="X129" s="101"/>
      <c r="Y129" s="101"/>
      <c r="Z129" s="101"/>
      <c r="AA129" s="101"/>
      <c r="AB129" s="101"/>
      <c r="AC129" s="101"/>
      <c r="AD129" s="97"/>
      <c r="AE129" s="100"/>
      <c r="AF129" s="100"/>
      <c r="AG129" s="97"/>
      <c r="AH129" s="97"/>
      <c r="AI129" s="97"/>
      <c r="AJ129" s="97"/>
      <c r="AK129" s="97"/>
      <c r="AL129" s="97"/>
      <c r="AM129" s="97"/>
      <c r="AN129" s="97"/>
      <c r="AO129" s="97"/>
      <c r="AP129" s="100"/>
      <c r="AQ129" s="100"/>
      <c r="AR129" s="97"/>
    </row>
    <row r="130" spans="2:44">
      <c r="B130" s="69" t="s">
        <v>4355</v>
      </c>
      <c r="C130" s="81">
        <v>127</v>
      </c>
      <c r="D130" s="82">
        <v>252610156</v>
      </c>
      <c r="E130" s="83" t="s">
        <v>1791</v>
      </c>
      <c r="F130" s="84" t="s">
        <v>1988</v>
      </c>
      <c r="G130" s="85" t="s">
        <v>5045</v>
      </c>
      <c r="H130" s="85" t="s">
        <v>5046</v>
      </c>
      <c r="I130" s="85" t="s">
        <v>1791</v>
      </c>
      <c r="J130" s="86" t="s">
        <v>1791</v>
      </c>
      <c r="K130" s="85" t="s">
        <v>90</v>
      </c>
      <c r="L130" s="85" t="s">
        <v>4327</v>
      </c>
      <c r="M130" s="87">
        <v>39990</v>
      </c>
      <c r="N130" s="85" t="s">
        <v>4307</v>
      </c>
      <c r="O130" s="85" t="s">
        <v>4308</v>
      </c>
      <c r="P130" s="99">
        <v>1</v>
      </c>
      <c r="Q130" s="99">
        <v>1</v>
      </c>
      <c r="R130" s="99">
        <v>0</v>
      </c>
      <c r="S130" s="99">
        <v>0</v>
      </c>
      <c r="T130" s="88">
        <f t="shared" si="1"/>
        <v>1</v>
      </c>
      <c r="U130" s="85" t="s">
        <v>5047</v>
      </c>
      <c r="V130" s="88" t="s">
        <v>4310</v>
      </c>
      <c r="W130" s="109" t="s">
        <v>5048</v>
      </c>
      <c r="X130" s="109" t="s">
        <v>4606</v>
      </c>
      <c r="Y130" s="109" t="s">
        <v>4448</v>
      </c>
      <c r="Z130" s="109" t="s">
        <v>5049</v>
      </c>
      <c r="AA130" s="109" t="s">
        <v>5049</v>
      </c>
      <c r="AB130" s="109" t="s">
        <v>4608</v>
      </c>
      <c r="AC130" s="109">
        <v>40214</v>
      </c>
      <c r="AD130" s="85" t="s">
        <v>5050</v>
      </c>
      <c r="AE130" s="88" t="s">
        <v>4422</v>
      </c>
      <c r="AF130" s="88" t="s">
        <v>4588</v>
      </c>
      <c r="AG130" s="85" t="s">
        <v>5051</v>
      </c>
      <c r="AH130" s="85" t="s">
        <v>5052</v>
      </c>
      <c r="AI130" s="85" t="s">
        <v>4672</v>
      </c>
      <c r="AJ130" s="85" t="s">
        <v>5053</v>
      </c>
      <c r="AK130" s="85" t="s">
        <v>4337</v>
      </c>
      <c r="AL130" s="85" t="s">
        <v>5054</v>
      </c>
      <c r="AM130" s="85" t="s">
        <v>4372</v>
      </c>
      <c r="AN130" s="85" t="s">
        <v>5055</v>
      </c>
      <c r="AO130" s="85" t="s">
        <v>5056</v>
      </c>
      <c r="AP130" s="88" t="s">
        <v>5057</v>
      </c>
      <c r="AQ130" s="88" t="s">
        <v>5058</v>
      </c>
      <c r="AR130" s="85" t="s">
        <v>4340</v>
      </c>
    </row>
    <row r="131" spans="2:44">
      <c r="B131" s="91" t="s">
        <v>4354</v>
      </c>
      <c r="C131" s="92">
        <v>128</v>
      </c>
      <c r="D131" s="93">
        <v>252610060</v>
      </c>
      <c r="E131" s="94" t="s">
        <v>1989</v>
      </c>
      <c r="F131" s="95" t="s">
        <v>1990</v>
      </c>
      <c r="G131" s="85"/>
      <c r="H131" s="85"/>
      <c r="I131" s="85"/>
      <c r="J131" s="86"/>
      <c r="K131" s="85"/>
      <c r="L131" s="85"/>
      <c r="M131" s="87"/>
      <c r="N131" s="85"/>
      <c r="O131" s="85"/>
      <c r="P131" s="88"/>
      <c r="T131" s="88">
        <f t="shared" si="1"/>
        <v>0</v>
      </c>
      <c r="U131" s="85"/>
      <c r="V131" s="88"/>
      <c r="W131" s="109"/>
      <c r="X131" s="109"/>
      <c r="Y131" s="109"/>
      <c r="Z131" s="109"/>
      <c r="AA131" s="109"/>
      <c r="AB131" s="109"/>
      <c r="AC131" s="109"/>
      <c r="AD131" s="85"/>
      <c r="AE131" s="88"/>
      <c r="AF131" s="88"/>
      <c r="AG131" s="85"/>
      <c r="AH131" s="85"/>
      <c r="AI131" s="85"/>
      <c r="AJ131" s="85"/>
      <c r="AK131" s="85"/>
      <c r="AL131" s="85"/>
      <c r="AM131" s="85"/>
      <c r="AN131" s="85"/>
      <c r="AO131" s="85"/>
      <c r="AP131" s="88"/>
      <c r="AQ131" s="88"/>
      <c r="AR131" s="85"/>
    </row>
    <row r="132" spans="2:44">
      <c r="B132" s="69" t="s">
        <v>4324</v>
      </c>
      <c r="C132" s="81">
        <v>129</v>
      </c>
      <c r="D132" s="82">
        <v>252610109</v>
      </c>
      <c r="E132" s="83" t="s">
        <v>1027</v>
      </c>
      <c r="F132" s="84" t="s">
        <v>1028</v>
      </c>
      <c r="G132" s="104" t="s">
        <v>4094</v>
      </c>
      <c r="H132" s="104" t="s">
        <v>5059</v>
      </c>
      <c r="I132" s="104" t="s">
        <v>1027</v>
      </c>
      <c r="J132" s="86" t="s">
        <v>1027</v>
      </c>
      <c r="K132" s="104" t="s">
        <v>89</v>
      </c>
      <c r="L132" s="104" t="s">
        <v>4343</v>
      </c>
      <c r="M132" s="105">
        <v>39990</v>
      </c>
      <c r="N132" s="104" t="s">
        <v>4328</v>
      </c>
      <c r="O132" s="104" t="s">
        <v>4619</v>
      </c>
      <c r="P132" s="88">
        <v>1</v>
      </c>
      <c r="Q132" s="88">
        <v>1</v>
      </c>
      <c r="R132" s="88">
        <v>0</v>
      </c>
      <c r="S132" s="88">
        <v>0</v>
      </c>
      <c r="T132" s="88">
        <f t="shared" ref="T132:T195" si="2">Q132+R132+S132</f>
        <v>1</v>
      </c>
      <c r="U132" s="104" t="s">
        <v>5060</v>
      </c>
      <c r="V132" s="99">
        <v>0</v>
      </c>
      <c r="W132" s="108" t="s">
        <v>5061</v>
      </c>
      <c r="X132" s="108" t="s">
        <v>4544</v>
      </c>
      <c r="Y132" s="108" t="s">
        <v>4392</v>
      </c>
      <c r="Z132" s="114"/>
      <c r="AA132" s="108" t="s">
        <v>4704</v>
      </c>
      <c r="AB132" s="108" t="s">
        <v>4562</v>
      </c>
      <c r="AC132" s="108">
        <v>40215</v>
      </c>
      <c r="AD132" s="104" t="s">
        <v>5062</v>
      </c>
      <c r="AE132" s="99" t="s">
        <v>4410</v>
      </c>
      <c r="AF132" s="117">
        <v>772</v>
      </c>
      <c r="AG132" s="104" t="s">
        <v>5063</v>
      </c>
      <c r="AH132" s="104" t="s">
        <v>5064</v>
      </c>
      <c r="AI132" s="104" t="s">
        <v>4456</v>
      </c>
      <c r="AJ132" s="104" t="s">
        <v>4456</v>
      </c>
      <c r="AK132" s="104" t="s">
        <v>4320</v>
      </c>
      <c r="AL132" s="106"/>
      <c r="AM132" s="104" t="s">
        <v>4372</v>
      </c>
      <c r="AN132" s="104" t="s">
        <v>5065</v>
      </c>
      <c r="AO132" s="106"/>
      <c r="AP132" s="99">
        <v>160</v>
      </c>
      <c r="AQ132" s="99">
        <v>70</v>
      </c>
      <c r="AR132" s="106"/>
    </row>
    <row r="133" s="66" customFormat="1" spans="2:44">
      <c r="B133" s="91" t="s">
        <v>4323</v>
      </c>
      <c r="C133" s="92">
        <v>130</v>
      </c>
      <c r="D133" s="93">
        <v>252610251</v>
      </c>
      <c r="E133" s="94" t="s">
        <v>1602</v>
      </c>
      <c r="F133" s="95" t="s">
        <v>1603</v>
      </c>
      <c r="G133" s="96" t="s">
        <v>1603</v>
      </c>
      <c r="H133" s="97"/>
      <c r="I133" s="96" t="s">
        <v>1602</v>
      </c>
      <c r="J133" s="96" t="s">
        <v>1602</v>
      </c>
      <c r="K133" s="97"/>
      <c r="L133" s="97"/>
      <c r="M133" s="98"/>
      <c r="N133" s="97"/>
      <c r="O133" s="97"/>
      <c r="P133" s="99"/>
      <c r="Q133" s="96"/>
      <c r="R133" s="96"/>
      <c r="S133" s="96"/>
      <c r="T133" s="88">
        <f t="shared" si="2"/>
        <v>0</v>
      </c>
      <c r="U133" s="97"/>
      <c r="V133" s="100"/>
      <c r="W133" s="101"/>
      <c r="X133" s="101"/>
      <c r="Y133" s="101"/>
      <c r="Z133" s="101"/>
      <c r="AA133" s="101"/>
      <c r="AB133" s="101"/>
      <c r="AC133" s="101"/>
      <c r="AD133" s="97"/>
      <c r="AE133" s="100"/>
      <c r="AF133" s="100"/>
      <c r="AG133" s="97"/>
      <c r="AH133" s="97"/>
      <c r="AI133" s="97"/>
      <c r="AJ133" s="97"/>
      <c r="AK133" s="97"/>
      <c r="AL133" s="97"/>
      <c r="AM133" s="97"/>
      <c r="AN133" s="97"/>
      <c r="AO133" s="97"/>
      <c r="AP133" s="100"/>
      <c r="AQ133" s="100"/>
      <c r="AR133" s="97"/>
    </row>
    <row r="134" s="66" customFormat="1" spans="2:44">
      <c r="B134" s="91" t="s">
        <v>4355</v>
      </c>
      <c r="C134" s="92">
        <v>131</v>
      </c>
      <c r="D134" s="93">
        <v>252610157</v>
      </c>
      <c r="E134" s="94" t="s">
        <v>1221</v>
      </c>
      <c r="F134" s="95" t="s">
        <v>1222</v>
      </c>
      <c r="G134" s="96" t="s">
        <v>1222</v>
      </c>
      <c r="H134" s="97"/>
      <c r="I134" s="96" t="s">
        <v>1221</v>
      </c>
      <c r="J134" s="96" t="s">
        <v>1221</v>
      </c>
      <c r="K134" s="97"/>
      <c r="L134" s="97"/>
      <c r="M134" s="98"/>
      <c r="N134" s="97"/>
      <c r="O134" s="97"/>
      <c r="P134" s="88"/>
      <c r="Q134" s="96"/>
      <c r="R134" s="96"/>
      <c r="S134" s="96"/>
      <c r="T134" s="88">
        <f t="shared" si="2"/>
        <v>0</v>
      </c>
      <c r="U134" s="97"/>
      <c r="V134" s="100"/>
      <c r="W134" s="101"/>
      <c r="X134" s="101"/>
      <c r="Y134" s="101"/>
      <c r="Z134" s="101"/>
      <c r="AA134" s="101"/>
      <c r="AB134" s="101"/>
      <c r="AC134" s="101"/>
      <c r="AD134" s="97"/>
      <c r="AE134" s="100"/>
      <c r="AF134" s="100"/>
      <c r="AG134" s="97"/>
      <c r="AH134" s="97"/>
      <c r="AI134" s="97"/>
      <c r="AJ134" s="97"/>
      <c r="AK134" s="97"/>
      <c r="AL134" s="97"/>
      <c r="AM134" s="97"/>
      <c r="AN134" s="97"/>
      <c r="AO134" s="97"/>
      <c r="AP134" s="100"/>
      <c r="AQ134" s="100"/>
      <c r="AR134" s="97"/>
    </row>
    <row r="135" spans="2:44">
      <c r="B135" s="69" t="s">
        <v>4568</v>
      </c>
      <c r="C135" s="81">
        <v>132</v>
      </c>
      <c r="D135" s="82">
        <v>252610202</v>
      </c>
      <c r="E135" s="83" t="s">
        <v>1309</v>
      </c>
      <c r="F135" s="84" t="s">
        <v>1310</v>
      </c>
      <c r="G135" s="85" t="s">
        <v>1310</v>
      </c>
      <c r="H135" s="85" t="s">
        <v>5066</v>
      </c>
      <c r="I135" s="85" t="s">
        <v>1309</v>
      </c>
      <c r="J135" s="86" t="s">
        <v>1309</v>
      </c>
      <c r="K135" s="85" t="s">
        <v>90</v>
      </c>
      <c r="L135" s="85" t="s">
        <v>4327</v>
      </c>
      <c r="M135" s="87">
        <v>40077</v>
      </c>
      <c r="N135" s="85" t="s">
        <v>4307</v>
      </c>
      <c r="O135" s="85" t="s">
        <v>4489</v>
      </c>
      <c r="P135" s="99">
        <v>1</v>
      </c>
      <c r="Q135" s="99">
        <v>1</v>
      </c>
      <c r="R135" s="99">
        <v>0</v>
      </c>
      <c r="S135" s="99">
        <v>0</v>
      </c>
      <c r="T135" s="88">
        <f t="shared" si="2"/>
        <v>1</v>
      </c>
      <c r="U135" s="85" t="s">
        <v>4489</v>
      </c>
      <c r="V135" s="88">
        <v>0</v>
      </c>
      <c r="W135" s="109" t="s">
        <v>5067</v>
      </c>
      <c r="X135" s="109" t="s">
        <v>4714</v>
      </c>
      <c r="Y135" s="109" t="s">
        <v>4431</v>
      </c>
      <c r="Z135" s="109" t="s">
        <v>5068</v>
      </c>
      <c r="AA135" s="109" t="s">
        <v>4560</v>
      </c>
      <c r="AB135" s="109" t="s">
        <v>4395</v>
      </c>
      <c r="AC135" s="109">
        <v>40212</v>
      </c>
      <c r="AD135" s="85" t="s">
        <v>5069</v>
      </c>
      <c r="AE135" s="88" t="s">
        <v>4422</v>
      </c>
      <c r="AF135" s="88" t="s">
        <v>4482</v>
      </c>
      <c r="AG135" s="85" t="s">
        <v>5070</v>
      </c>
      <c r="AH135" s="85" t="s">
        <v>5071</v>
      </c>
      <c r="AI135" s="85" t="s">
        <v>4318</v>
      </c>
      <c r="AJ135" s="85" t="s">
        <v>4318</v>
      </c>
      <c r="AK135" s="85" t="s">
        <v>4337</v>
      </c>
      <c r="AL135" s="85" t="s">
        <v>4406</v>
      </c>
      <c r="AM135" s="85" t="s">
        <v>4372</v>
      </c>
      <c r="AN135" s="85" t="s">
        <v>4566</v>
      </c>
      <c r="AO135" s="90"/>
      <c r="AP135" s="88">
        <v>160</v>
      </c>
      <c r="AQ135" s="88">
        <v>52</v>
      </c>
      <c r="AR135" s="85" t="s">
        <v>4340</v>
      </c>
    </row>
    <row r="136" spans="2:44">
      <c r="B136" s="69" t="s">
        <v>4568</v>
      </c>
      <c r="C136" s="81">
        <v>133</v>
      </c>
      <c r="D136" s="82">
        <v>252610203</v>
      </c>
      <c r="E136" s="83" t="s">
        <v>1311</v>
      </c>
      <c r="F136" s="84" t="s">
        <v>1312</v>
      </c>
      <c r="G136" s="104" t="s">
        <v>1312</v>
      </c>
      <c r="H136" s="104" t="s">
        <v>5072</v>
      </c>
      <c r="I136" s="104" t="s">
        <v>1311</v>
      </c>
      <c r="J136" s="86" t="s">
        <v>1311</v>
      </c>
      <c r="K136" s="104" t="s">
        <v>90</v>
      </c>
      <c r="L136" s="104" t="s">
        <v>4357</v>
      </c>
      <c r="M136" s="105">
        <v>40103</v>
      </c>
      <c r="N136" s="104" t="s">
        <v>4307</v>
      </c>
      <c r="O136" s="104" t="s">
        <v>4344</v>
      </c>
      <c r="P136" s="88">
        <v>2</v>
      </c>
      <c r="Q136" s="88">
        <v>1</v>
      </c>
      <c r="R136" s="88">
        <v>4</v>
      </c>
      <c r="S136" s="88">
        <v>0</v>
      </c>
      <c r="T136" s="88">
        <f t="shared" si="2"/>
        <v>5</v>
      </c>
      <c r="U136" s="104" t="s">
        <v>5073</v>
      </c>
      <c r="V136" s="99" t="s">
        <v>4330</v>
      </c>
      <c r="W136" s="108" t="s">
        <v>5074</v>
      </c>
      <c r="X136" s="108" t="s">
        <v>4391</v>
      </c>
      <c r="Y136" s="108" t="s">
        <v>4632</v>
      </c>
      <c r="Z136" s="108" t="s">
        <v>5075</v>
      </c>
      <c r="AA136" s="108" t="s">
        <v>4835</v>
      </c>
      <c r="AB136" s="108" t="s">
        <v>4395</v>
      </c>
      <c r="AC136" s="108">
        <v>40211</v>
      </c>
      <c r="AD136" s="104" t="s">
        <v>5076</v>
      </c>
      <c r="AE136" s="99" t="s">
        <v>4333</v>
      </c>
      <c r="AF136" s="99" t="s">
        <v>5035</v>
      </c>
      <c r="AG136" s="104" t="s">
        <v>5077</v>
      </c>
      <c r="AH136" s="104" t="s">
        <v>5078</v>
      </c>
      <c r="AI136" s="104" t="s">
        <v>4515</v>
      </c>
      <c r="AJ136" s="104" t="s">
        <v>4515</v>
      </c>
      <c r="AK136" s="104" t="s">
        <v>4338</v>
      </c>
      <c r="AL136" s="104" t="s">
        <v>5079</v>
      </c>
      <c r="AM136" s="104" t="s">
        <v>4372</v>
      </c>
      <c r="AN136" s="104" t="s">
        <v>4385</v>
      </c>
      <c r="AO136" s="104" t="s">
        <v>5080</v>
      </c>
      <c r="AP136" s="99">
        <v>152</v>
      </c>
      <c r="AQ136" s="99">
        <v>43</v>
      </c>
      <c r="AR136" s="104" t="s">
        <v>4428</v>
      </c>
    </row>
    <row r="137" spans="2:44">
      <c r="B137" s="65" t="s">
        <v>4323</v>
      </c>
      <c r="C137" s="81">
        <v>134</v>
      </c>
      <c r="D137" s="82">
        <v>252610252</v>
      </c>
      <c r="E137" s="83" t="s">
        <v>1223</v>
      </c>
      <c r="F137" s="84" t="s">
        <v>1224</v>
      </c>
      <c r="G137" s="86" t="s">
        <v>1224</v>
      </c>
      <c r="H137" s="86" t="s">
        <v>5072</v>
      </c>
      <c r="I137" s="86" t="s">
        <v>1223</v>
      </c>
      <c r="J137" s="86" t="s">
        <v>1223</v>
      </c>
      <c r="K137" s="86" t="s">
        <v>90</v>
      </c>
      <c r="L137" s="86" t="s">
        <v>4357</v>
      </c>
      <c r="M137" s="122">
        <v>40354</v>
      </c>
      <c r="N137" s="86" t="s">
        <v>4307</v>
      </c>
      <c r="O137" s="86" t="s">
        <v>4344</v>
      </c>
      <c r="P137" s="123">
        <v>2</v>
      </c>
      <c r="Q137" s="123">
        <v>2</v>
      </c>
      <c r="R137" s="123">
        <v>0</v>
      </c>
      <c r="S137" s="123">
        <v>0</v>
      </c>
      <c r="T137" s="123">
        <f t="shared" si="2"/>
        <v>2</v>
      </c>
      <c r="U137" s="86" t="s">
        <v>4344</v>
      </c>
      <c r="V137" s="123">
        <v>0</v>
      </c>
      <c r="W137" s="124" t="s">
        <v>5081</v>
      </c>
      <c r="X137" s="124" t="s">
        <v>5004</v>
      </c>
      <c r="Y137" s="124" t="s">
        <v>4492</v>
      </c>
      <c r="Z137" s="124" t="s">
        <v>5082</v>
      </c>
      <c r="AA137" s="124" t="s">
        <v>5083</v>
      </c>
      <c r="AB137" s="124" t="s">
        <v>5084</v>
      </c>
      <c r="AC137" s="124">
        <v>40514</v>
      </c>
      <c r="AD137" s="86" t="s">
        <v>5085</v>
      </c>
      <c r="AE137" s="123" t="s">
        <v>4366</v>
      </c>
      <c r="AF137" s="123" t="s">
        <v>4502</v>
      </c>
      <c r="AG137" s="86" t="s">
        <v>5086</v>
      </c>
      <c r="AH137" s="86" t="s">
        <v>5087</v>
      </c>
      <c r="AI137" s="86" t="s">
        <v>4318</v>
      </c>
      <c r="AJ137" s="86" t="s">
        <v>4318</v>
      </c>
      <c r="AK137" s="86" t="s">
        <v>4320</v>
      </c>
      <c r="AL137" s="86" t="s">
        <v>4406</v>
      </c>
      <c r="AM137" s="86" t="s">
        <v>4320</v>
      </c>
      <c r="AN137" s="86" t="s">
        <v>5088</v>
      </c>
      <c r="AO137" s="86" t="s">
        <v>4406</v>
      </c>
      <c r="AP137" s="123">
        <v>160</v>
      </c>
      <c r="AQ137" s="123">
        <v>50</v>
      </c>
      <c r="AR137" s="86" t="s">
        <v>4428</v>
      </c>
    </row>
    <row r="138" s="66" customFormat="1" spans="2:44">
      <c r="B138" s="91" t="s">
        <v>4341</v>
      </c>
      <c r="C138" s="92">
        <v>135</v>
      </c>
      <c r="D138" s="93">
        <v>252610300</v>
      </c>
      <c r="E138" s="94" t="s">
        <v>1700</v>
      </c>
      <c r="F138" s="95" t="s">
        <v>1701</v>
      </c>
      <c r="G138" s="96" t="s">
        <v>4096</v>
      </c>
      <c r="H138" s="97"/>
      <c r="I138" s="96" t="s">
        <v>1700</v>
      </c>
      <c r="J138" s="96" t="s">
        <v>1700</v>
      </c>
      <c r="K138" s="97"/>
      <c r="L138" s="97"/>
      <c r="M138" s="98"/>
      <c r="N138" s="97"/>
      <c r="O138" s="97"/>
      <c r="P138" s="88"/>
      <c r="Q138" s="96"/>
      <c r="R138" s="96"/>
      <c r="S138" s="96"/>
      <c r="T138" s="88">
        <f t="shared" si="2"/>
        <v>0</v>
      </c>
      <c r="U138" s="97"/>
      <c r="V138" s="100"/>
      <c r="W138" s="101"/>
      <c r="X138" s="101"/>
      <c r="Y138" s="101"/>
      <c r="Z138" s="101"/>
      <c r="AA138" s="101"/>
      <c r="AB138" s="101"/>
      <c r="AC138" s="101"/>
      <c r="AD138" s="97"/>
      <c r="AE138" s="100"/>
      <c r="AF138" s="100"/>
      <c r="AG138" s="97"/>
      <c r="AH138" s="97"/>
      <c r="AI138" s="97"/>
      <c r="AJ138" s="97"/>
      <c r="AK138" s="97"/>
      <c r="AL138" s="97"/>
      <c r="AM138" s="97"/>
      <c r="AN138" s="97"/>
      <c r="AO138" s="97"/>
      <c r="AP138" s="100"/>
      <c r="AQ138" s="100"/>
      <c r="AR138" s="97"/>
    </row>
    <row r="139" s="66" customFormat="1" spans="2:44">
      <c r="B139" s="91" t="s">
        <v>4386</v>
      </c>
      <c r="C139" s="92">
        <v>136</v>
      </c>
      <c r="D139" s="93">
        <v>252610347</v>
      </c>
      <c r="E139" s="94" t="s">
        <v>1029</v>
      </c>
      <c r="F139" s="95" t="s">
        <v>1030</v>
      </c>
      <c r="G139" s="96" t="s">
        <v>1030</v>
      </c>
      <c r="H139" s="97"/>
      <c r="I139" s="96" t="s">
        <v>1029</v>
      </c>
      <c r="J139" s="96" t="s">
        <v>1029</v>
      </c>
      <c r="K139" s="97"/>
      <c r="L139" s="97"/>
      <c r="M139" s="98"/>
      <c r="N139" s="97"/>
      <c r="O139" s="97"/>
      <c r="P139" s="99"/>
      <c r="Q139" s="96"/>
      <c r="R139" s="96"/>
      <c r="S139" s="96"/>
      <c r="T139" s="88">
        <f t="shared" si="2"/>
        <v>0</v>
      </c>
      <c r="U139" s="97"/>
      <c r="V139" s="100"/>
      <c r="W139" s="101"/>
      <c r="X139" s="101"/>
      <c r="Y139" s="101"/>
      <c r="Z139" s="101"/>
      <c r="AA139" s="101"/>
      <c r="AB139" s="101"/>
      <c r="AC139" s="101"/>
      <c r="AD139" s="97"/>
      <c r="AE139" s="100"/>
      <c r="AF139" s="100"/>
      <c r="AG139" s="97"/>
      <c r="AH139" s="97"/>
      <c r="AI139" s="97"/>
      <c r="AJ139" s="97"/>
      <c r="AK139" s="97"/>
      <c r="AL139" s="97"/>
      <c r="AM139" s="97"/>
      <c r="AN139" s="97"/>
      <c r="AO139" s="97"/>
      <c r="AP139" s="100"/>
      <c r="AQ139" s="100"/>
      <c r="AR139" s="97"/>
    </row>
    <row r="140" s="66" customFormat="1" spans="2:44">
      <c r="B140" s="91" t="s">
        <v>4674</v>
      </c>
      <c r="C140" s="92">
        <v>137</v>
      </c>
      <c r="D140" s="93">
        <v>252610393</v>
      </c>
      <c r="E140" s="94" t="s">
        <v>1313</v>
      </c>
      <c r="F140" s="95" t="s">
        <v>1314</v>
      </c>
      <c r="G140" s="96" t="s">
        <v>4097</v>
      </c>
      <c r="H140" s="97"/>
      <c r="I140" s="96" t="s">
        <v>1313</v>
      </c>
      <c r="J140" s="96" t="s">
        <v>1313</v>
      </c>
      <c r="K140" s="97"/>
      <c r="L140" s="97"/>
      <c r="M140" s="98"/>
      <c r="N140" s="97"/>
      <c r="O140" s="97"/>
      <c r="P140" s="88"/>
      <c r="Q140" s="96"/>
      <c r="R140" s="96"/>
      <c r="S140" s="96"/>
      <c r="T140" s="88">
        <f t="shared" si="2"/>
        <v>0</v>
      </c>
      <c r="U140" s="97"/>
      <c r="V140" s="100"/>
      <c r="W140" s="101"/>
      <c r="X140" s="101"/>
      <c r="Y140" s="101"/>
      <c r="Z140" s="101"/>
      <c r="AA140" s="101"/>
      <c r="AB140" s="101"/>
      <c r="AC140" s="101"/>
      <c r="AD140" s="97"/>
      <c r="AE140" s="100"/>
      <c r="AF140" s="100"/>
      <c r="AG140" s="97"/>
      <c r="AH140" s="97"/>
      <c r="AI140" s="97"/>
      <c r="AJ140" s="97"/>
      <c r="AK140" s="97"/>
      <c r="AL140" s="97"/>
      <c r="AM140" s="97"/>
      <c r="AN140" s="97"/>
      <c r="AO140" s="97"/>
      <c r="AP140" s="100"/>
      <c r="AQ140" s="100"/>
      <c r="AR140" s="97"/>
    </row>
    <row r="141" spans="2:44">
      <c r="B141" s="69" t="s">
        <v>4674</v>
      </c>
      <c r="C141" s="81">
        <v>138</v>
      </c>
      <c r="D141" s="82">
        <v>252610394</v>
      </c>
      <c r="E141" s="83" t="s">
        <v>1604</v>
      </c>
      <c r="F141" s="84" t="s">
        <v>1605</v>
      </c>
      <c r="G141" s="85" t="s">
        <v>1605</v>
      </c>
      <c r="H141" s="85" t="s">
        <v>5089</v>
      </c>
      <c r="I141" s="85" t="s">
        <v>1604</v>
      </c>
      <c r="J141" s="86" t="s">
        <v>1604</v>
      </c>
      <c r="K141" s="85" t="s">
        <v>90</v>
      </c>
      <c r="L141" s="85" t="s">
        <v>4357</v>
      </c>
      <c r="M141" s="87">
        <v>40047</v>
      </c>
      <c r="N141" s="85" t="s">
        <v>4541</v>
      </c>
      <c r="O141" s="85" t="s">
        <v>4308</v>
      </c>
      <c r="P141" s="99">
        <v>2</v>
      </c>
      <c r="Q141" s="99">
        <v>1</v>
      </c>
      <c r="R141" s="99">
        <v>0</v>
      </c>
      <c r="S141" s="99">
        <v>0</v>
      </c>
      <c r="T141" s="88">
        <f t="shared" si="2"/>
        <v>1</v>
      </c>
      <c r="U141" s="85" t="s">
        <v>5090</v>
      </c>
      <c r="V141" s="88">
        <v>0</v>
      </c>
      <c r="W141" s="109" t="s">
        <v>5091</v>
      </c>
      <c r="X141" s="109" t="s">
        <v>4391</v>
      </c>
      <c r="Y141" s="109" t="s">
        <v>4392</v>
      </c>
      <c r="Z141" s="109" t="s">
        <v>5092</v>
      </c>
      <c r="AA141" s="109" t="s">
        <v>4494</v>
      </c>
      <c r="AB141" s="109" t="s">
        <v>4451</v>
      </c>
      <c r="AC141" s="109">
        <v>40534</v>
      </c>
      <c r="AD141" s="85" t="s">
        <v>5093</v>
      </c>
      <c r="AE141" s="88" t="s">
        <v>4366</v>
      </c>
      <c r="AF141" s="88" t="s">
        <v>4367</v>
      </c>
      <c r="AG141" s="85" t="s">
        <v>5094</v>
      </c>
      <c r="AH141" s="85" t="s">
        <v>5095</v>
      </c>
      <c r="AI141" s="85" t="s">
        <v>5096</v>
      </c>
      <c r="AJ141" s="85" t="s">
        <v>4318</v>
      </c>
      <c r="AK141" s="85" t="s">
        <v>4320</v>
      </c>
      <c r="AL141" s="90"/>
      <c r="AM141" s="85" t="s">
        <v>4372</v>
      </c>
      <c r="AN141" s="85" t="s">
        <v>4592</v>
      </c>
      <c r="AO141" s="85" t="s">
        <v>4555</v>
      </c>
      <c r="AP141" s="88">
        <v>154</v>
      </c>
      <c r="AQ141" s="88">
        <v>40</v>
      </c>
      <c r="AR141" s="85" t="s">
        <v>4322</v>
      </c>
    </row>
    <row r="142" spans="2:44">
      <c r="B142" s="69" t="s">
        <v>4568</v>
      </c>
      <c r="C142" s="81">
        <v>139</v>
      </c>
      <c r="D142" s="82">
        <v>252610204</v>
      </c>
      <c r="E142" s="83" t="s">
        <v>1792</v>
      </c>
      <c r="F142" s="84" t="s">
        <v>1793</v>
      </c>
      <c r="G142" s="104" t="s">
        <v>4098</v>
      </c>
      <c r="H142" s="104" t="s">
        <v>5097</v>
      </c>
      <c r="I142" s="104" t="s">
        <v>1792</v>
      </c>
      <c r="J142" s="86" t="s">
        <v>1792</v>
      </c>
      <c r="K142" s="104" t="s">
        <v>89</v>
      </c>
      <c r="L142" s="104" t="s">
        <v>4343</v>
      </c>
      <c r="M142" s="105">
        <v>40006</v>
      </c>
      <c r="N142" s="104" t="s">
        <v>4460</v>
      </c>
      <c r="O142" s="104" t="s">
        <v>5098</v>
      </c>
      <c r="P142" s="88">
        <v>1</v>
      </c>
      <c r="Q142" s="88">
        <v>2</v>
      </c>
      <c r="R142" s="88">
        <v>0</v>
      </c>
      <c r="S142" s="88">
        <v>0</v>
      </c>
      <c r="T142" s="88">
        <f t="shared" si="2"/>
        <v>2</v>
      </c>
      <c r="U142" s="104" t="s">
        <v>4344</v>
      </c>
      <c r="V142" s="99" t="s">
        <v>4330</v>
      </c>
      <c r="W142" s="108" t="s">
        <v>5099</v>
      </c>
      <c r="X142" s="108" t="s">
        <v>4477</v>
      </c>
      <c r="Y142" s="108">
        <v>26</v>
      </c>
      <c r="Z142" s="114"/>
      <c r="AA142" s="108" t="s">
        <v>4494</v>
      </c>
      <c r="AB142" s="108" t="s">
        <v>4364</v>
      </c>
      <c r="AC142" s="108">
        <v>40534</v>
      </c>
      <c r="AD142" s="104" t="s">
        <v>5100</v>
      </c>
      <c r="AE142" s="99" t="s">
        <v>5101</v>
      </c>
      <c r="AF142" s="99" t="s">
        <v>5102</v>
      </c>
      <c r="AG142" s="104" t="s">
        <v>5103</v>
      </c>
      <c r="AH142" s="104" t="s">
        <v>5104</v>
      </c>
      <c r="AI142" s="104" t="s">
        <v>4626</v>
      </c>
      <c r="AJ142" s="104" t="s">
        <v>4406</v>
      </c>
      <c r="AK142" s="104" t="s">
        <v>4320</v>
      </c>
      <c r="AL142" s="106"/>
      <c r="AM142" s="104" t="s">
        <v>4402</v>
      </c>
      <c r="AN142" s="104" t="s">
        <v>5105</v>
      </c>
      <c r="AO142" s="104" t="s">
        <v>5106</v>
      </c>
      <c r="AP142" s="99">
        <v>175</v>
      </c>
      <c r="AQ142" s="99">
        <v>57</v>
      </c>
      <c r="AR142" s="104" t="s">
        <v>4415</v>
      </c>
    </row>
    <row r="143" s="66" customFormat="1" spans="2:44">
      <c r="B143" s="91" t="s">
        <v>4323</v>
      </c>
      <c r="C143" s="92">
        <v>140</v>
      </c>
      <c r="D143" s="93">
        <v>252610253</v>
      </c>
      <c r="E143" s="94" t="s">
        <v>1991</v>
      </c>
      <c r="F143" s="95" t="s">
        <v>1992</v>
      </c>
      <c r="G143" s="96" t="s">
        <v>1992</v>
      </c>
      <c r="H143" s="97"/>
      <c r="I143" s="96" t="s">
        <v>1991</v>
      </c>
      <c r="J143" s="96" t="s">
        <v>1991</v>
      </c>
      <c r="K143" s="97"/>
      <c r="L143" s="97"/>
      <c r="M143" s="98"/>
      <c r="N143" s="97"/>
      <c r="O143" s="97"/>
      <c r="P143" s="99"/>
      <c r="Q143" s="96"/>
      <c r="R143" s="96"/>
      <c r="S143" s="96"/>
      <c r="T143" s="88">
        <f t="shared" si="2"/>
        <v>0</v>
      </c>
      <c r="U143" s="97"/>
      <c r="V143" s="100"/>
      <c r="W143" s="101"/>
      <c r="X143" s="101"/>
      <c r="Y143" s="101"/>
      <c r="Z143" s="101"/>
      <c r="AA143" s="101"/>
      <c r="AB143" s="101"/>
      <c r="AC143" s="101"/>
      <c r="AD143" s="97"/>
      <c r="AE143" s="100"/>
      <c r="AF143" s="100"/>
      <c r="AG143" s="97"/>
      <c r="AH143" s="97"/>
      <c r="AI143" s="97"/>
      <c r="AJ143" s="97"/>
      <c r="AK143" s="97"/>
      <c r="AL143" s="97"/>
      <c r="AM143" s="97"/>
      <c r="AN143" s="97"/>
      <c r="AO143" s="97"/>
      <c r="AP143" s="100"/>
      <c r="AQ143" s="100"/>
      <c r="AR143" s="97"/>
    </row>
    <row r="144" spans="2:44">
      <c r="B144" s="69" t="s">
        <v>4568</v>
      </c>
      <c r="C144" s="81">
        <v>141</v>
      </c>
      <c r="D144" s="82">
        <v>252610205</v>
      </c>
      <c r="E144" s="83" t="s">
        <v>1510</v>
      </c>
      <c r="F144" s="84" t="s">
        <v>1511</v>
      </c>
      <c r="G144" s="104" t="s">
        <v>1511</v>
      </c>
      <c r="H144" s="104" t="s">
        <v>5107</v>
      </c>
      <c r="I144" s="104" t="s">
        <v>1510</v>
      </c>
      <c r="J144" s="86" t="s">
        <v>1510</v>
      </c>
      <c r="K144" s="104" t="s">
        <v>89</v>
      </c>
      <c r="L144" s="104" t="s">
        <v>5108</v>
      </c>
      <c r="M144" s="105">
        <v>39933</v>
      </c>
      <c r="N144" s="104" t="s">
        <v>5109</v>
      </c>
      <c r="O144" s="104" t="s">
        <v>4489</v>
      </c>
      <c r="P144" s="88">
        <v>2</v>
      </c>
      <c r="Q144" s="88">
        <v>2</v>
      </c>
      <c r="R144" s="88">
        <v>0</v>
      </c>
      <c r="S144" s="88">
        <v>0</v>
      </c>
      <c r="T144" s="88">
        <f t="shared" si="2"/>
        <v>2</v>
      </c>
      <c r="U144" s="104" t="s">
        <v>4791</v>
      </c>
      <c r="V144" s="99">
        <v>0</v>
      </c>
      <c r="W144" s="108" t="s">
        <v>5110</v>
      </c>
      <c r="X144" s="108" t="s">
        <v>4606</v>
      </c>
      <c r="Y144" s="108" t="s">
        <v>4915</v>
      </c>
      <c r="Z144" s="108" t="s">
        <v>4420</v>
      </c>
      <c r="AA144" s="108" t="s">
        <v>4420</v>
      </c>
      <c r="AB144" s="108" t="s">
        <v>4420</v>
      </c>
      <c r="AC144" s="108">
        <v>40215</v>
      </c>
      <c r="AD144" s="104" t="s">
        <v>5111</v>
      </c>
      <c r="AE144" s="99" t="s">
        <v>5112</v>
      </c>
      <c r="AF144" s="99" t="s">
        <v>5113</v>
      </c>
      <c r="AG144" s="104" t="s">
        <v>5114</v>
      </c>
      <c r="AH144" s="104" t="s">
        <v>5115</v>
      </c>
      <c r="AI144" s="104" t="s">
        <v>4370</v>
      </c>
      <c r="AJ144" s="104" t="s">
        <v>4638</v>
      </c>
      <c r="AK144" s="104" t="s">
        <v>4320</v>
      </c>
      <c r="AL144" s="104">
        <v>0</v>
      </c>
      <c r="AM144" s="104" t="s">
        <v>4553</v>
      </c>
      <c r="AN144" s="104" t="s">
        <v>4427</v>
      </c>
      <c r="AO144" s="106"/>
      <c r="AP144" s="99">
        <v>163</v>
      </c>
      <c r="AQ144" s="99">
        <v>60</v>
      </c>
      <c r="AR144" s="104" t="s">
        <v>4322</v>
      </c>
    </row>
    <row r="145" s="66" customFormat="1" spans="2:44">
      <c r="B145" s="91" t="s">
        <v>4341</v>
      </c>
      <c r="C145" s="92">
        <v>142</v>
      </c>
      <c r="D145" s="93">
        <v>252610301</v>
      </c>
      <c r="E145" s="94" t="s">
        <v>1893</v>
      </c>
      <c r="F145" s="95" t="s">
        <v>1894</v>
      </c>
      <c r="G145" s="96" t="s">
        <v>1894</v>
      </c>
      <c r="H145" s="97"/>
      <c r="I145" s="96" t="s">
        <v>1893</v>
      </c>
      <c r="J145" s="96" t="s">
        <v>1893</v>
      </c>
      <c r="K145" s="97"/>
      <c r="L145" s="97"/>
      <c r="M145" s="98"/>
      <c r="N145" s="97"/>
      <c r="O145" s="97"/>
      <c r="P145" s="99"/>
      <c r="Q145" s="96"/>
      <c r="R145" s="96"/>
      <c r="S145" s="96"/>
      <c r="T145" s="88">
        <f t="shared" si="2"/>
        <v>0</v>
      </c>
      <c r="U145" s="97"/>
      <c r="V145" s="100"/>
      <c r="W145" s="101"/>
      <c r="X145" s="101"/>
      <c r="Y145" s="101"/>
      <c r="Z145" s="101"/>
      <c r="AA145" s="101"/>
      <c r="AB145" s="101"/>
      <c r="AC145" s="101"/>
      <c r="AD145" s="97"/>
      <c r="AE145" s="100"/>
      <c r="AF145" s="100"/>
      <c r="AG145" s="97"/>
      <c r="AH145" s="97"/>
      <c r="AI145" s="97"/>
      <c r="AJ145" s="97"/>
      <c r="AK145" s="97"/>
      <c r="AL145" s="97"/>
      <c r="AM145" s="97"/>
      <c r="AN145" s="97"/>
      <c r="AO145" s="97"/>
      <c r="AP145" s="100"/>
      <c r="AQ145" s="100"/>
      <c r="AR145" s="97"/>
    </row>
    <row r="146" spans="2:44">
      <c r="B146" s="69" t="s">
        <v>4304</v>
      </c>
      <c r="C146" s="81">
        <v>143</v>
      </c>
      <c r="D146" s="82">
        <v>252610442</v>
      </c>
      <c r="E146" s="83" t="s">
        <v>1993</v>
      </c>
      <c r="F146" s="84" t="s">
        <v>1994</v>
      </c>
      <c r="G146" s="104" t="s">
        <v>1994</v>
      </c>
      <c r="H146" s="104" t="s">
        <v>5116</v>
      </c>
      <c r="I146" s="104" t="s">
        <v>1993</v>
      </c>
      <c r="J146" s="86" t="s">
        <v>1993</v>
      </c>
      <c r="K146" s="104" t="s">
        <v>90</v>
      </c>
      <c r="L146" s="104" t="s">
        <v>5117</v>
      </c>
      <c r="M146" s="105">
        <v>39974</v>
      </c>
      <c r="N146" s="104" t="s">
        <v>4460</v>
      </c>
      <c r="O146" s="104" t="s">
        <v>4462</v>
      </c>
      <c r="P146" s="88">
        <v>2</v>
      </c>
      <c r="Q146" s="88">
        <v>1</v>
      </c>
      <c r="R146" s="88">
        <v>0</v>
      </c>
      <c r="S146" s="88">
        <v>0</v>
      </c>
      <c r="T146" s="88">
        <f t="shared" si="2"/>
        <v>1</v>
      </c>
      <c r="U146" s="104" t="s">
        <v>4791</v>
      </c>
      <c r="V146" s="99" t="s">
        <v>4330</v>
      </c>
      <c r="W146" s="108" t="s">
        <v>5118</v>
      </c>
      <c r="X146" s="108" t="s">
        <v>5004</v>
      </c>
      <c r="Y146" s="108" t="s">
        <v>4361</v>
      </c>
      <c r="Z146" s="108" t="s">
        <v>4406</v>
      </c>
      <c r="AA146" s="108" t="s">
        <v>5119</v>
      </c>
      <c r="AB146" s="108" t="s">
        <v>5120</v>
      </c>
      <c r="AC146" s="108">
        <v>40182</v>
      </c>
      <c r="AD146" s="104" t="s">
        <v>5121</v>
      </c>
      <c r="AE146" s="99" t="s">
        <v>4990</v>
      </c>
      <c r="AF146" s="99" t="s">
        <v>5122</v>
      </c>
      <c r="AG146" s="104" t="s">
        <v>5123</v>
      </c>
      <c r="AH146" s="104" t="s">
        <v>5124</v>
      </c>
      <c r="AI146" s="104" t="s">
        <v>5125</v>
      </c>
      <c r="AJ146" s="104" t="s">
        <v>4439</v>
      </c>
      <c r="AK146" s="104" t="s">
        <v>4337</v>
      </c>
      <c r="AL146" s="104" t="s">
        <v>4406</v>
      </c>
      <c r="AM146" s="104" t="s">
        <v>4338</v>
      </c>
      <c r="AN146" s="104" t="s">
        <v>5126</v>
      </c>
      <c r="AO146" s="106"/>
      <c r="AP146" s="99">
        <v>166</v>
      </c>
      <c r="AQ146" s="99">
        <v>50</v>
      </c>
      <c r="AR146" s="104" t="s">
        <v>4322</v>
      </c>
    </row>
    <row r="147" spans="2:44">
      <c r="B147" s="69" t="s">
        <v>4386</v>
      </c>
      <c r="C147" s="81">
        <v>144</v>
      </c>
      <c r="D147" s="82">
        <v>252610348</v>
      </c>
      <c r="E147" s="83" t="s">
        <v>1995</v>
      </c>
      <c r="F147" s="84" t="s">
        <v>1996</v>
      </c>
      <c r="G147" s="85" t="s">
        <v>1996</v>
      </c>
      <c r="H147" s="85" t="s">
        <v>5127</v>
      </c>
      <c r="I147" s="85" t="s">
        <v>1995</v>
      </c>
      <c r="J147" s="86" t="s">
        <v>1995</v>
      </c>
      <c r="K147" s="85" t="s">
        <v>90</v>
      </c>
      <c r="L147" s="85" t="s">
        <v>4343</v>
      </c>
      <c r="M147" s="87">
        <v>40094</v>
      </c>
      <c r="N147" s="85" t="s">
        <v>4460</v>
      </c>
      <c r="O147" s="85" t="s">
        <v>4462</v>
      </c>
      <c r="P147" s="99">
        <v>2</v>
      </c>
      <c r="Q147" s="99">
        <v>1</v>
      </c>
      <c r="R147" s="99">
        <v>0</v>
      </c>
      <c r="S147" s="99">
        <v>0</v>
      </c>
      <c r="T147" s="88">
        <f t="shared" si="2"/>
        <v>1</v>
      </c>
      <c r="U147" s="85" t="s">
        <v>5128</v>
      </c>
      <c r="V147" s="88" t="s">
        <v>4358</v>
      </c>
      <c r="W147" s="109" t="s">
        <v>5129</v>
      </c>
      <c r="X147" s="109" t="s">
        <v>4606</v>
      </c>
      <c r="Y147" s="109" t="s">
        <v>4703</v>
      </c>
      <c r="Z147" s="109" t="s">
        <v>5130</v>
      </c>
      <c r="AA147" s="109" t="s">
        <v>4795</v>
      </c>
      <c r="AB147" s="109" t="s">
        <v>4395</v>
      </c>
      <c r="AC147" s="109">
        <v>40215</v>
      </c>
      <c r="AD147" s="85" t="s">
        <v>5131</v>
      </c>
      <c r="AE147" s="88" t="s">
        <v>4938</v>
      </c>
      <c r="AF147" s="88" t="s">
        <v>4367</v>
      </c>
      <c r="AG147" s="85" t="s">
        <v>5132</v>
      </c>
      <c r="AH147" s="85" t="s">
        <v>5133</v>
      </c>
      <c r="AI147" s="85" t="s">
        <v>4352</v>
      </c>
      <c r="AJ147" s="85" t="s">
        <v>4473</v>
      </c>
      <c r="AK147" s="85" t="s">
        <v>4338</v>
      </c>
      <c r="AL147" s="85" t="s">
        <v>5134</v>
      </c>
      <c r="AM147" s="85" t="s">
        <v>4337</v>
      </c>
      <c r="AN147" s="85" t="s">
        <v>5135</v>
      </c>
      <c r="AO147" s="90"/>
      <c r="AP147" s="88">
        <v>165</v>
      </c>
      <c r="AQ147" s="88">
        <v>53</v>
      </c>
      <c r="AR147" s="85" t="s">
        <v>4428</v>
      </c>
    </row>
    <row r="148" s="66" customFormat="1" spans="2:44">
      <c r="B148" s="91" t="s">
        <v>4304</v>
      </c>
      <c r="C148" s="92">
        <v>145</v>
      </c>
      <c r="D148" s="93">
        <v>252610443</v>
      </c>
      <c r="E148" s="94" t="s">
        <v>1031</v>
      </c>
      <c r="F148" s="95" t="s">
        <v>1032</v>
      </c>
      <c r="G148" s="96" t="s">
        <v>1032</v>
      </c>
      <c r="H148" s="97"/>
      <c r="I148" s="96" t="s">
        <v>1031</v>
      </c>
      <c r="J148" s="96" t="s">
        <v>1031</v>
      </c>
      <c r="K148" s="97"/>
      <c r="L148" s="97"/>
      <c r="M148" s="98"/>
      <c r="N148" s="97"/>
      <c r="O148" s="97"/>
      <c r="P148" s="88"/>
      <c r="Q148" s="96"/>
      <c r="R148" s="96"/>
      <c r="S148" s="96"/>
      <c r="T148" s="88">
        <f t="shared" si="2"/>
        <v>0</v>
      </c>
      <c r="U148" s="97"/>
      <c r="V148" s="100"/>
      <c r="W148" s="101"/>
      <c r="X148" s="101"/>
      <c r="Y148" s="101"/>
      <c r="Z148" s="101"/>
      <c r="AA148" s="101"/>
      <c r="AB148" s="101"/>
      <c r="AC148" s="101"/>
      <c r="AD148" s="97"/>
      <c r="AE148" s="100"/>
      <c r="AF148" s="100"/>
      <c r="AG148" s="97"/>
      <c r="AH148" s="97"/>
      <c r="AI148" s="97"/>
      <c r="AJ148" s="97"/>
      <c r="AK148" s="97"/>
      <c r="AL148" s="97"/>
      <c r="AM148" s="97"/>
      <c r="AN148" s="97"/>
      <c r="AO148" s="97"/>
      <c r="AP148" s="100"/>
      <c r="AQ148" s="100"/>
      <c r="AR148" s="97"/>
    </row>
    <row r="149" spans="2:44">
      <c r="B149" s="69" t="s">
        <v>4323</v>
      </c>
      <c r="C149" s="81">
        <v>146</v>
      </c>
      <c r="D149" s="121">
        <v>252610254</v>
      </c>
      <c r="E149" s="116" t="s">
        <v>1997</v>
      </c>
      <c r="F149" s="84" t="s">
        <v>1998</v>
      </c>
      <c r="G149" s="85" t="s">
        <v>4099</v>
      </c>
      <c r="H149" s="85" t="s">
        <v>5136</v>
      </c>
      <c r="I149" s="85" t="s">
        <v>1997</v>
      </c>
      <c r="J149" s="86" t="s">
        <v>1997</v>
      </c>
      <c r="K149" s="85" t="s">
        <v>89</v>
      </c>
      <c r="L149" s="85" t="s">
        <v>5137</v>
      </c>
      <c r="M149" s="87">
        <v>40127</v>
      </c>
      <c r="N149" s="85" t="s">
        <v>4328</v>
      </c>
      <c r="O149" s="85" t="s">
        <v>4329</v>
      </c>
      <c r="P149" s="99">
        <v>1</v>
      </c>
      <c r="Q149" s="99">
        <v>2</v>
      </c>
      <c r="R149" s="99">
        <v>0</v>
      </c>
      <c r="S149" s="99">
        <v>0</v>
      </c>
      <c r="T149" s="88">
        <f t="shared" si="2"/>
        <v>2</v>
      </c>
      <c r="U149" s="85" t="s">
        <v>4490</v>
      </c>
      <c r="V149" s="88" t="s">
        <v>4358</v>
      </c>
      <c r="W149" s="109" t="s">
        <v>5138</v>
      </c>
      <c r="X149" s="109" t="s">
        <v>4477</v>
      </c>
      <c r="Y149" s="109">
        <v>11</v>
      </c>
      <c r="Z149" s="109" t="s">
        <v>5139</v>
      </c>
      <c r="AA149" s="109" t="s">
        <v>5140</v>
      </c>
      <c r="AB149" s="109" t="s">
        <v>5140</v>
      </c>
      <c r="AC149" s="109">
        <v>40216</v>
      </c>
      <c r="AD149" s="85" t="s">
        <v>5141</v>
      </c>
      <c r="AE149" s="88" t="s">
        <v>4422</v>
      </c>
      <c r="AF149" s="88" t="s">
        <v>5142</v>
      </c>
      <c r="AG149" s="85" t="s">
        <v>5143</v>
      </c>
      <c r="AH149" s="85" t="s">
        <v>5144</v>
      </c>
      <c r="AI149" s="85" t="s">
        <v>4672</v>
      </c>
      <c r="AJ149" s="85" t="s">
        <v>4626</v>
      </c>
      <c r="AK149" s="85" t="s">
        <v>4553</v>
      </c>
      <c r="AL149" s="85" t="s">
        <v>5145</v>
      </c>
      <c r="AM149" s="85" t="s">
        <v>4372</v>
      </c>
      <c r="AN149" s="85" t="s">
        <v>4384</v>
      </c>
      <c r="AO149" s="90"/>
      <c r="AP149" s="88">
        <v>172</v>
      </c>
      <c r="AQ149" s="88">
        <v>63</v>
      </c>
      <c r="AR149" s="85" t="s">
        <v>4322</v>
      </c>
    </row>
    <row r="150" s="66" customFormat="1" spans="2:44">
      <c r="B150" s="91" t="s">
        <v>4323</v>
      </c>
      <c r="C150" s="92">
        <v>147</v>
      </c>
      <c r="D150" s="93">
        <v>252610255</v>
      </c>
      <c r="E150" s="94" t="s">
        <v>1794</v>
      </c>
      <c r="F150" s="95" t="s">
        <v>1795</v>
      </c>
      <c r="G150" s="96" t="s">
        <v>1795</v>
      </c>
      <c r="H150" s="97"/>
      <c r="I150" s="96" t="s">
        <v>1794</v>
      </c>
      <c r="J150" s="96" t="s">
        <v>1794</v>
      </c>
      <c r="K150" s="97"/>
      <c r="L150" s="97"/>
      <c r="M150" s="98"/>
      <c r="N150" s="97"/>
      <c r="O150" s="97"/>
      <c r="P150" s="88"/>
      <c r="Q150" s="96"/>
      <c r="R150" s="96"/>
      <c r="S150" s="96"/>
      <c r="T150" s="88">
        <f t="shared" si="2"/>
        <v>0</v>
      </c>
      <c r="U150" s="97"/>
      <c r="V150" s="100"/>
      <c r="W150" s="101"/>
      <c r="X150" s="101"/>
      <c r="Y150" s="101"/>
      <c r="Z150" s="101"/>
      <c r="AA150" s="101"/>
      <c r="AB150" s="101"/>
      <c r="AC150" s="101"/>
      <c r="AD150" s="97"/>
      <c r="AE150" s="100"/>
      <c r="AF150" s="100"/>
      <c r="AG150" s="97"/>
      <c r="AH150" s="97"/>
      <c r="AI150" s="97"/>
      <c r="AJ150" s="97"/>
      <c r="AK150" s="97"/>
      <c r="AL150" s="97"/>
      <c r="AM150" s="97"/>
      <c r="AN150" s="97"/>
      <c r="AO150" s="97"/>
      <c r="AP150" s="100"/>
      <c r="AQ150" s="100"/>
      <c r="AR150" s="97"/>
    </row>
    <row r="151" spans="2:44">
      <c r="B151" s="69" t="s">
        <v>4373</v>
      </c>
      <c r="C151" s="81">
        <v>148</v>
      </c>
      <c r="D151" s="82">
        <v>252610490</v>
      </c>
      <c r="E151" s="83" t="s">
        <v>1796</v>
      </c>
      <c r="F151" s="84" t="s">
        <v>1797</v>
      </c>
      <c r="G151" s="85" t="s">
        <v>1797</v>
      </c>
      <c r="H151" s="85" t="s">
        <v>5146</v>
      </c>
      <c r="I151" s="85" t="s">
        <v>1796</v>
      </c>
      <c r="J151" s="86" t="s">
        <v>1796</v>
      </c>
      <c r="K151" s="85" t="s">
        <v>90</v>
      </c>
      <c r="L151" s="85" t="s">
        <v>4343</v>
      </c>
      <c r="M151" s="87">
        <v>40346</v>
      </c>
      <c r="N151" s="85" t="s">
        <v>4307</v>
      </c>
      <c r="O151" s="85" t="s">
        <v>4308</v>
      </c>
      <c r="P151" s="99">
        <v>1</v>
      </c>
      <c r="Q151" s="99">
        <v>1</v>
      </c>
      <c r="R151" s="99">
        <v>0</v>
      </c>
      <c r="S151" s="99">
        <v>0</v>
      </c>
      <c r="T151" s="88">
        <f t="shared" si="2"/>
        <v>1</v>
      </c>
      <c r="U151" s="85" t="s">
        <v>5147</v>
      </c>
      <c r="V151" s="88">
        <v>0</v>
      </c>
      <c r="W151" s="109" t="s">
        <v>5148</v>
      </c>
      <c r="X151" s="109" t="s">
        <v>4544</v>
      </c>
      <c r="Y151" s="109" t="s">
        <v>4392</v>
      </c>
      <c r="Z151" s="109" t="s">
        <v>4826</v>
      </c>
      <c r="AA151" s="109" t="s">
        <v>4826</v>
      </c>
      <c r="AB151" s="109" t="s">
        <v>4562</v>
      </c>
      <c r="AC151" s="109">
        <v>40214</v>
      </c>
      <c r="AD151" s="85" t="s">
        <v>5149</v>
      </c>
      <c r="AE151" s="88" t="s">
        <v>4422</v>
      </c>
      <c r="AF151" s="88" t="s">
        <v>4398</v>
      </c>
      <c r="AG151" s="85" t="s">
        <v>5150</v>
      </c>
      <c r="AH151" s="85" t="s">
        <v>5151</v>
      </c>
      <c r="AI151" s="85" t="s">
        <v>5152</v>
      </c>
      <c r="AJ151" s="85" t="s">
        <v>5152</v>
      </c>
      <c r="AK151" s="85" t="s">
        <v>4337</v>
      </c>
      <c r="AL151" s="90"/>
      <c r="AM151" s="85" t="s">
        <v>4372</v>
      </c>
      <c r="AN151" s="85" t="s">
        <v>4385</v>
      </c>
      <c r="AO151" s="90"/>
      <c r="AP151" s="88">
        <v>160</v>
      </c>
      <c r="AQ151" s="88">
        <v>35</v>
      </c>
      <c r="AR151" s="85" t="s">
        <v>4322</v>
      </c>
    </row>
    <row r="152" spans="2:44">
      <c r="B152" s="69" t="s">
        <v>4341</v>
      </c>
      <c r="C152" s="81">
        <v>149</v>
      </c>
      <c r="D152" s="82">
        <v>252610302</v>
      </c>
      <c r="E152" s="116" t="s">
        <v>1512</v>
      </c>
      <c r="F152" s="84" t="s">
        <v>1513</v>
      </c>
      <c r="G152" s="104" t="s">
        <v>1513</v>
      </c>
      <c r="H152" s="104" t="s">
        <v>5153</v>
      </c>
      <c r="I152" s="104" t="s">
        <v>1512</v>
      </c>
      <c r="J152" s="86" t="s">
        <v>1512</v>
      </c>
      <c r="K152" s="104" t="s">
        <v>89</v>
      </c>
      <c r="L152" s="104" t="s">
        <v>4327</v>
      </c>
      <c r="M152" s="105">
        <v>40214</v>
      </c>
      <c r="N152" s="104" t="s">
        <v>4307</v>
      </c>
      <c r="O152" s="104" t="s">
        <v>4308</v>
      </c>
      <c r="P152" s="88">
        <v>2</v>
      </c>
      <c r="Q152" s="88">
        <v>1</v>
      </c>
      <c r="R152" s="88">
        <v>0</v>
      </c>
      <c r="S152" s="88">
        <v>0</v>
      </c>
      <c r="T152" s="88">
        <f t="shared" si="2"/>
        <v>1</v>
      </c>
      <c r="U152" s="104" t="s">
        <v>4308</v>
      </c>
      <c r="V152" s="99">
        <v>0</v>
      </c>
      <c r="W152" s="108" t="s">
        <v>5154</v>
      </c>
      <c r="X152" s="108" t="s">
        <v>4391</v>
      </c>
      <c r="Y152" s="108" t="s">
        <v>4714</v>
      </c>
      <c r="Z152" s="108" t="s">
        <v>5155</v>
      </c>
      <c r="AA152" s="108" t="s">
        <v>5155</v>
      </c>
      <c r="AB152" s="108" t="s">
        <v>5156</v>
      </c>
      <c r="AC152" s="108">
        <v>40174</v>
      </c>
      <c r="AD152" s="104" t="s">
        <v>5157</v>
      </c>
      <c r="AE152" s="99" t="s">
        <v>5158</v>
      </c>
      <c r="AF152" s="99" t="s">
        <v>4611</v>
      </c>
      <c r="AG152" s="104" t="s">
        <v>5159</v>
      </c>
      <c r="AH152" s="104" t="s">
        <v>5160</v>
      </c>
      <c r="AI152" s="104" t="s">
        <v>4318</v>
      </c>
      <c r="AJ152" s="104" t="s">
        <v>4351</v>
      </c>
      <c r="AK152" s="104" t="s">
        <v>4441</v>
      </c>
      <c r="AL152" s="106"/>
      <c r="AM152" s="104" t="s">
        <v>4372</v>
      </c>
      <c r="AN152" s="104" t="s">
        <v>5161</v>
      </c>
      <c r="AO152" s="106"/>
      <c r="AP152" s="99">
        <v>172</v>
      </c>
      <c r="AQ152" s="99">
        <v>60</v>
      </c>
      <c r="AR152" s="104" t="s">
        <v>4322</v>
      </c>
    </row>
    <row r="153" spans="2:44">
      <c r="B153" s="69" t="s">
        <v>4386</v>
      </c>
      <c r="C153" s="81">
        <v>150</v>
      </c>
      <c r="D153" s="82">
        <v>252610349</v>
      </c>
      <c r="E153" s="83" t="s">
        <v>1514</v>
      </c>
      <c r="F153" s="84" t="s">
        <v>1515</v>
      </c>
      <c r="G153" s="85" t="s">
        <v>1515</v>
      </c>
      <c r="H153" s="85" t="s">
        <v>5162</v>
      </c>
      <c r="I153" s="85" t="s">
        <v>1514</v>
      </c>
      <c r="J153" s="86" t="s">
        <v>1514</v>
      </c>
      <c r="K153" s="85" t="s">
        <v>89</v>
      </c>
      <c r="L153" s="85" t="s">
        <v>4629</v>
      </c>
      <c r="M153" s="87">
        <v>40061</v>
      </c>
      <c r="N153" s="85" t="s">
        <v>4307</v>
      </c>
      <c r="O153" s="85" t="s">
        <v>4489</v>
      </c>
      <c r="P153" s="99">
        <v>1</v>
      </c>
      <c r="Q153" s="99">
        <v>1</v>
      </c>
      <c r="R153" s="99">
        <v>2</v>
      </c>
      <c r="S153" s="99">
        <v>0</v>
      </c>
      <c r="T153" s="88">
        <f t="shared" si="2"/>
        <v>3</v>
      </c>
      <c r="U153" s="85" t="s">
        <v>4805</v>
      </c>
      <c r="V153" s="88">
        <v>0</v>
      </c>
      <c r="W153" s="109" t="s">
        <v>5163</v>
      </c>
      <c r="X153" s="109" t="s">
        <v>4477</v>
      </c>
      <c r="Y153" s="109" t="s">
        <v>4360</v>
      </c>
      <c r="Z153" s="109" t="s">
        <v>4494</v>
      </c>
      <c r="AA153" s="109" t="s">
        <v>4494</v>
      </c>
      <c r="AB153" s="109" t="s">
        <v>4451</v>
      </c>
      <c r="AC153" s="109">
        <v>40534</v>
      </c>
      <c r="AD153" s="85" t="s">
        <v>5164</v>
      </c>
      <c r="AE153" s="88" t="s">
        <v>4815</v>
      </c>
      <c r="AF153" s="88" t="s">
        <v>5165</v>
      </c>
      <c r="AG153" s="85" t="s">
        <v>5166</v>
      </c>
      <c r="AH153" s="85" t="s">
        <v>5167</v>
      </c>
      <c r="AI153" s="85" t="s">
        <v>5168</v>
      </c>
      <c r="AJ153" s="85" t="s">
        <v>4384</v>
      </c>
      <c r="AK153" s="85" t="s">
        <v>4338</v>
      </c>
      <c r="AL153" s="85" t="s">
        <v>4337</v>
      </c>
      <c r="AM153" s="85" t="s">
        <v>4320</v>
      </c>
      <c r="AN153" s="85" t="s">
        <v>3124</v>
      </c>
      <c r="AO153" s="85" t="s">
        <v>4555</v>
      </c>
      <c r="AP153" s="88">
        <v>162</v>
      </c>
      <c r="AQ153" s="88">
        <v>32</v>
      </c>
      <c r="AR153" s="85" t="s">
        <v>4322</v>
      </c>
    </row>
    <row r="154" spans="2:44">
      <c r="B154" s="69" t="s">
        <v>4354</v>
      </c>
      <c r="C154" s="81">
        <v>151</v>
      </c>
      <c r="D154" s="82">
        <v>252610061</v>
      </c>
      <c r="E154" s="116" t="s">
        <v>1702</v>
      </c>
      <c r="F154" s="84" t="s">
        <v>1703</v>
      </c>
      <c r="G154" s="104" t="s">
        <v>1703</v>
      </c>
      <c r="H154" s="104" t="s">
        <v>5169</v>
      </c>
      <c r="I154" s="104" t="s">
        <v>1702</v>
      </c>
      <c r="J154" s="86" t="s">
        <v>1702</v>
      </c>
      <c r="K154" s="104" t="s">
        <v>89</v>
      </c>
      <c r="L154" s="104" t="s">
        <v>5170</v>
      </c>
      <c r="M154" s="105">
        <v>40454</v>
      </c>
      <c r="N154" s="104" t="s">
        <v>4460</v>
      </c>
      <c r="O154" s="104" t="s">
        <v>4329</v>
      </c>
      <c r="P154" s="88">
        <v>2</v>
      </c>
      <c r="Q154" s="88">
        <v>2</v>
      </c>
      <c r="R154" s="88">
        <v>1</v>
      </c>
      <c r="S154" s="88">
        <v>0</v>
      </c>
      <c r="T154" s="88">
        <f t="shared" si="2"/>
        <v>3</v>
      </c>
      <c r="U154" s="104" t="s">
        <v>5171</v>
      </c>
      <c r="V154" s="99" t="s">
        <v>4310</v>
      </c>
      <c r="W154" s="108" t="s">
        <v>5172</v>
      </c>
      <c r="X154" s="108" t="s">
        <v>4477</v>
      </c>
      <c r="Y154" s="108" t="s">
        <v>4419</v>
      </c>
      <c r="Z154" s="108" t="s">
        <v>5173</v>
      </c>
      <c r="AA154" s="108" t="s">
        <v>5174</v>
      </c>
      <c r="AB154" s="108" t="s">
        <v>4562</v>
      </c>
      <c r="AC154" s="108">
        <v>40215</v>
      </c>
      <c r="AD154" s="104" t="s">
        <v>5175</v>
      </c>
      <c r="AE154" s="99" t="s">
        <v>5176</v>
      </c>
      <c r="AF154" s="99" t="s">
        <v>5027</v>
      </c>
      <c r="AG154" s="104" t="s">
        <v>5177</v>
      </c>
      <c r="AH154" s="104" t="s">
        <v>5178</v>
      </c>
      <c r="AI154" s="104" t="s">
        <v>4699</v>
      </c>
      <c r="AJ154" s="104" t="s">
        <v>5179</v>
      </c>
      <c r="AK154" s="104" t="s">
        <v>4320</v>
      </c>
      <c r="AL154" s="104" t="s">
        <v>5180</v>
      </c>
      <c r="AM154" s="104" t="s">
        <v>4372</v>
      </c>
      <c r="AN154" s="104" t="s">
        <v>5135</v>
      </c>
      <c r="AO154" s="106"/>
      <c r="AP154" s="99">
        <v>171</v>
      </c>
      <c r="AQ154" s="99">
        <v>50</v>
      </c>
      <c r="AR154" s="104" t="s">
        <v>4322</v>
      </c>
    </row>
    <row r="155" spans="2:44">
      <c r="B155" s="69" t="s">
        <v>4674</v>
      </c>
      <c r="C155" s="81">
        <v>152</v>
      </c>
      <c r="D155" s="82">
        <v>252610395</v>
      </c>
      <c r="E155" s="83" t="s">
        <v>1606</v>
      </c>
      <c r="F155" s="84" t="s">
        <v>1607</v>
      </c>
      <c r="G155" s="85" t="s">
        <v>4100</v>
      </c>
      <c r="H155" s="85" t="s">
        <v>5181</v>
      </c>
      <c r="I155" s="85" t="s">
        <v>1606</v>
      </c>
      <c r="J155" s="86" t="s">
        <v>1606</v>
      </c>
      <c r="K155" s="85" t="s">
        <v>89</v>
      </c>
      <c r="L155" s="85" t="s">
        <v>5182</v>
      </c>
      <c r="M155" s="87">
        <v>40062</v>
      </c>
      <c r="N155" s="85" t="s">
        <v>4541</v>
      </c>
      <c r="O155" s="85" t="s">
        <v>4308</v>
      </c>
      <c r="P155" s="99">
        <v>1</v>
      </c>
      <c r="Q155" s="99">
        <v>2</v>
      </c>
      <c r="R155" s="99">
        <v>0</v>
      </c>
      <c r="S155" s="99">
        <v>0</v>
      </c>
      <c r="T155" s="88">
        <f t="shared" si="2"/>
        <v>2</v>
      </c>
      <c r="U155" s="85" t="s">
        <v>4309</v>
      </c>
      <c r="V155" s="88">
        <v>0</v>
      </c>
      <c r="W155" s="109" t="s">
        <v>5183</v>
      </c>
      <c r="X155" s="109" t="s">
        <v>4431</v>
      </c>
      <c r="Y155" s="109" t="s">
        <v>4756</v>
      </c>
      <c r="Z155" s="109" t="s">
        <v>4765</v>
      </c>
      <c r="AA155" s="109" t="s">
        <v>4765</v>
      </c>
      <c r="AB155" s="109" t="s">
        <v>4775</v>
      </c>
      <c r="AC155" s="109">
        <v>40213</v>
      </c>
      <c r="AD155" s="85" t="s">
        <v>5184</v>
      </c>
      <c r="AE155" s="88" t="s">
        <v>4422</v>
      </c>
      <c r="AF155" s="88" t="s">
        <v>4367</v>
      </c>
      <c r="AG155" s="85" t="s">
        <v>5185</v>
      </c>
      <c r="AH155" s="85" t="s">
        <v>5186</v>
      </c>
      <c r="AI155" s="85" t="s">
        <v>4615</v>
      </c>
      <c r="AJ155" s="85" t="s">
        <v>4318</v>
      </c>
      <c r="AK155" s="85" t="s">
        <v>4320</v>
      </c>
      <c r="AL155" s="90"/>
      <c r="AM155" s="85" t="s">
        <v>4372</v>
      </c>
      <c r="AN155" s="85" t="s">
        <v>5187</v>
      </c>
      <c r="AO155" s="85" t="s">
        <v>5188</v>
      </c>
      <c r="AP155" s="88">
        <v>163</v>
      </c>
      <c r="AQ155" s="88">
        <v>53</v>
      </c>
      <c r="AR155" s="85" t="s">
        <v>4443</v>
      </c>
    </row>
    <row r="156" spans="2:44">
      <c r="B156" s="69" t="s">
        <v>4642</v>
      </c>
      <c r="C156" s="81">
        <v>153</v>
      </c>
      <c r="D156" s="82">
        <v>252610540</v>
      </c>
      <c r="E156" s="83" t="s">
        <v>1225</v>
      </c>
      <c r="F156" s="84" t="s">
        <v>1226</v>
      </c>
      <c r="G156" s="84" t="s">
        <v>1226</v>
      </c>
      <c r="H156" s="85" t="s">
        <v>5189</v>
      </c>
      <c r="I156" s="85" t="s">
        <v>1225</v>
      </c>
      <c r="J156" s="85" t="s">
        <v>1225</v>
      </c>
      <c r="K156" s="85" t="s">
        <v>90</v>
      </c>
      <c r="L156" s="85" t="s">
        <v>5190</v>
      </c>
      <c r="M156" s="87">
        <v>40021</v>
      </c>
      <c r="N156" s="85" t="s">
        <v>4307</v>
      </c>
      <c r="O156" s="85" t="s">
        <v>4344</v>
      </c>
      <c r="P156" s="88">
        <v>4</v>
      </c>
      <c r="Q156" s="125"/>
      <c r="R156" s="125"/>
      <c r="S156" s="125"/>
      <c r="T156" s="88">
        <f t="shared" si="2"/>
        <v>0</v>
      </c>
      <c r="U156" s="88" t="s">
        <v>4310</v>
      </c>
      <c r="V156" s="109" t="s">
        <v>5191</v>
      </c>
      <c r="W156" s="109" t="s">
        <v>5192</v>
      </c>
      <c r="X156" s="109">
        <v>11</v>
      </c>
      <c r="Y156" s="109" t="s">
        <v>5193</v>
      </c>
      <c r="Z156" s="109" t="s">
        <v>4511</v>
      </c>
      <c r="AA156" s="109" t="s">
        <v>4511</v>
      </c>
      <c r="AB156" s="109">
        <v>40214</v>
      </c>
      <c r="AC156" s="85" t="s">
        <v>5194</v>
      </c>
      <c r="AD156" s="88" t="s">
        <v>4917</v>
      </c>
      <c r="AE156" s="88" t="s">
        <v>4453</v>
      </c>
      <c r="AF156" s="85" t="s">
        <v>5195</v>
      </c>
      <c r="AG156" s="85" t="s">
        <v>5196</v>
      </c>
      <c r="AH156" s="85" t="s">
        <v>5168</v>
      </c>
      <c r="AI156" s="85" t="s">
        <v>4638</v>
      </c>
      <c r="AJ156" s="85" t="s">
        <v>4337</v>
      </c>
      <c r="AK156" s="85" t="s">
        <v>4406</v>
      </c>
      <c r="AL156" s="85" t="s">
        <v>4338</v>
      </c>
      <c r="AM156" s="85" t="s">
        <v>3701</v>
      </c>
      <c r="AN156" s="85" t="s">
        <v>4406</v>
      </c>
      <c r="AO156" s="88">
        <v>150</v>
      </c>
      <c r="AP156" s="88">
        <v>45</v>
      </c>
      <c r="AQ156" s="85" t="s">
        <v>4322</v>
      </c>
      <c r="AR156" s="85"/>
    </row>
    <row r="157" s="66" customFormat="1" spans="2:44">
      <c r="B157" s="91" t="s">
        <v>4386</v>
      </c>
      <c r="C157" s="92">
        <v>154</v>
      </c>
      <c r="D157" s="93">
        <v>252610350</v>
      </c>
      <c r="E157" s="115" t="s">
        <v>1999</v>
      </c>
      <c r="F157" s="95" t="s">
        <v>2000</v>
      </c>
      <c r="G157" s="96" t="s">
        <v>2000</v>
      </c>
      <c r="H157" s="97"/>
      <c r="I157" s="96" t="s">
        <v>1999</v>
      </c>
      <c r="J157" s="96" t="s">
        <v>1999</v>
      </c>
      <c r="K157" s="97"/>
      <c r="L157" s="97"/>
      <c r="M157" s="98"/>
      <c r="N157" s="97"/>
      <c r="O157" s="97"/>
      <c r="P157" s="88"/>
      <c r="Q157" s="96"/>
      <c r="R157" s="96"/>
      <c r="S157" s="96"/>
      <c r="T157" s="88">
        <f t="shared" si="2"/>
        <v>0</v>
      </c>
      <c r="U157" s="97"/>
      <c r="V157" s="100"/>
      <c r="W157" s="101"/>
      <c r="X157" s="101"/>
      <c r="Y157" s="101"/>
      <c r="Z157" s="101"/>
      <c r="AA157" s="101"/>
      <c r="AB157" s="101"/>
      <c r="AC157" s="101"/>
      <c r="AD157" s="97"/>
      <c r="AE157" s="100"/>
      <c r="AF157" s="100"/>
      <c r="AG157" s="97"/>
      <c r="AH157" s="97"/>
      <c r="AI157" s="97"/>
      <c r="AJ157" s="97"/>
      <c r="AK157" s="97"/>
      <c r="AL157" s="97"/>
      <c r="AM157" s="97"/>
      <c r="AN157" s="97"/>
      <c r="AO157" s="97"/>
      <c r="AP157" s="100"/>
      <c r="AQ157" s="100"/>
      <c r="AR157" s="97"/>
    </row>
    <row r="158" spans="2:44">
      <c r="B158" s="69" t="s">
        <v>4304</v>
      </c>
      <c r="C158" s="81">
        <v>155</v>
      </c>
      <c r="D158" s="82">
        <v>252610444</v>
      </c>
      <c r="E158" s="83" t="s">
        <v>1608</v>
      </c>
      <c r="F158" s="84" t="s">
        <v>1609</v>
      </c>
      <c r="G158" s="85" t="s">
        <v>1609</v>
      </c>
      <c r="H158" s="85" t="s">
        <v>5197</v>
      </c>
      <c r="I158" s="85" t="s">
        <v>1608</v>
      </c>
      <c r="J158" s="86" t="s">
        <v>1608</v>
      </c>
      <c r="K158" s="85" t="s">
        <v>89</v>
      </c>
      <c r="L158" s="85" t="s">
        <v>4343</v>
      </c>
      <c r="M158" s="87">
        <v>40071</v>
      </c>
      <c r="N158" s="85" t="s">
        <v>4328</v>
      </c>
      <c r="O158" s="85" t="s">
        <v>4489</v>
      </c>
      <c r="P158" s="99">
        <v>3</v>
      </c>
      <c r="Q158" s="99">
        <v>2</v>
      </c>
      <c r="R158" s="99">
        <v>0</v>
      </c>
      <c r="S158" s="99">
        <v>0</v>
      </c>
      <c r="T158" s="88">
        <f t="shared" si="2"/>
        <v>2</v>
      </c>
      <c r="U158" s="85" t="s">
        <v>4489</v>
      </c>
      <c r="V158" s="88" t="s">
        <v>4310</v>
      </c>
      <c r="W158" s="109" t="s">
        <v>5198</v>
      </c>
      <c r="X158" s="109" t="s">
        <v>4477</v>
      </c>
      <c r="Y158" s="109" t="s">
        <v>4361</v>
      </c>
      <c r="Z158" s="112"/>
      <c r="AA158" s="109" t="s">
        <v>5199</v>
      </c>
      <c r="AB158" s="109" t="s">
        <v>4656</v>
      </c>
      <c r="AC158" s="109">
        <v>40213</v>
      </c>
      <c r="AD158" s="85" t="s">
        <v>5200</v>
      </c>
      <c r="AE158" s="88" t="s">
        <v>4410</v>
      </c>
      <c r="AF158" s="88" t="s">
        <v>4733</v>
      </c>
      <c r="AG158" s="85" t="s">
        <v>5201</v>
      </c>
      <c r="AH158" s="85" t="s">
        <v>5202</v>
      </c>
      <c r="AI158" s="85" t="s">
        <v>4318</v>
      </c>
      <c r="AJ158" s="85" t="s">
        <v>4384</v>
      </c>
      <c r="AK158" s="85" t="s">
        <v>4320</v>
      </c>
      <c r="AL158" s="90"/>
      <c r="AM158" s="85" t="s">
        <v>4372</v>
      </c>
      <c r="AN158" s="85" t="s">
        <v>5203</v>
      </c>
      <c r="AO158" s="90"/>
      <c r="AP158" s="88">
        <v>157</v>
      </c>
      <c r="AQ158" s="88">
        <v>40</v>
      </c>
      <c r="AR158" s="85" t="s">
        <v>4322</v>
      </c>
    </row>
    <row r="159" s="66" customFormat="1" spans="2:44">
      <c r="B159" s="91" t="s">
        <v>4386</v>
      </c>
      <c r="C159" s="92">
        <v>156</v>
      </c>
      <c r="D159" s="93">
        <v>252610351</v>
      </c>
      <c r="E159" s="94" t="s">
        <v>1895</v>
      </c>
      <c r="F159" s="95" t="s">
        <v>1896</v>
      </c>
      <c r="G159" s="96" t="s">
        <v>1896</v>
      </c>
      <c r="H159" s="97"/>
      <c r="I159" s="96" t="s">
        <v>1895</v>
      </c>
      <c r="J159" s="96" t="s">
        <v>1895</v>
      </c>
      <c r="K159" s="97"/>
      <c r="L159" s="97"/>
      <c r="M159" s="98"/>
      <c r="N159" s="97"/>
      <c r="O159" s="97"/>
      <c r="P159" s="88"/>
      <c r="Q159" s="96"/>
      <c r="R159" s="96"/>
      <c r="S159" s="96"/>
      <c r="T159" s="88">
        <f t="shared" si="2"/>
        <v>0</v>
      </c>
      <c r="U159" s="97"/>
      <c r="V159" s="100"/>
      <c r="W159" s="101"/>
      <c r="X159" s="101"/>
      <c r="Y159" s="101"/>
      <c r="Z159" s="101"/>
      <c r="AA159" s="101"/>
      <c r="AB159" s="101"/>
      <c r="AC159" s="101"/>
      <c r="AD159" s="97"/>
      <c r="AE159" s="100"/>
      <c r="AF159" s="100"/>
      <c r="AG159" s="97"/>
      <c r="AH159" s="97"/>
      <c r="AI159" s="97"/>
      <c r="AJ159" s="97"/>
      <c r="AK159" s="97"/>
      <c r="AL159" s="97"/>
      <c r="AM159" s="97"/>
      <c r="AN159" s="97"/>
      <c r="AO159" s="97"/>
      <c r="AP159" s="100"/>
      <c r="AQ159" s="100"/>
      <c r="AR159" s="97"/>
    </row>
    <row r="160" spans="2:44">
      <c r="B160" s="69" t="s">
        <v>4674</v>
      </c>
      <c r="C160" s="81">
        <v>157</v>
      </c>
      <c r="D160" s="82">
        <v>252610396</v>
      </c>
      <c r="E160" s="83">
        <v>3092684937</v>
      </c>
      <c r="F160" s="84" t="s">
        <v>1799</v>
      </c>
      <c r="G160" s="85" t="s">
        <v>1799</v>
      </c>
      <c r="H160" s="85" t="s">
        <v>5204</v>
      </c>
      <c r="I160" s="85">
        <v>3092684937</v>
      </c>
      <c r="J160" s="86">
        <v>3092684937</v>
      </c>
      <c r="K160" s="85" t="s">
        <v>89</v>
      </c>
      <c r="L160" s="85" t="s">
        <v>4343</v>
      </c>
      <c r="M160" s="87">
        <v>39996</v>
      </c>
      <c r="N160" s="85" t="s">
        <v>4307</v>
      </c>
      <c r="O160" s="85" t="s">
        <v>5205</v>
      </c>
      <c r="P160" s="99">
        <v>6</v>
      </c>
      <c r="Q160" s="99">
        <v>6</v>
      </c>
      <c r="R160" s="99">
        <v>0</v>
      </c>
      <c r="S160" s="99">
        <v>0</v>
      </c>
      <c r="T160" s="88">
        <f t="shared" si="2"/>
        <v>6</v>
      </c>
      <c r="U160" s="85" t="s">
        <v>4791</v>
      </c>
      <c r="V160" s="88">
        <v>0</v>
      </c>
      <c r="W160" s="109" t="s">
        <v>5206</v>
      </c>
      <c r="X160" s="109">
        <v>7</v>
      </c>
      <c r="Y160" s="109">
        <v>1</v>
      </c>
      <c r="Z160" s="109" t="s">
        <v>5207</v>
      </c>
      <c r="AA160" s="109" t="s">
        <v>5208</v>
      </c>
      <c r="AB160" s="109" t="s">
        <v>4395</v>
      </c>
      <c r="AC160" s="109">
        <v>40221</v>
      </c>
      <c r="AD160" s="85" t="s">
        <v>5209</v>
      </c>
      <c r="AE160" s="88" t="s">
        <v>5210</v>
      </c>
      <c r="AF160" s="88" t="s">
        <v>5211</v>
      </c>
      <c r="AG160" s="85" t="s">
        <v>5212</v>
      </c>
      <c r="AH160" s="85" t="s">
        <v>5213</v>
      </c>
      <c r="AI160" s="85" t="s">
        <v>5008</v>
      </c>
      <c r="AJ160" s="85" t="s">
        <v>5008</v>
      </c>
      <c r="AK160" s="85" t="s">
        <v>4338</v>
      </c>
      <c r="AL160" s="85" t="s">
        <v>5214</v>
      </c>
      <c r="AM160" s="85" t="s">
        <v>4372</v>
      </c>
      <c r="AN160" s="85" t="s">
        <v>5215</v>
      </c>
      <c r="AO160" s="90"/>
      <c r="AP160" s="88">
        <v>165</v>
      </c>
      <c r="AQ160" s="88">
        <v>58</v>
      </c>
      <c r="AR160" s="85" t="s">
        <v>4340</v>
      </c>
    </row>
    <row r="161" spans="2:44">
      <c r="B161" s="69" t="s">
        <v>4304</v>
      </c>
      <c r="C161" s="81">
        <v>158</v>
      </c>
      <c r="D161" s="82">
        <v>252610445</v>
      </c>
      <c r="E161" s="83" t="s">
        <v>1897</v>
      </c>
      <c r="F161" s="84" t="s">
        <v>1898</v>
      </c>
      <c r="G161" s="104" t="s">
        <v>1898</v>
      </c>
      <c r="H161" s="104" t="s">
        <v>5216</v>
      </c>
      <c r="I161" s="104" t="s">
        <v>1897</v>
      </c>
      <c r="J161" s="86" t="s">
        <v>1897</v>
      </c>
      <c r="K161" s="104" t="s">
        <v>89</v>
      </c>
      <c r="L161" s="104" t="s">
        <v>5217</v>
      </c>
      <c r="M161" s="105">
        <v>39930</v>
      </c>
      <c r="N161" s="104" t="s">
        <v>4307</v>
      </c>
      <c r="O161" s="104" t="s">
        <v>4489</v>
      </c>
      <c r="P161" s="88">
        <v>1</v>
      </c>
      <c r="Q161" s="88">
        <v>1</v>
      </c>
      <c r="R161" s="88">
        <v>0</v>
      </c>
      <c r="S161" s="88">
        <v>0</v>
      </c>
      <c r="T161" s="88">
        <f t="shared" si="2"/>
        <v>1</v>
      </c>
      <c r="U161" s="104" t="s">
        <v>4308</v>
      </c>
      <c r="V161" s="99" t="s">
        <v>4595</v>
      </c>
      <c r="W161" s="108" t="s">
        <v>5218</v>
      </c>
      <c r="X161" s="108" t="s">
        <v>4492</v>
      </c>
      <c r="Y161" s="108">
        <v>11</v>
      </c>
      <c r="Z161" s="108" t="s">
        <v>5219</v>
      </c>
      <c r="AA161" s="108" t="s">
        <v>5220</v>
      </c>
      <c r="AB161" s="108" t="s">
        <v>4608</v>
      </c>
      <c r="AC161" s="108">
        <v>40214</v>
      </c>
      <c r="AD161" s="104" t="s">
        <v>5221</v>
      </c>
      <c r="AE161" s="99" t="s">
        <v>4669</v>
      </c>
      <c r="AF161" s="99" t="s">
        <v>4658</v>
      </c>
      <c r="AG161" s="104" t="s">
        <v>5222</v>
      </c>
      <c r="AH161" s="104" t="s">
        <v>5202</v>
      </c>
      <c r="AI161" s="104" t="s">
        <v>5223</v>
      </c>
      <c r="AJ161" s="104" t="s">
        <v>4384</v>
      </c>
      <c r="AK161" s="104" t="s">
        <v>4372</v>
      </c>
      <c r="AL161" s="104" t="s">
        <v>5224</v>
      </c>
      <c r="AM161" s="104" t="s">
        <v>4372</v>
      </c>
      <c r="AN161" s="104" t="s">
        <v>5225</v>
      </c>
      <c r="AO161" s="104" t="s">
        <v>5226</v>
      </c>
      <c r="AP161" s="99">
        <v>170</v>
      </c>
      <c r="AQ161" s="99">
        <v>49</v>
      </c>
      <c r="AR161" s="104" t="s">
        <v>4538</v>
      </c>
    </row>
    <row r="162" s="66" customFormat="1" spans="2:44">
      <c r="B162" s="91" t="s">
        <v>4373</v>
      </c>
      <c r="C162" s="92">
        <v>159</v>
      </c>
      <c r="D162" s="93">
        <v>252610491</v>
      </c>
      <c r="E162" s="94" t="s">
        <v>1034</v>
      </c>
      <c r="F162" s="95" t="s">
        <v>1035</v>
      </c>
      <c r="G162" s="96" t="s">
        <v>1035</v>
      </c>
      <c r="H162" s="97"/>
      <c r="I162" s="96" t="s">
        <v>1034</v>
      </c>
      <c r="J162" s="96" t="s">
        <v>1034</v>
      </c>
      <c r="K162" s="97"/>
      <c r="L162" s="97"/>
      <c r="M162" s="98"/>
      <c r="N162" s="97"/>
      <c r="O162" s="97"/>
      <c r="P162" s="99"/>
      <c r="Q162" s="96"/>
      <c r="R162" s="96"/>
      <c r="S162" s="96"/>
      <c r="T162" s="88">
        <f t="shared" si="2"/>
        <v>0</v>
      </c>
      <c r="U162" s="97"/>
      <c r="V162" s="100"/>
      <c r="W162" s="101"/>
      <c r="X162" s="101"/>
      <c r="Y162" s="101"/>
      <c r="Z162" s="101"/>
      <c r="AA162" s="101"/>
      <c r="AB162" s="101"/>
      <c r="AC162" s="101"/>
      <c r="AD162" s="97"/>
      <c r="AE162" s="100"/>
      <c r="AF162" s="100"/>
      <c r="AG162" s="97"/>
      <c r="AH162" s="97"/>
      <c r="AI162" s="97"/>
      <c r="AJ162" s="97"/>
      <c r="AK162" s="97"/>
      <c r="AL162" s="97"/>
      <c r="AM162" s="97"/>
      <c r="AN162" s="97"/>
      <c r="AO162" s="97"/>
      <c r="AP162" s="100"/>
      <c r="AQ162" s="100"/>
      <c r="AR162" s="97"/>
    </row>
    <row r="163" s="66" customFormat="1" spans="2:44">
      <c r="B163" s="91" t="s">
        <v>4674</v>
      </c>
      <c r="C163" s="92">
        <v>160</v>
      </c>
      <c r="D163" s="93">
        <v>252610397</v>
      </c>
      <c r="E163" s="94" t="s">
        <v>1403</v>
      </c>
      <c r="F163" s="95" t="s">
        <v>1404</v>
      </c>
      <c r="G163" s="96" t="s">
        <v>4101</v>
      </c>
      <c r="H163" s="97"/>
      <c r="I163" s="96" t="s">
        <v>1403</v>
      </c>
      <c r="J163" s="96" t="s">
        <v>1403</v>
      </c>
      <c r="K163" s="97"/>
      <c r="L163" s="97"/>
      <c r="M163" s="98"/>
      <c r="N163" s="97"/>
      <c r="O163" s="97"/>
      <c r="P163" s="88"/>
      <c r="Q163" s="96"/>
      <c r="R163" s="96"/>
      <c r="S163" s="96"/>
      <c r="T163" s="88">
        <f t="shared" si="2"/>
        <v>0</v>
      </c>
      <c r="U163" s="97"/>
      <c r="V163" s="100"/>
      <c r="W163" s="101"/>
      <c r="X163" s="101"/>
      <c r="Y163" s="101"/>
      <c r="Z163" s="101"/>
      <c r="AA163" s="101"/>
      <c r="AB163" s="101"/>
      <c r="AC163" s="101"/>
      <c r="AD163" s="97"/>
      <c r="AE163" s="100"/>
      <c r="AF163" s="100"/>
      <c r="AG163" s="97"/>
      <c r="AH163" s="97"/>
      <c r="AI163" s="97"/>
      <c r="AJ163" s="97"/>
      <c r="AK163" s="97"/>
      <c r="AL163" s="97"/>
      <c r="AM163" s="97"/>
      <c r="AN163" s="97"/>
      <c r="AO163" s="97"/>
      <c r="AP163" s="100"/>
      <c r="AQ163" s="100"/>
      <c r="AR163" s="97"/>
    </row>
    <row r="164" s="66" customFormat="1" spans="2:44">
      <c r="B164" s="91" t="s">
        <v>4304</v>
      </c>
      <c r="C164" s="92">
        <v>161</v>
      </c>
      <c r="D164" s="93">
        <v>252610446</v>
      </c>
      <c r="E164" s="115" t="s">
        <v>1704</v>
      </c>
      <c r="F164" s="95" t="s">
        <v>1705</v>
      </c>
      <c r="G164" s="96" t="s">
        <v>4103</v>
      </c>
      <c r="H164" s="97"/>
      <c r="I164" s="96" t="s">
        <v>1704</v>
      </c>
      <c r="J164" s="96" t="s">
        <v>1704</v>
      </c>
      <c r="K164" s="97"/>
      <c r="L164" s="97"/>
      <c r="M164" s="98"/>
      <c r="N164" s="97"/>
      <c r="O164" s="97"/>
      <c r="P164" s="99"/>
      <c r="Q164" s="96"/>
      <c r="R164" s="96"/>
      <c r="S164" s="96"/>
      <c r="T164" s="88">
        <f t="shared" si="2"/>
        <v>0</v>
      </c>
      <c r="U164" s="97"/>
      <c r="V164" s="100"/>
      <c r="W164" s="101"/>
      <c r="X164" s="101"/>
      <c r="Y164" s="101"/>
      <c r="Z164" s="101"/>
      <c r="AA164" s="101"/>
      <c r="AB164" s="101"/>
      <c r="AC164" s="101"/>
      <c r="AD164" s="97"/>
      <c r="AE164" s="100"/>
      <c r="AF164" s="100"/>
      <c r="AG164" s="97"/>
      <c r="AH164" s="97"/>
      <c r="AI164" s="97"/>
      <c r="AJ164" s="97"/>
      <c r="AK164" s="97"/>
      <c r="AL164" s="97"/>
      <c r="AM164" s="97"/>
      <c r="AN164" s="97"/>
      <c r="AO164" s="97"/>
      <c r="AP164" s="100"/>
      <c r="AQ164" s="100"/>
      <c r="AR164" s="97"/>
    </row>
    <row r="165" spans="2:44">
      <c r="B165" s="69" t="s">
        <v>4341</v>
      </c>
      <c r="C165" s="81">
        <v>162</v>
      </c>
      <c r="D165" s="82">
        <v>252610303</v>
      </c>
      <c r="E165" s="83" t="s">
        <v>1227</v>
      </c>
      <c r="F165" s="84" t="s">
        <v>1228</v>
      </c>
      <c r="G165" s="104" t="s">
        <v>1228</v>
      </c>
      <c r="H165" s="104" t="s">
        <v>4602</v>
      </c>
      <c r="I165" s="104" t="s">
        <v>1227</v>
      </c>
      <c r="J165" s="86" t="s">
        <v>1227</v>
      </c>
      <c r="K165" s="104" t="s">
        <v>90</v>
      </c>
      <c r="L165" s="104" t="s">
        <v>5227</v>
      </c>
      <c r="M165" s="105">
        <v>40161</v>
      </c>
      <c r="N165" s="104" t="s">
        <v>4460</v>
      </c>
      <c r="O165" s="104" t="s">
        <v>4344</v>
      </c>
      <c r="P165" s="88">
        <v>1</v>
      </c>
      <c r="Q165" s="88">
        <v>0</v>
      </c>
      <c r="R165" s="88">
        <v>2</v>
      </c>
      <c r="S165" s="88">
        <v>0</v>
      </c>
      <c r="T165" s="88">
        <f t="shared" si="2"/>
        <v>2</v>
      </c>
      <c r="U165" s="104" t="s">
        <v>5228</v>
      </c>
      <c r="V165" s="99">
        <v>0</v>
      </c>
      <c r="W165" s="108" t="s">
        <v>5229</v>
      </c>
      <c r="X165" s="108" t="s">
        <v>4392</v>
      </c>
      <c r="Y165" s="108" t="s">
        <v>5230</v>
      </c>
      <c r="Z165" s="114"/>
      <c r="AA165" s="108" t="s">
        <v>4634</v>
      </c>
      <c r="AB165" s="108" t="s">
        <v>4585</v>
      </c>
      <c r="AC165" s="108">
        <v>40534</v>
      </c>
      <c r="AD165" s="104" t="s">
        <v>5231</v>
      </c>
      <c r="AE165" s="99" t="s">
        <v>4410</v>
      </c>
      <c r="AF165" s="99" t="s">
        <v>4411</v>
      </c>
      <c r="AG165" s="104" t="s">
        <v>5232</v>
      </c>
      <c r="AH165" s="104" t="s">
        <v>5233</v>
      </c>
      <c r="AI165" s="104" t="s">
        <v>4370</v>
      </c>
      <c r="AJ165" s="104" t="s">
        <v>4370</v>
      </c>
      <c r="AK165" s="104" t="s">
        <v>4320</v>
      </c>
      <c r="AL165" s="106"/>
      <c r="AM165" s="104" t="s">
        <v>4372</v>
      </c>
      <c r="AN165" s="104" t="s">
        <v>5234</v>
      </c>
      <c r="AO165" s="106"/>
      <c r="AP165" s="99">
        <v>158</v>
      </c>
      <c r="AQ165" s="99">
        <v>45</v>
      </c>
      <c r="AR165" s="104" t="s">
        <v>4340</v>
      </c>
    </row>
    <row r="166" spans="2:44">
      <c r="B166" s="69" t="s">
        <v>4568</v>
      </c>
      <c r="C166" s="81">
        <v>163</v>
      </c>
      <c r="D166" s="82">
        <v>252610206</v>
      </c>
      <c r="E166" s="116" t="s">
        <v>1899</v>
      </c>
      <c r="F166" s="84" t="s">
        <v>1900</v>
      </c>
      <c r="G166" s="85" t="s">
        <v>1900</v>
      </c>
      <c r="H166" s="85" t="s">
        <v>5235</v>
      </c>
      <c r="I166" s="85" t="s">
        <v>1899</v>
      </c>
      <c r="J166" s="86" t="s">
        <v>1899</v>
      </c>
      <c r="K166" s="85" t="s">
        <v>89</v>
      </c>
      <c r="L166" s="85" t="s">
        <v>4343</v>
      </c>
      <c r="M166" s="87">
        <v>39738</v>
      </c>
      <c r="N166" s="85" t="s">
        <v>4307</v>
      </c>
      <c r="O166" s="85" t="s">
        <v>5236</v>
      </c>
      <c r="P166" s="99">
        <v>2</v>
      </c>
      <c r="Q166" s="99">
        <v>1</v>
      </c>
      <c r="R166" s="99">
        <v>0</v>
      </c>
      <c r="S166" s="99">
        <v>0</v>
      </c>
      <c r="T166" s="88">
        <f t="shared" si="2"/>
        <v>1</v>
      </c>
      <c r="U166" s="85" t="s">
        <v>4344</v>
      </c>
      <c r="V166" s="88">
        <v>0</v>
      </c>
      <c r="W166" s="109" t="s">
        <v>5237</v>
      </c>
      <c r="X166" s="109" t="s">
        <v>4793</v>
      </c>
      <c r="Y166" s="109" t="s">
        <v>4464</v>
      </c>
      <c r="Z166" s="109" t="s">
        <v>4406</v>
      </c>
      <c r="AA166" s="109" t="s">
        <v>5012</v>
      </c>
      <c r="AB166" s="109" t="s">
        <v>4656</v>
      </c>
      <c r="AC166" s="109">
        <v>40212</v>
      </c>
      <c r="AD166" s="85" t="s">
        <v>5238</v>
      </c>
      <c r="AE166" s="88" t="s">
        <v>5239</v>
      </c>
      <c r="AF166" s="88" t="s">
        <v>5240</v>
      </c>
      <c r="AG166" s="85" t="s">
        <v>5241</v>
      </c>
      <c r="AH166" s="85" t="s">
        <v>5242</v>
      </c>
      <c r="AI166" s="85" t="s">
        <v>5243</v>
      </c>
      <c r="AJ166" s="85" t="s">
        <v>5243</v>
      </c>
      <c r="AK166" s="85" t="s">
        <v>4338</v>
      </c>
      <c r="AL166" s="85" t="s">
        <v>5244</v>
      </c>
      <c r="AM166" s="85" t="s">
        <v>4372</v>
      </c>
      <c r="AN166" s="85" t="s">
        <v>4846</v>
      </c>
      <c r="AO166" s="85" t="s">
        <v>5245</v>
      </c>
      <c r="AP166" s="88">
        <v>163</v>
      </c>
      <c r="AQ166" s="88" t="s">
        <v>5246</v>
      </c>
      <c r="AR166" s="85" t="s">
        <v>4428</v>
      </c>
    </row>
    <row r="167" s="66" customFormat="1" spans="2:44">
      <c r="B167" s="91" t="s">
        <v>4642</v>
      </c>
      <c r="C167" s="92">
        <v>164</v>
      </c>
      <c r="D167" s="93">
        <v>252610541</v>
      </c>
      <c r="E167" s="94">
        <v>3093017921</v>
      </c>
      <c r="F167" s="95" t="s">
        <v>2002</v>
      </c>
      <c r="G167" s="96" t="s">
        <v>2002</v>
      </c>
      <c r="H167" s="97"/>
      <c r="I167" s="96">
        <v>3093017921</v>
      </c>
      <c r="J167" s="96">
        <v>3093017921</v>
      </c>
      <c r="K167" s="97"/>
      <c r="L167" s="97"/>
      <c r="M167" s="98"/>
      <c r="N167" s="97"/>
      <c r="O167" s="97"/>
      <c r="P167" s="88"/>
      <c r="Q167" s="96"/>
      <c r="R167" s="96"/>
      <c r="S167" s="96"/>
      <c r="T167" s="88">
        <f t="shared" si="2"/>
        <v>0</v>
      </c>
      <c r="U167" s="97"/>
      <c r="V167" s="100"/>
      <c r="W167" s="101"/>
      <c r="X167" s="101"/>
      <c r="Y167" s="101"/>
      <c r="Z167" s="101"/>
      <c r="AA167" s="101"/>
      <c r="AB167" s="101"/>
      <c r="AC167" s="101"/>
      <c r="AD167" s="97"/>
      <c r="AE167" s="100"/>
      <c r="AF167" s="100"/>
      <c r="AG167" s="97"/>
      <c r="AH167" s="97"/>
      <c r="AI167" s="97"/>
      <c r="AJ167" s="97"/>
      <c r="AK167" s="97"/>
      <c r="AL167" s="97"/>
      <c r="AM167" s="97"/>
      <c r="AN167" s="97"/>
      <c r="AO167" s="97"/>
      <c r="AP167" s="100"/>
      <c r="AQ167" s="100"/>
      <c r="AR167" s="97"/>
    </row>
    <row r="168" s="66" customFormat="1" spans="2:44">
      <c r="B168" s="91" t="s">
        <v>4373</v>
      </c>
      <c r="C168" s="92">
        <v>165</v>
      </c>
      <c r="D168" s="93">
        <v>252610492</v>
      </c>
      <c r="E168" s="94" t="s">
        <v>2003</v>
      </c>
      <c r="F168" s="95" t="s">
        <v>2004</v>
      </c>
      <c r="G168" s="96" t="s">
        <v>4104</v>
      </c>
      <c r="H168" s="97"/>
      <c r="I168" s="96" t="s">
        <v>2003</v>
      </c>
      <c r="J168" s="96" t="s">
        <v>2003</v>
      </c>
      <c r="K168" s="97"/>
      <c r="L168" s="97"/>
      <c r="M168" s="98"/>
      <c r="N168" s="97"/>
      <c r="O168" s="97"/>
      <c r="P168" s="99"/>
      <c r="Q168" s="96"/>
      <c r="R168" s="96"/>
      <c r="S168" s="96"/>
      <c r="T168" s="88">
        <f t="shared" si="2"/>
        <v>0</v>
      </c>
      <c r="U168" s="97"/>
      <c r="V168" s="100"/>
      <c r="W168" s="101"/>
      <c r="X168" s="101"/>
      <c r="Y168" s="101"/>
      <c r="Z168" s="101"/>
      <c r="AA168" s="101"/>
      <c r="AB168" s="101"/>
      <c r="AC168" s="101"/>
      <c r="AD168" s="97"/>
      <c r="AE168" s="100"/>
      <c r="AF168" s="100"/>
      <c r="AG168" s="97"/>
      <c r="AH168" s="97"/>
      <c r="AI168" s="97"/>
      <c r="AJ168" s="97"/>
      <c r="AK168" s="97"/>
      <c r="AL168" s="97"/>
      <c r="AM168" s="97"/>
      <c r="AN168" s="97"/>
      <c r="AO168" s="97"/>
      <c r="AP168" s="100"/>
      <c r="AQ168" s="100"/>
      <c r="AR168" s="97"/>
    </row>
    <row r="169" spans="2:44">
      <c r="B169" s="69" t="s">
        <v>4386</v>
      </c>
      <c r="C169" s="81">
        <v>166</v>
      </c>
      <c r="D169" s="82">
        <v>252610352</v>
      </c>
      <c r="E169" s="83" t="s">
        <v>1901</v>
      </c>
      <c r="F169" s="84" t="s">
        <v>1902</v>
      </c>
      <c r="G169" s="104" t="s">
        <v>1902</v>
      </c>
      <c r="H169" s="104" t="s">
        <v>5247</v>
      </c>
      <c r="I169" s="104" t="s">
        <v>1901</v>
      </c>
      <c r="J169" s="86" t="s">
        <v>1901</v>
      </c>
      <c r="K169" s="104" t="s">
        <v>90</v>
      </c>
      <c r="L169" s="104" t="s">
        <v>5248</v>
      </c>
      <c r="M169" s="105">
        <v>40073</v>
      </c>
      <c r="N169" s="104" t="s">
        <v>4328</v>
      </c>
      <c r="O169" s="104" t="s">
        <v>4489</v>
      </c>
      <c r="P169" s="88">
        <v>1</v>
      </c>
      <c r="Q169" s="88">
        <v>0</v>
      </c>
      <c r="R169" s="88">
        <v>0</v>
      </c>
      <c r="S169" s="88">
        <v>0</v>
      </c>
      <c r="T169" s="88">
        <f t="shared" si="2"/>
        <v>0</v>
      </c>
      <c r="U169" s="104" t="s">
        <v>5249</v>
      </c>
      <c r="V169" s="99" t="s">
        <v>4358</v>
      </c>
      <c r="W169" s="108" t="s">
        <v>5250</v>
      </c>
      <c r="X169" s="108" t="s">
        <v>4606</v>
      </c>
      <c r="Y169" s="108" t="s">
        <v>4714</v>
      </c>
      <c r="Z169" s="108" t="s">
        <v>4494</v>
      </c>
      <c r="AA169" s="108" t="s">
        <v>4494</v>
      </c>
      <c r="AB169" s="108" t="s">
        <v>4451</v>
      </c>
      <c r="AC169" s="108">
        <v>40534</v>
      </c>
      <c r="AD169" s="104" t="s">
        <v>5251</v>
      </c>
      <c r="AE169" s="99" t="s">
        <v>5252</v>
      </c>
      <c r="AF169" s="99" t="s">
        <v>5253</v>
      </c>
      <c r="AG169" s="104" t="s">
        <v>5254</v>
      </c>
      <c r="AH169" s="104" t="s">
        <v>5255</v>
      </c>
      <c r="AI169" s="104" t="s">
        <v>4384</v>
      </c>
      <c r="AJ169" s="104" t="s">
        <v>4638</v>
      </c>
      <c r="AK169" s="104" t="s">
        <v>4337</v>
      </c>
      <c r="AL169" s="104"/>
      <c r="AM169" s="104" t="s">
        <v>4372</v>
      </c>
      <c r="AN169" s="104" t="s">
        <v>5256</v>
      </c>
      <c r="AO169" s="104"/>
      <c r="AP169" s="99">
        <v>155</v>
      </c>
      <c r="AQ169" s="99">
        <v>46</v>
      </c>
      <c r="AR169" s="104"/>
    </row>
    <row r="170" spans="2:44">
      <c r="B170" s="69" t="s">
        <v>4373</v>
      </c>
      <c r="C170" s="81">
        <v>167</v>
      </c>
      <c r="D170" s="82">
        <v>252610493</v>
      </c>
      <c r="E170" s="83" t="s">
        <v>1229</v>
      </c>
      <c r="F170" s="84" t="s">
        <v>1230</v>
      </c>
      <c r="G170" s="85" t="s">
        <v>4105</v>
      </c>
      <c r="H170" s="85" t="s">
        <v>5257</v>
      </c>
      <c r="I170" s="85" t="s">
        <v>1229</v>
      </c>
      <c r="J170" s="86" t="s">
        <v>1229</v>
      </c>
      <c r="K170" s="85" t="s">
        <v>89</v>
      </c>
      <c r="L170" s="85" t="s">
        <v>4540</v>
      </c>
      <c r="M170" s="87">
        <v>40139</v>
      </c>
      <c r="N170" s="85" t="s">
        <v>4958</v>
      </c>
      <c r="O170" s="85" t="s">
        <v>4489</v>
      </c>
      <c r="P170" s="99">
        <v>3</v>
      </c>
      <c r="Q170" s="99">
        <v>2</v>
      </c>
      <c r="R170" s="99">
        <v>0</v>
      </c>
      <c r="S170" s="99">
        <v>0</v>
      </c>
      <c r="T170" s="88">
        <f t="shared" si="2"/>
        <v>2</v>
      </c>
      <c r="U170" s="85" t="s">
        <v>4489</v>
      </c>
      <c r="V170" s="88" t="s">
        <v>4595</v>
      </c>
      <c r="W170" s="109" t="s">
        <v>5258</v>
      </c>
      <c r="X170" s="109" t="s">
        <v>4606</v>
      </c>
      <c r="Y170" s="109" t="s">
        <v>4756</v>
      </c>
      <c r="Z170" s="109" t="s">
        <v>5259</v>
      </c>
      <c r="AA170" s="109" t="s">
        <v>5260</v>
      </c>
      <c r="AB170" s="109" t="s">
        <v>4705</v>
      </c>
      <c r="AC170" s="109">
        <v>40213</v>
      </c>
      <c r="AD170" s="85" t="s">
        <v>5261</v>
      </c>
      <c r="AE170" s="88" t="s">
        <v>4496</v>
      </c>
      <c r="AF170" s="88" t="s">
        <v>5240</v>
      </c>
      <c r="AG170" s="85" t="s">
        <v>5262</v>
      </c>
      <c r="AH170" s="85" t="s">
        <v>5263</v>
      </c>
      <c r="AI170" s="85" t="s">
        <v>4318</v>
      </c>
      <c r="AJ170" s="85" t="s">
        <v>4384</v>
      </c>
      <c r="AK170" s="85" t="s">
        <v>4320</v>
      </c>
      <c r="AL170" s="85" t="s">
        <v>4406</v>
      </c>
      <c r="AM170" s="85" t="s">
        <v>4338</v>
      </c>
      <c r="AN170" s="85" t="s">
        <v>5264</v>
      </c>
      <c r="AO170" s="90"/>
      <c r="AP170" s="88">
        <v>170</v>
      </c>
      <c r="AQ170" s="88">
        <v>60</v>
      </c>
      <c r="AR170" s="85" t="s">
        <v>4322</v>
      </c>
    </row>
    <row r="171" spans="2:44">
      <c r="B171" s="69" t="s">
        <v>4325</v>
      </c>
      <c r="C171" s="81">
        <v>168</v>
      </c>
      <c r="D171" s="82">
        <v>252610016</v>
      </c>
      <c r="E171" s="102" t="s">
        <v>1315</v>
      </c>
      <c r="F171" s="103" t="s">
        <v>1316</v>
      </c>
      <c r="G171" s="104" t="s">
        <v>1316</v>
      </c>
      <c r="H171" s="104" t="s">
        <v>5265</v>
      </c>
      <c r="I171" s="104" t="s">
        <v>1315</v>
      </c>
      <c r="J171" s="86" t="s">
        <v>1315</v>
      </c>
      <c r="K171" s="104" t="s">
        <v>90</v>
      </c>
      <c r="L171" s="104" t="s">
        <v>4343</v>
      </c>
      <c r="M171" s="105">
        <v>39933</v>
      </c>
      <c r="N171" s="104" t="s">
        <v>4307</v>
      </c>
      <c r="O171" s="104" t="s">
        <v>4344</v>
      </c>
      <c r="P171" s="88">
        <v>2</v>
      </c>
      <c r="Q171" s="88">
        <v>2</v>
      </c>
      <c r="R171" s="88">
        <v>0</v>
      </c>
      <c r="S171" s="88">
        <v>0</v>
      </c>
      <c r="T171" s="88">
        <f t="shared" si="2"/>
        <v>2</v>
      </c>
      <c r="U171" s="104" t="s">
        <v>5128</v>
      </c>
      <c r="V171" s="99" t="s">
        <v>4310</v>
      </c>
      <c r="W171" s="108" t="s">
        <v>5266</v>
      </c>
      <c r="X171" s="108" t="s">
        <v>4360</v>
      </c>
      <c r="Y171" s="108">
        <v>10</v>
      </c>
      <c r="Z171" s="108" t="s">
        <v>5267</v>
      </c>
      <c r="AA171" s="108" t="s">
        <v>5267</v>
      </c>
      <c r="AB171" s="108" t="s">
        <v>4656</v>
      </c>
      <c r="AC171" s="108">
        <v>40213</v>
      </c>
      <c r="AD171" s="104" t="s">
        <v>5268</v>
      </c>
      <c r="AE171" s="99" t="s">
        <v>4938</v>
      </c>
      <c r="AF171" s="99" t="s">
        <v>5269</v>
      </c>
      <c r="AG171" s="104" t="s">
        <v>5270</v>
      </c>
      <c r="AH171" s="104" t="s">
        <v>5271</v>
      </c>
      <c r="AI171" s="104" t="s">
        <v>4318</v>
      </c>
      <c r="AJ171" s="104" t="s">
        <v>4456</v>
      </c>
      <c r="AK171" s="104" t="s">
        <v>4338</v>
      </c>
      <c r="AL171" s="104" t="s">
        <v>5272</v>
      </c>
      <c r="AM171" s="104" t="s">
        <v>4337</v>
      </c>
      <c r="AN171" s="104" t="s">
        <v>4384</v>
      </c>
      <c r="AO171" s="106"/>
      <c r="AP171" s="99">
        <v>155</v>
      </c>
      <c r="AQ171" s="99">
        <v>42</v>
      </c>
      <c r="AR171" s="104" t="s">
        <v>4322</v>
      </c>
    </row>
    <row r="172" spans="2:44">
      <c r="B172" s="69" t="s">
        <v>4324</v>
      </c>
      <c r="C172" s="81">
        <v>169</v>
      </c>
      <c r="D172" s="82">
        <v>252610110</v>
      </c>
      <c r="E172" s="86" t="s">
        <v>4106</v>
      </c>
      <c r="F172" s="84" t="s">
        <v>932</v>
      </c>
      <c r="G172" s="85" t="s">
        <v>932</v>
      </c>
      <c r="H172" s="85" t="s">
        <v>5273</v>
      </c>
      <c r="I172" s="85" t="s">
        <v>4106</v>
      </c>
      <c r="J172" s="86" t="s">
        <v>4106</v>
      </c>
      <c r="K172" s="85" t="s">
        <v>90</v>
      </c>
      <c r="L172" s="85" t="s">
        <v>4343</v>
      </c>
      <c r="M172" s="87">
        <v>40158</v>
      </c>
      <c r="N172" s="85" t="s">
        <v>4460</v>
      </c>
      <c r="O172" s="85" t="s">
        <v>4489</v>
      </c>
      <c r="P172" s="99">
        <v>2</v>
      </c>
      <c r="Q172" s="99">
        <v>1</v>
      </c>
      <c r="R172" s="99">
        <v>0</v>
      </c>
      <c r="S172" s="99">
        <v>0</v>
      </c>
      <c r="T172" s="88">
        <f t="shared" si="2"/>
        <v>1</v>
      </c>
      <c r="U172" s="85" t="s">
        <v>5274</v>
      </c>
      <c r="V172" s="88">
        <v>0</v>
      </c>
      <c r="W172" s="109" t="s">
        <v>5275</v>
      </c>
      <c r="X172" s="109" t="s">
        <v>4464</v>
      </c>
      <c r="Y172" s="109">
        <v>10</v>
      </c>
      <c r="Z172" s="109" t="s">
        <v>5276</v>
      </c>
      <c r="AA172" s="109" t="s">
        <v>4936</v>
      </c>
      <c r="AB172" s="109" t="s">
        <v>4511</v>
      </c>
      <c r="AC172" s="109">
        <v>40217</v>
      </c>
      <c r="AD172" s="85" t="s">
        <v>5277</v>
      </c>
      <c r="AE172" s="88" t="s">
        <v>4898</v>
      </c>
      <c r="AF172" s="88" t="s">
        <v>5278</v>
      </c>
      <c r="AG172" s="85" t="s">
        <v>5279</v>
      </c>
      <c r="AH172" s="85" t="s">
        <v>5280</v>
      </c>
      <c r="AI172" s="85" t="s">
        <v>4351</v>
      </c>
      <c r="AJ172" s="85" t="s">
        <v>5281</v>
      </c>
      <c r="AK172" s="85" t="s">
        <v>4320</v>
      </c>
      <c r="AL172" s="85" t="s">
        <v>4406</v>
      </c>
      <c r="AM172" s="85" t="s">
        <v>4338</v>
      </c>
      <c r="AN172" s="85" t="s">
        <v>4427</v>
      </c>
      <c r="AO172" s="85" t="s">
        <v>4406</v>
      </c>
      <c r="AP172" s="88">
        <v>163</v>
      </c>
      <c r="AQ172" s="88">
        <v>45</v>
      </c>
      <c r="AR172" s="85" t="s">
        <v>4517</v>
      </c>
    </row>
    <row r="173" s="66" customFormat="1" spans="2:44">
      <c r="B173" s="91" t="s">
        <v>4642</v>
      </c>
      <c r="C173" s="92">
        <v>170</v>
      </c>
      <c r="D173" s="93">
        <v>252610542</v>
      </c>
      <c r="E173" s="115">
        <v>3103985470</v>
      </c>
      <c r="F173" s="95" t="s">
        <v>1037</v>
      </c>
      <c r="G173" s="96" t="s">
        <v>1037</v>
      </c>
      <c r="H173" s="97"/>
      <c r="I173" s="96">
        <v>3103985470</v>
      </c>
      <c r="J173" s="96">
        <v>3103985470</v>
      </c>
      <c r="K173" s="97"/>
      <c r="L173" s="97"/>
      <c r="M173" s="98"/>
      <c r="N173" s="97"/>
      <c r="O173" s="97"/>
      <c r="P173" s="88"/>
      <c r="Q173" s="96"/>
      <c r="R173" s="96"/>
      <c r="S173" s="96"/>
      <c r="T173" s="88">
        <f t="shared" si="2"/>
        <v>0</v>
      </c>
      <c r="U173" s="97"/>
      <c r="V173" s="100"/>
      <c r="W173" s="101"/>
      <c r="X173" s="101"/>
      <c r="Y173" s="101"/>
      <c r="Z173" s="101"/>
      <c r="AA173" s="101"/>
      <c r="AB173" s="101"/>
      <c r="AC173" s="101"/>
      <c r="AD173" s="97"/>
      <c r="AE173" s="100"/>
      <c r="AF173" s="100"/>
      <c r="AG173" s="97"/>
      <c r="AH173" s="97"/>
      <c r="AI173" s="97"/>
      <c r="AJ173" s="97"/>
      <c r="AK173" s="97"/>
      <c r="AL173" s="97"/>
      <c r="AM173" s="97"/>
      <c r="AN173" s="97"/>
      <c r="AO173" s="97"/>
      <c r="AP173" s="100"/>
      <c r="AQ173" s="100"/>
      <c r="AR173" s="97"/>
    </row>
    <row r="174" spans="2:44">
      <c r="B174" s="69" t="s">
        <v>4325</v>
      </c>
      <c r="C174" s="81">
        <v>171</v>
      </c>
      <c r="D174" s="82">
        <v>252610017</v>
      </c>
      <c r="E174" s="102" t="s">
        <v>1317</v>
      </c>
      <c r="F174" s="103" t="s">
        <v>1318</v>
      </c>
      <c r="G174" s="85" t="s">
        <v>5282</v>
      </c>
      <c r="H174" s="85" t="s">
        <v>5283</v>
      </c>
      <c r="I174" s="85" t="s">
        <v>1317</v>
      </c>
      <c r="J174" s="86" t="s">
        <v>1317</v>
      </c>
      <c r="K174" s="85" t="s">
        <v>90</v>
      </c>
      <c r="L174" s="85" t="s">
        <v>4327</v>
      </c>
      <c r="M174" s="87">
        <v>40201</v>
      </c>
      <c r="N174" s="85" t="s">
        <v>4541</v>
      </c>
      <c r="O174" s="85" t="s">
        <v>4308</v>
      </c>
      <c r="P174" s="99">
        <v>3</v>
      </c>
      <c r="Q174" s="99">
        <v>2</v>
      </c>
      <c r="R174" s="99">
        <v>0</v>
      </c>
      <c r="S174" s="99">
        <v>0</v>
      </c>
      <c r="T174" s="88">
        <f t="shared" si="2"/>
        <v>2</v>
      </c>
      <c r="U174" s="85" t="s">
        <v>4308</v>
      </c>
      <c r="V174" s="88" t="s">
        <v>4595</v>
      </c>
      <c r="W174" s="109" t="s">
        <v>5284</v>
      </c>
      <c r="X174" s="109" t="s">
        <v>4360</v>
      </c>
      <c r="Y174" s="109" t="s">
        <v>4361</v>
      </c>
      <c r="Z174" s="109" t="s">
        <v>5285</v>
      </c>
      <c r="AA174" s="109" t="s">
        <v>5260</v>
      </c>
      <c r="AB174" s="109" t="s">
        <v>4562</v>
      </c>
      <c r="AC174" s="109">
        <v>40213</v>
      </c>
      <c r="AD174" s="85" t="s">
        <v>5286</v>
      </c>
      <c r="AE174" s="88" t="s">
        <v>4422</v>
      </c>
      <c r="AF174" s="88" t="s">
        <v>5035</v>
      </c>
      <c r="AG174" s="85" t="s">
        <v>5287</v>
      </c>
      <c r="AH174" s="85" t="s">
        <v>5288</v>
      </c>
      <c r="AI174" s="85" t="s">
        <v>4384</v>
      </c>
      <c r="AJ174" s="85" t="s">
        <v>4683</v>
      </c>
      <c r="AK174" s="85" t="s">
        <v>4553</v>
      </c>
      <c r="AL174" s="85" t="s">
        <v>5289</v>
      </c>
      <c r="AM174" s="85" t="s">
        <v>4372</v>
      </c>
      <c r="AN174" s="85" t="s">
        <v>5290</v>
      </c>
      <c r="AO174" s="85" t="s">
        <v>5291</v>
      </c>
      <c r="AP174" s="88">
        <v>148</v>
      </c>
      <c r="AQ174" s="88">
        <v>42</v>
      </c>
      <c r="AR174" s="85" t="s">
        <v>4538</v>
      </c>
    </row>
    <row r="175" spans="2:44">
      <c r="B175" s="69" t="s">
        <v>4642</v>
      </c>
      <c r="C175" s="81">
        <v>172</v>
      </c>
      <c r="D175" s="82">
        <v>252610543</v>
      </c>
      <c r="E175" s="83" t="s">
        <v>1038</v>
      </c>
      <c r="F175" s="84" t="s">
        <v>1039</v>
      </c>
      <c r="G175" s="104" t="s">
        <v>1039</v>
      </c>
      <c r="H175" s="104" t="s">
        <v>5292</v>
      </c>
      <c r="I175" s="104" t="s">
        <v>1038</v>
      </c>
      <c r="J175" s="86" t="s">
        <v>1038</v>
      </c>
      <c r="K175" s="104" t="s">
        <v>89</v>
      </c>
      <c r="L175" s="104" t="s">
        <v>4557</v>
      </c>
      <c r="M175" s="105">
        <v>40211</v>
      </c>
      <c r="N175" s="104" t="s">
        <v>4307</v>
      </c>
      <c r="O175" s="104" t="s">
        <v>4344</v>
      </c>
      <c r="P175" s="88">
        <v>1</v>
      </c>
      <c r="Q175" s="88">
        <v>0</v>
      </c>
      <c r="R175" s="88">
        <v>0</v>
      </c>
      <c r="S175" s="88">
        <v>0</v>
      </c>
      <c r="T175" s="88">
        <f t="shared" si="2"/>
        <v>0</v>
      </c>
      <c r="U175" s="104" t="s">
        <v>5293</v>
      </c>
      <c r="V175" s="99" t="s">
        <v>4595</v>
      </c>
      <c r="W175" s="108" t="s">
        <v>5294</v>
      </c>
      <c r="X175" s="108">
        <v>1</v>
      </c>
      <c r="Y175" s="108" t="s">
        <v>4793</v>
      </c>
      <c r="Z175" s="108" t="s">
        <v>4406</v>
      </c>
      <c r="AA175" s="108" t="s">
        <v>5295</v>
      </c>
      <c r="AB175" s="108" t="s">
        <v>5156</v>
      </c>
      <c r="AC175" s="108">
        <v>40174</v>
      </c>
      <c r="AD175" s="104" t="s">
        <v>5296</v>
      </c>
      <c r="AE175" s="99" t="s">
        <v>5297</v>
      </c>
      <c r="AF175" s="99" t="s">
        <v>5298</v>
      </c>
      <c r="AG175" s="104" t="s">
        <v>5299</v>
      </c>
      <c r="AH175" s="104" t="s">
        <v>5300</v>
      </c>
      <c r="AI175" s="104" t="s">
        <v>4406</v>
      </c>
      <c r="AJ175" s="104" t="s">
        <v>4318</v>
      </c>
      <c r="AK175" s="104" t="s">
        <v>4338</v>
      </c>
      <c r="AL175" s="104" t="s">
        <v>4406</v>
      </c>
      <c r="AM175" s="104" t="s">
        <v>4553</v>
      </c>
      <c r="AN175" s="104" t="s">
        <v>5301</v>
      </c>
      <c r="AO175" s="106"/>
      <c r="AP175" s="99">
        <v>161</v>
      </c>
      <c r="AQ175" s="99">
        <v>91</v>
      </c>
      <c r="AR175" s="104" t="s">
        <v>4322</v>
      </c>
    </row>
    <row r="176" s="66" customFormat="1" spans="2:44">
      <c r="B176" s="91" t="s">
        <v>4674</v>
      </c>
      <c r="C176" s="92">
        <v>173</v>
      </c>
      <c r="D176" s="93">
        <v>252610398</v>
      </c>
      <c r="E176" s="115" t="s">
        <v>1231</v>
      </c>
      <c r="F176" s="95" t="s">
        <v>1232</v>
      </c>
      <c r="G176" s="96" t="s">
        <v>4107</v>
      </c>
      <c r="H176" s="97"/>
      <c r="I176" s="96" t="s">
        <v>1231</v>
      </c>
      <c r="J176" s="96" t="s">
        <v>1231</v>
      </c>
      <c r="K176" s="97"/>
      <c r="L176" s="97"/>
      <c r="M176" s="98"/>
      <c r="N176" s="97"/>
      <c r="O176" s="97"/>
      <c r="P176" s="99"/>
      <c r="Q176" s="96"/>
      <c r="R176" s="96"/>
      <c r="S176" s="96"/>
      <c r="T176" s="88">
        <f t="shared" si="2"/>
        <v>0</v>
      </c>
      <c r="U176" s="97"/>
      <c r="V176" s="100"/>
      <c r="W176" s="101"/>
      <c r="X176" s="101"/>
      <c r="Y176" s="101"/>
      <c r="Z176" s="101"/>
      <c r="AA176" s="101"/>
      <c r="AB176" s="101"/>
      <c r="AC176" s="101"/>
      <c r="AD176" s="97"/>
      <c r="AE176" s="100"/>
      <c r="AF176" s="100"/>
      <c r="AG176" s="97"/>
      <c r="AH176" s="97"/>
      <c r="AI176" s="97"/>
      <c r="AJ176" s="97"/>
      <c r="AK176" s="97"/>
      <c r="AL176" s="97"/>
      <c r="AM176" s="97"/>
      <c r="AN176" s="97"/>
      <c r="AO176" s="97"/>
      <c r="AP176" s="100"/>
      <c r="AQ176" s="100"/>
      <c r="AR176" s="97"/>
    </row>
    <row r="177" s="66" customFormat="1" spans="2:44">
      <c r="B177" s="91" t="s">
        <v>4354</v>
      </c>
      <c r="C177" s="92">
        <v>174</v>
      </c>
      <c r="D177" s="93">
        <v>252610062</v>
      </c>
      <c r="E177" s="94" t="s">
        <v>1800</v>
      </c>
      <c r="F177" s="95" t="s">
        <v>1801</v>
      </c>
      <c r="G177" s="96" t="s">
        <v>1801</v>
      </c>
      <c r="H177" s="97"/>
      <c r="I177" s="96" t="s">
        <v>1800</v>
      </c>
      <c r="J177" s="96" t="s">
        <v>1800</v>
      </c>
      <c r="K177" s="97"/>
      <c r="L177" s="97"/>
      <c r="M177" s="98"/>
      <c r="N177" s="97"/>
      <c r="O177" s="97"/>
      <c r="P177" s="88"/>
      <c r="Q177" s="96"/>
      <c r="R177" s="96"/>
      <c r="S177" s="96"/>
      <c r="T177" s="88">
        <f t="shared" si="2"/>
        <v>0</v>
      </c>
      <c r="U177" s="97"/>
      <c r="V177" s="100"/>
      <c r="W177" s="101"/>
      <c r="X177" s="101"/>
      <c r="Y177" s="101"/>
      <c r="Z177" s="101"/>
      <c r="AA177" s="101"/>
      <c r="AB177" s="101"/>
      <c r="AC177" s="101"/>
      <c r="AD177" s="97"/>
      <c r="AE177" s="100"/>
      <c r="AF177" s="100"/>
      <c r="AG177" s="97"/>
      <c r="AH177" s="97"/>
      <c r="AI177" s="97"/>
      <c r="AJ177" s="97"/>
      <c r="AK177" s="97"/>
      <c r="AL177" s="97"/>
      <c r="AM177" s="97"/>
      <c r="AN177" s="97"/>
      <c r="AO177" s="97"/>
      <c r="AP177" s="100"/>
      <c r="AQ177" s="100"/>
      <c r="AR177" s="97"/>
    </row>
    <row r="178" spans="2:44">
      <c r="B178" s="69" t="s">
        <v>4354</v>
      </c>
      <c r="C178" s="81">
        <v>175</v>
      </c>
      <c r="D178" s="82">
        <v>252610063</v>
      </c>
      <c r="E178" s="116" t="s">
        <v>933</v>
      </c>
      <c r="F178" s="84" t="s">
        <v>934</v>
      </c>
      <c r="G178" s="85" t="s">
        <v>934</v>
      </c>
      <c r="H178" s="85" t="s">
        <v>5302</v>
      </c>
      <c r="I178" s="85" t="s">
        <v>933</v>
      </c>
      <c r="J178" s="86" t="s">
        <v>933</v>
      </c>
      <c r="K178" s="85" t="s">
        <v>90</v>
      </c>
      <c r="L178" s="85" t="s">
        <v>4357</v>
      </c>
      <c r="M178" s="87">
        <v>39920</v>
      </c>
      <c r="N178" s="85" t="s">
        <v>5303</v>
      </c>
      <c r="O178" s="85" t="s">
        <v>4344</v>
      </c>
      <c r="P178" s="99">
        <v>4</v>
      </c>
      <c r="Q178" s="99">
        <v>5</v>
      </c>
      <c r="R178" s="99">
        <v>0</v>
      </c>
      <c r="S178" s="99">
        <v>0</v>
      </c>
      <c r="T178" s="88">
        <f t="shared" si="2"/>
        <v>5</v>
      </c>
      <c r="U178" s="85" t="s">
        <v>4344</v>
      </c>
      <c r="V178" s="88">
        <v>0</v>
      </c>
      <c r="W178" s="109" t="s">
        <v>5304</v>
      </c>
      <c r="X178" s="109" t="s">
        <v>4391</v>
      </c>
      <c r="Y178" s="109" t="s">
        <v>4431</v>
      </c>
      <c r="Z178" s="109" t="s">
        <v>5305</v>
      </c>
      <c r="AA178" s="109" t="s">
        <v>4363</v>
      </c>
      <c r="AB178" s="109" t="s">
        <v>4479</v>
      </c>
      <c r="AC178" s="109">
        <v>40534</v>
      </c>
      <c r="AD178" s="85" t="s">
        <v>5306</v>
      </c>
      <c r="AE178" s="88" t="s">
        <v>4380</v>
      </c>
      <c r="AF178" s="88" t="s">
        <v>4502</v>
      </c>
      <c r="AG178" s="85" t="s">
        <v>5307</v>
      </c>
      <c r="AH178" s="85" t="s">
        <v>5308</v>
      </c>
      <c r="AI178" s="85" t="s">
        <v>5168</v>
      </c>
      <c r="AJ178" s="85" t="s">
        <v>5168</v>
      </c>
      <c r="AK178" s="85" t="s">
        <v>4320</v>
      </c>
      <c r="AL178" s="90"/>
      <c r="AM178" s="85" t="s">
        <v>4320</v>
      </c>
      <c r="AN178" s="85" t="s">
        <v>3124</v>
      </c>
      <c r="AO178" s="90"/>
      <c r="AP178" s="88">
        <v>152</v>
      </c>
      <c r="AQ178" s="88">
        <v>42</v>
      </c>
      <c r="AR178" s="85" t="s">
        <v>4322</v>
      </c>
    </row>
    <row r="179" spans="2:44">
      <c r="B179" s="69" t="s">
        <v>4323</v>
      </c>
      <c r="C179" s="81">
        <v>176</v>
      </c>
      <c r="D179" s="82">
        <v>252610256</v>
      </c>
      <c r="E179" s="83" t="s">
        <v>1802</v>
      </c>
      <c r="F179" s="84" t="s">
        <v>1803</v>
      </c>
      <c r="G179" s="104" t="s">
        <v>4108</v>
      </c>
      <c r="H179" s="104" t="s">
        <v>5309</v>
      </c>
      <c r="I179" s="104" t="s">
        <v>1802</v>
      </c>
      <c r="J179" s="86" t="s">
        <v>1802</v>
      </c>
      <c r="K179" s="104" t="s">
        <v>89</v>
      </c>
      <c r="L179" s="104" t="s">
        <v>4327</v>
      </c>
      <c r="M179" s="105">
        <v>39959</v>
      </c>
      <c r="N179" s="104" t="s">
        <v>4460</v>
      </c>
      <c r="O179" s="104" t="s">
        <v>4344</v>
      </c>
      <c r="P179" s="88">
        <v>2</v>
      </c>
      <c r="Q179" s="88">
        <v>2</v>
      </c>
      <c r="R179" s="88">
        <v>0</v>
      </c>
      <c r="S179" s="88">
        <v>0</v>
      </c>
      <c r="T179" s="88">
        <f t="shared" si="2"/>
        <v>2</v>
      </c>
      <c r="U179" s="104" t="s">
        <v>4712</v>
      </c>
      <c r="V179" s="99" t="s">
        <v>4358</v>
      </c>
      <c r="W179" s="108" t="s">
        <v>5310</v>
      </c>
      <c r="X179" s="108" t="s">
        <v>4492</v>
      </c>
      <c r="Y179" s="108" t="s">
        <v>4376</v>
      </c>
      <c r="Z179" s="108" t="s">
        <v>5311</v>
      </c>
      <c r="AA179" s="108" t="s">
        <v>4634</v>
      </c>
      <c r="AB179" s="108" t="s">
        <v>4988</v>
      </c>
      <c r="AC179" s="108">
        <v>40534</v>
      </c>
      <c r="AD179" s="104" t="s">
        <v>5312</v>
      </c>
      <c r="AE179" s="99" t="s">
        <v>4422</v>
      </c>
      <c r="AF179" s="99" t="s">
        <v>4750</v>
      </c>
      <c r="AG179" s="104" t="s">
        <v>5313</v>
      </c>
      <c r="AH179" s="104" t="s">
        <v>5314</v>
      </c>
      <c r="AI179" s="104" t="s">
        <v>4384</v>
      </c>
      <c r="AJ179" s="104" t="s">
        <v>4384</v>
      </c>
      <c r="AK179" s="104" t="s">
        <v>4337</v>
      </c>
      <c r="AL179" s="106"/>
      <c r="AM179" s="104" t="s">
        <v>4372</v>
      </c>
      <c r="AN179" s="104" t="s">
        <v>3124</v>
      </c>
      <c r="AO179" s="106"/>
      <c r="AP179" s="99">
        <v>170</v>
      </c>
      <c r="AQ179" s="99">
        <v>50</v>
      </c>
      <c r="AR179" s="104" t="s">
        <v>4428</v>
      </c>
    </row>
    <row r="180" spans="2:44">
      <c r="B180" s="69" t="s">
        <v>4325</v>
      </c>
      <c r="C180" s="81">
        <v>177</v>
      </c>
      <c r="D180" s="82">
        <v>252610018</v>
      </c>
      <c r="E180" s="102" t="s">
        <v>1903</v>
      </c>
      <c r="F180" s="103" t="s">
        <v>1904</v>
      </c>
      <c r="G180" s="85" t="s">
        <v>1904</v>
      </c>
      <c r="H180" s="85" t="s">
        <v>5315</v>
      </c>
      <c r="I180" s="85" t="s">
        <v>1903</v>
      </c>
      <c r="J180" s="86" t="s">
        <v>1903</v>
      </c>
      <c r="K180" s="85" t="s">
        <v>89</v>
      </c>
      <c r="L180" s="85" t="s">
        <v>4557</v>
      </c>
      <c r="M180" s="87">
        <v>39917</v>
      </c>
      <c r="N180" s="85" t="s">
        <v>4307</v>
      </c>
      <c r="O180" s="85" t="s">
        <v>4344</v>
      </c>
      <c r="P180" s="99">
        <v>6</v>
      </c>
      <c r="Q180" s="99">
        <v>5</v>
      </c>
      <c r="R180" s="99">
        <v>2</v>
      </c>
      <c r="S180" s="99">
        <v>0</v>
      </c>
      <c r="T180" s="88">
        <f t="shared" si="2"/>
        <v>7</v>
      </c>
      <c r="U180" s="85" t="s">
        <v>4344</v>
      </c>
      <c r="V180" s="88">
        <v>0</v>
      </c>
      <c r="W180" s="109" t="s">
        <v>5316</v>
      </c>
      <c r="X180" s="109" t="s">
        <v>4793</v>
      </c>
      <c r="Y180" s="109">
        <v>16</v>
      </c>
      <c r="Z180" s="109" t="s">
        <v>4634</v>
      </c>
      <c r="AA180" s="109" t="s">
        <v>4634</v>
      </c>
      <c r="AB180" s="109" t="s">
        <v>4988</v>
      </c>
      <c r="AC180" s="109">
        <v>40534</v>
      </c>
      <c r="AD180" s="85" t="s">
        <v>5317</v>
      </c>
      <c r="AE180" s="88" t="s">
        <v>4990</v>
      </c>
      <c r="AF180" s="88" t="s">
        <v>4750</v>
      </c>
      <c r="AG180" s="85" t="s">
        <v>5318</v>
      </c>
      <c r="AH180" s="85" t="s">
        <v>5319</v>
      </c>
      <c r="AI180" s="85" t="s">
        <v>5125</v>
      </c>
      <c r="AJ180" s="85" t="s">
        <v>4473</v>
      </c>
      <c r="AK180" s="85" t="s">
        <v>4338</v>
      </c>
      <c r="AL180" s="85" t="s">
        <v>5320</v>
      </c>
      <c r="AM180" s="85" t="s">
        <v>4338</v>
      </c>
      <c r="AN180" s="85" t="s">
        <v>4846</v>
      </c>
      <c r="AO180" s="85" t="s">
        <v>4555</v>
      </c>
      <c r="AP180" s="88">
        <v>169</v>
      </c>
      <c r="AQ180" s="88">
        <v>46</v>
      </c>
      <c r="AR180" s="85" t="s">
        <v>4322</v>
      </c>
    </row>
    <row r="181" spans="2:44">
      <c r="B181" s="69" t="s">
        <v>4324</v>
      </c>
      <c r="C181" s="81">
        <v>178</v>
      </c>
      <c r="D181" s="82">
        <v>252610111</v>
      </c>
      <c r="E181" s="83" t="s">
        <v>1130</v>
      </c>
      <c r="F181" s="84" t="s">
        <v>1131</v>
      </c>
      <c r="G181" s="104" t="s">
        <v>1131</v>
      </c>
      <c r="H181" s="104" t="s">
        <v>5321</v>
      </c>
      <c r="I181" s="104" t="s">
        <v>1130</v>
      </c>
      <c r="J181" s="86" t="s">
        <v>1130</v>
      </c>
      <c r="K181" s="104" t="s">
        <v>90</v>
      </c>
      <c r="L181" s="104" t="s">
        <v>4357</v>
      </c>
      <c r="M181" s="105">
        <v>40168</v>
      </c>
      <c r="N181" s="104" t="s">
        <v>4328</v>
      </c>
      <c r="O181" s="104" t="s">
        <v>4489</v>
      </c>
      <c r="P181" s="88">
        <v>3</v>
      </c>
      <c r="Q181" s="88">
        <v>2</v>
      </c>
      <c r="R181" s="88">
        <v>0</v>
      </c>
      <c r="S181" s="88">
        <v>0</v>
      </c>
      <c r="T181" s="88">
        <f t="shared" si="2"/>
        <v>2</v>
      </c>
      <c r="U181" s="104" t="s">
        <v>4489</v>
      </c>
      <c r="V181" s="99" t="s">
        <v>4358</v>
      </c>
      <c r="W181" s="108" t="s">
        <v>5322</v>
      </c>
      <c r="X181" s="108" t="s">
        <v>4431</v>
      </c>
      <c r="Y181" s="108" t="s">
        <v>5323</v>
      </c>
      <c r="Z181" s="108" t="s">
        <v>4645</v>
      </c>
      <c r="AA181" s="108" t="s">
        <v>4645</v>
      </c>
      <c r="AB181" s="108" t="s">
        <v>4420</v>
      </c>
      <c r="AC181" s="108">
        <v>40216</v>
      </c>
      <c r="AD181" s="104" t="s">
        <v>5324</v>
      </c>
      <c r="AE181" s="99" t="s">
        <v>4410</v>
      </c>
      <c r="AF181" s="99" t="s">
        <v>5325</v>
      </c>
      <c r="AG181" s="104" t="s">
        <v>5326</v>
      </c>
      <c r="AH181" s="104" t="s">
        <v>5327</v>
      </c>
      <c r="AI181" s="104" t="s">
        <v>5328</v>
      </c>
      <c r="AJ181" s="104" t="s">
        <v>4318</v>
      </c>
      <c r="AK181" s="104" t="s">
        <v>4651</v>
      </c>
      <c r="AL181" s="106"/>
      <c r="AM181" s="104" t="s">
        <v>4372</v>
      </c>
      <c r="AN181" s="104" t="s">
        <v>3421</v>
      </c>
      <c r="AO181" s="106"/>
      <c r="AP181" s="99">
        <v>161</v>
      </c>
      <c r="AQ181" s="99">
        <v>58</v>
      </c>
      <c r="AR181" s="104" t="s">
        <v>4443</v>
      </c>
    </row>
    <row r="182" spans="2:44">
      <c r="B182" s="69" t="s">
        <v>4373</v>
      </c>
      <c r="C182" s="81">
        <v>179</v>
      </c>
      <c r="D182" s="82">
        <v>252610494</v>
      </c>
      <c r="E182" s="116" t="s">
        <v>1706</v>
      </c>
      <c r="F182" s="84" t="s">
        <v>1707</v>
      </c>
      <c r="G182" s="85" t="s">
        <v>1707</v>
      </c>
      <c r="H182" s="85" t="s">
        <v>5329</v>
      </c>
      <c r="I182" s="85" t="s">
        <v>1706</v>
      </c>
      <c r="J182" s="86" t="s">
        <v>1706</v>
      </c>
      <c r="K182" s="85" t="s">
        <v>89</v>
      </c>
      <c r="L182" s="85" t="s">
        <v>4327</v>
      </c>
      <c r="M182" s="87">
        <v>40055</v>
      </c>
      <c r="N182" s="85" t="s">
        <v>4541</v>
      </c>
      <c r="O182" s="85" t="s">
        <v>4308</v>
      </c>
      <c r="P182" s="99">
        <v>3</v>
      </c>
      <c r="Q182" s="99">
        <v>3</v>
      </c>
      <c r="R182" s="99">
        <v>0</v>
      </c>
      <c r="S182" s="99">
        <v>0</v>
      </c>
      <c r="T182" s="88">
        <f t="shared" si="2"/>
        <v>3</v>
      </c>
      <c r="U182" s="85" t="s">
        <v>4675</v>
      </c>
      <c r="V182" s="88">
        <v>0</v>
      </c>
      <c r="W182" s="109" t="s">
        <v>5330</v>
      </c>
      <c r="X182" s="109" t="s">
        <v>4360</v>
      </c>
      <c r="Y182" s="109" t="s">
        <v>4376</v>
      </c>
      <c r="Z182" s="109" t="s">
        <v>5331</v>
      </c>
      <c r="AA182" s="109" t="s">
        <v>5332</v>
      </c>
      <c r="AB182" s="109" t="s">
        <v>4562</v>
      </c>
      <c r="AC182" s="109">
        <v>40212</v>
      </c>
      <c r="AD182" s="85" t="s">
        <v>5333</v>
      </c>
      <c r="AE182" s="88" t="s">
        <v>4481</v>
      </c>
      <c r="AF182" s="88" t="s">
        <v>5035</v>
      </c>
      <c r="AG182" s="85" t="s">
        <v>60</v>
      </c>
      <c r="AH182" s="85" t="s">
        <v>5334</v>
      </c>
      <c r="AI182" s="85" t="s">
        <v>60</v>
      </c>
      <c r="AJ182" s="85" t="s">
        <v>5335</v>
      </c>
      <c r="AK182" s="85" t="s">
        <v>4338</v>
      </c>
      <c r="AL182" s="90"/>
      <c r="AM182" s="85" t="s">
        <v>4337</v>
      </c>
      <c r="AN182" s="85" t="s">
        <v>5336</v>
      </c>
      <c r="AO182" s="90"/>
      <c r="AP182" s="88">
        <v>165</v>
      </c>
      <c r="AQ182" s="88">
        <v>58</v>
      </c>
      <c r="AR182" s="85" t="s">
        <v>4340</v>
      </c>
    </row>
    <row r="183" s="66" customFormat="1" spans="2:44">
      <c r="B183" s="91" t="s">
        <v>4642</v>
      </c>
      <c r="C183" s="92">
        <v>180</v>
      </c>
      <c r="D183" s="93">
        <v>252610544</v>
      </c>
      <c r="E183" s="94" t="s">
        <v>4110</v>
      </c>
      <c r="F183" s="95" t="s">
        <v>4109</v>
      </c>
      <c r="G183" s="96" t="s">
        <v>4109</v>
      </c>
      <c r="H183" s="97"/>
      <c r="I183" s="96" t="s">
        <v>4110</v>
      </c>
      <c r="J183" s="96" t="s">
        <v>4110</v>
      </c>
      <c r="K183" s="97"/>
      <c r="L183" s="97"/>
      <c r="M183" s="98"/>
      <c r="N183" s="97"/>
      <c r="O183" s="97"/>
      <c r="P183" s="88"/>
      <c r="Q183" s="96"/>
      <c r="R183" s="96"/>
      <c r="S183" s="96"/>
      <c r="T183" s="88">
        <f t="shared" si="2"/>
        <v>0</v>
      </c>
      <c r="U183" s="97"/>
      <c r="V183" s="100"/>
      <c r="W183" s="101"/>
      <c r="X183" s="101"/>
      <c r="Y183" s="101"/>
      <c r="Z183" s="101"/>
      <c r="AA183" s="101"/>
      <c r="AB183" s="101"/>
      <c r="AC183" s="101"/>
      <c r="AD183" s="97"/>
      <c r="AE183" s="100"/>
      <c r="AF183" s="100"/>
      <c r="AG183" s="97"/>
      <c r="AH183" s="97"/>
      <c r="AI183" s="97"/>
      <c r="AJ183" s="97"/>
      <c r="AK183" s="97"/>
      <c r="AL183" s="97"/>
      <c r="AM183" s="97"/>
      <c r="AN183" s="97"/>
      <c r="AO183" s="97"/>
      <c r="AP183" s="100"/>
      <c r="AQ183" s="100"/>
      <c r="AR183" s="97"/>
    </row>
    <row r="184" spans="2:44">
      <c r="B184" s="69" t="s">
        <v>4325</v>
      </c>
      <c r="C184" s="81">
        <v>181</v>
      </c>
      <c r="D184" s="82">
        <v>252610019</v>
      </c>
      <c r="E184" s="102" t="s">
        <v>1610</v>
      </c>
      <c r="F184" s="103" t="s">
        <v>1611</v>
      </c>
      <c r="G184" s="85" t="s">
        <v>1611</v>
      </c>
      <c r="H184" s="85" t="s">
        <v>5337</v>
      </c>
      <c r="I184" s="85" t="s">
        <v>1610</v>
      </c>
      <c r="J184" s="86" t="s">
        <v>1610</v>
      </c>
      <c r="K184" s="85" t="s">
        <v>89</v>
      </c>
      <c r="L184" s="85" t="s">
        <v>4343</v>
      </c>
      <c r="M184" s="87">
        <v>40213</v>
      </c>
      <c r="N184" s="85" t="s">
        <v>4328</v>
      </c>
      <c r="O184" s="85" t="s">
        <v>4344</v>
      </c>
      <c r="P184" s="99">
        <v>2</v>
      </c>
      <c r="Q184" s="99">
        <v>2</v>
      </c>
      <c r="R184" s="99">
        <v>0</v>
      </c>
      <c r="S184" s="99">
        <v>0</v>
      </c>
      <c r="T184" s="88">
        <f t="shared" si="2"/>
        <v>2</v>
      </c>
      <c r="U184" s="85" t="s">
        <v>4389</v>
      </c>
      <c r="V184" s="88" t="s">
        <v>4358</v>
      </c>
      <c r="W184" s="109" t="s">
        <v>5338</v>
      </c>
      <c r="X184" s="109" t="s">
        <v>4793</v>
      </c>
      <c r="Y184" s="109">
        <v>12</v>
      </c>
      <c r="Z184" s="109" t="s">
        <v>4494</v>
      </c>
      <c r="AA184" s="109" t="s">
        <v>4494</v>
      </c>
      <c r="AB184" s="109" t="s">
        <v>4451</v>
      </c>
      <c r="AC184" s="109">
        <v>40534</v>
      </c>
      <c r="AD184" s="85" t="s">
        <v>5339</v>
      </c>
      <c r="AE184" s="88" t="s">
        <v>4422</v>
      </c>
      <c r="AF184" s="113">
        <v>483</v>
      </c>
      <c r="AG184" s="85" t="s">
        <v>5340</v>
      </c>
      <c r="AH184" s="85" t="s">
        <v>5341</v>
      </c>
      <c r="AI184" s="85" t="s">
        <v>4318</v>
      </c>
      <c r="AJ184" s="85" t="s">
        <v>4318</v>
      </c>
      <c r="AK184" s="85" t="s">
        <v>4319</v>
      </c>
      <c r="AL184" s="90"/>
      <c r="AM184" s="85" t="s">
        <v>4372</v>
      </c>
      <c r="AN184" s="85" t="s">
        <v>4846</v>
      </c>
      <c r="AO184" s="90"/>
      <c r="AP184" s="88">
        <v>171</v>
      </c>
      <c r="AQ184" s="88">
        <v>50</v>
      </c>
      <c r="AR184" s="85" t="s">
        <v>4415</v>
      </c>
    </row>
    <row r="185" spans="2:44">
      <c r="B185" s="69" t="s">
        <v>4354</v>
      </c>
      <c r="C185" s="81">
        <v>182</v>
      </c>
      <c r="D185" s="82">
        <v>252610064</v>
      </c>
      <c r="E185" s="83" t="s">
        <v>1708</v>
      </c>
      <c r="F185" s="84" t="s">
        <v>1709</v>
      </c>
      <c r="G185" s="104" t="s">
        <v>1709</v>
      </c>
      <c r="H185" s="104" t="s">
        <v>5342</v>
      </c>
      <c r="I185" s="104" t="s">
        <v>1708</v>
      </c>
      <c r="J185" s="86" t="s">
        <v>1708</v>
      </c>
      <c r="K185" s="104" t="s">
        <v>89</v>
      </c>
      <c r="L185" s="104" t="s">
        <v>4557</v>
      </c>
      <c r="M185" s="105">
        <v>40407</v>
      </c>
      <c r="N185" s="104" t="s">
        <v>4460</v>
      </c>
      <c r="O185" s="104" t="s">
        <v>4489</v>
      </c>
      <c r="P185" s="88">
        <v>3</v>
      </c>
      <c r="Q185" s="88">
        <v>2</v>
      </c>
      <c r="R185" s="88">
        <v>0</v>
      </c>
      <c r="S185" s="88">
        <v>0</v>
      </c>
      <c r="T185" s="88">
        <f t="shared" si="2"/>
        <v>2</v>
      </c>
      <c r="U185" s="104" t="s">
        <v>4462</v>
      </c>
      <c r="V185" s="99">
        <v>0</v>
      </c>
      <c r="W185" s="108" t="s">
        <v>5343</v>
      </c>
      <c r="X185" s="108" t="s">
        <v>5344</v>
      </c>
      <c r="Y185" s="108">
        <v>10</v>
      </c>
      <c r="Z185" s="114"/>
      <c r="AA185" s="108" t="s">
        <v>4634</v>
      </c>
      <c r="AB185" s="108" t="s">
        <v>4451</v>
      </c>
      <c r="AC185" s="108">
        <v>40534</v>
      </c>
      <c r="AD185" s="104" t="s">
        <v>5345</v>
      </c>
      <c r="AE185" s="99" t="s">
        <v>4990</v>
      </c>
      <c r="AF185" s="99" t="s">
        <v>4411</v>
      </c>
      <c r="AG185" s="104" t="s">
        <v>5346</v>
      </c>
      <c r="AH185" s="104" t="s">
        <v>5347</v>
      </c>
      <c r="AI185" s="104" t="s">
        <v>5168</v>
      </c>
      <c r="AJ185" s="104" t="s">
        <v>4318</v>
      </c>
      <c r="AK185" s="104" t="s">
        <v>4553</v>
      </c>
      <c r="AL185" s="106"/>
      <c r="AM185" s="104" t="s">
        <v>4372</v>
      </c>
      <c r="AN185" s="104" t="s">
        <v>3124</v>
      </c>
      <c r="AO185" s="106"/>
      <c r="AP185" s="99">
        <v>169</v>
      </c>
      <c r="AQ185" s="99">
        <v>49</v>
      </c>
      <c r="AR185" s="104" t="s">
        <v>4415</v>
      </c>
    </row>
    <row r="186" s="66" customFormat="1" spans="2:44">
      <c r="B186" s="91" t="s">
        <v>4324</v>
      </c>
      <c r="C186" s="92">
        <v>183</v>
      </c>
      <c r="D186" s="93">
        <v>252610112</v>
      </c>
      <c r="E186" s="94">
        <v>3104934369</v>
      </c>
      <c r="F186" s="95" t="s">
        <v>1805</v>
      </c>
      <c r="G186" s="96" t="s">
        <v>1805</v>
      </c>
      <c r="H186" s="97"/>
      <c r="I186" s="126">
        <v>3104934369</v>
      </c>
      <c r="J186" s="126">
        <v>3104934369</v>
      </c>
      <c r="K186" s="97"/>
      <c r="L186" s="97"/>
      <c r="M186" s="98"/>
      <c r="N186" s="97"/>
      <c r="O186" s="97"/>
      <c r="P186" s="99"/>
      <c r="Q186" s="96"/>
      <c r="R186" s="96"/>
      <c r="S186" s="96"/>
      <c r="T186" s="88">
        <f t="shared" si="2"/>
        <v>0</v>
      </c>
      <c r="U186" s="97"/>
      <c r="V186" s="100"/>
      <c r="W186" s="101"/>
      <c r="X186" s="101"/>
      <c r="Y186" s="101"/>
      <c r="Z186" s="101"/>
      <c r="AA186" s="101"/>
      <c r="AB186" s="101"/>
      <c r="AC186" s="101"/>
      <c r="AD186" s="97"/>
      <c r="AE186" s="100"/>
      <c r="AF186" s="100"/>
      <c r="AG186" s="97"/>
      <c r="AH186" s="97"/>
      <c r="AI186" s="97"/>
      <c r="AJ186" s="97"/>
      <c r="AK186" s="97"/>
      <c r="AL186" s="97"/>
      <c r="AM186" s="97"/>
      <c r="AN186" s="97"/>
      <c r="AO186" s="97"/>
      <c r="AP186" s="100"/>
      <c r="AQ186" s="100"/>
      <c r="AR186" s="97"/>
    </row>
    <row r="187" spans="2:44">
      <c r="B187" s="69" t="s">
        <v>4341</v>
      </c>
      <c r="C187" s="81">
        <v>184</v>
      </c>
      <c r="D187" s="82">
        <v>252610304</v>
      </c>
      <c r="E187" s="83" t="s">
        <v>1806</v>
      </c>
      <c r="F187" s="84" t="s">
        <v>1807</v>
      </c>
      <c r="G187" s="104" t="s">
        <v>4111</v>
      </c>
      <c r="H187" s="104" t="s">
        <v>5348</v>
      </c>
      <c r="I187" s="104" t="s">
        <v>1806</v>
      </c>
      <c r="J187" s="86" t="s">
        <v>1806</v>
      </c>
      <c r="K187" s="104" t="s">
        <v>89</v>
      </c>
      <c r="L187" s="104" t="s">
        <v>5349</v>
      </c>
      <c r="M187" s="105">
        <v>39988</v>
      </c>
      <c r="N187" s="104" t="s">
        <v>4460</v>
      </c>
      <c r="O187" s="104" t="s">
        <v>4344</v>
      </c>
      <c r="P187" s="88">
        <v>1</v>
      </c>
      <c r="Q187" s="88">
        <v>2</v>
      </c>
      <c r="R187" s="88">
        <v>0</v>
      </c>
      <c r="S187" s="88">
        <v>0</v>
      </c>
      <c r="T187" s="88">
        <f t="shared" si="2"/>
        <v>2</v>
      </c>
      <c r="U187" s="104" t="s">
        <v>4712</v>
      </c>
      <c r="V187" s="99">
        <v>0</v>
      </c>
      <c r="W187" s="108" t="s">
        <v>5350</v>
      </c>
      <c r="X187" s="108" t="s">
        <v>4419</v>
      </c>
      <c r="Y187" s="108">
        <v>29</v>
      </c>
      <c r="Z187" s="108" t="s">
        <v>4547</v>
      </c>
      <c r="AA187" s="108" t="s">
        <v>4547</v>
      </c>
      <c r="AB187" s="108" t="s">
        <v>4988</v>
      </c>
      <c r="AC187" s="108">
        <v>40534</v>
      </c>
      <c r="AD187" s="104" t="s">
        <v>5351</v>
      </c>
      <c r="AE187" s="99" t="s">
        <v>5352</v>
      </c>
      <c r="AF187" s="117">
        <v>1227</v>
      </c>
      <c r="AG187" s="104" t="s">
        <v>4406</v>
      </c>
      <c r="AH187" s="104" t="s">
        <v>5353</v>
      </c>
      <c r="AI187" s="104">
        <v>0</v>
      </c>
      <c r="AJ187" s="104" t="s">
        <v>4318</v>
      </c>
      <c r="AK187" s="104" t="s">
        <v>4402</v>
      </c>
      <c r="AL187" s="104" t="s">
        <v>4406</v>
      </c>
      <c r="AM187" s="104" t="s">
        <v>4372</v>
      </c>
      <c r="AN187" s="104" t="s">
        <v>3124</v>
      </c>
      <c r="AO187" s="104" t="s">
        <v>4406</v>
      </c>
      <c r="AP187" s="99">
        <v>169</v>
      </c>
      <c r="AQ187" s="99">
        <v>48</v>
      </c>
      <c r="AR187" s="104" t="s">
        <v>4428</v>
      </c>
    </row>
    <row r="188" spans="2:44">
      <c r="B188" s="69" t="s">
        <v>4354</v>
      </c>
      <c r="C188" s="81">
        <v>185</v>
      </c>
      <c r="D188" s="82">
        <v>252610065</v>
      </c>
      <c r="E188" s="116" t="s">
        <v>1405</v>
      </c>
      <c r="F188" s="84" t="s">
        <v>1406</v>
      </c>
      <c r="G188" s="85" t="s">
        <v>1406</v>
      </c>
      <c r="H188" s="85" t="s">
        <v>5354</v>
      </c>
      <c r="I188" s="85" t="s">
        <v>1405</v>
      </c>
      <c r="J188" s="86" t="s">
        <v>1405</v>
      </c>
      <c r="K188" s="85" t="s">
        <v>89</v>
      </c>
      <c r="L188" s="85" t="s">
        <v>4343</v>
      </c>
      <c r="M188" s="87">
        <v>39945</v>
      </c>
      <c r="N188" s="85" t="s">
        <v>4307</v>
      </c>
      <c r="O188" s="85" t="s">
        <v>4329</v>
      </c>
      <c r="P188" s="99">
        <v>2</v>
      </c>
      <c r="Q188" s="99">
        <v>5</v>
      </c>
      <c r="R188" s="99">
        <v>0</v>
      </c>
      <c r="S188" s="99">
        <v>0</v>
      </c>
      <c r="T188" s="88">
        <f t="shared" si="2"/>
        <v>5</v>
      </c>
      <c r="U188" s="85" t="s">
        <v>4675</v>
      </c>
      <c r="V188" s="88" t="s">
        <v>4358</v>
      </c>
      <c r="W188" s="109" t="s">
        <v>5355</v>
      </c>
      <c r="X188" s="109" t="s">
        <v>4606</v>
      </c>
      <c r="Y188" s="109" t="s">
        <v>4929</v>
      </c>
      <c r="Z188" s="109" t="s">
        <v>5356</v>
      </c>
      <c r="AA188" s="109" t="s">
        <v>5357</v>
      </c>
      <c r="AB188" s="109" t="s">
        <v>5358</v>
      </c>
      <c r="AC188" s="109">
        <v>40562</v>
      </c>
      <c r="AD188" s="85" t="s">
        <v>5359</v>
      </c>
      <c r="AE188" s="88" t="s">
        <v>5360</v>
      </c>
      <c r="AF188" s="113">
        <v>4500</v>
      </c>
      <c r="AG188" s="85" t="s">
        <v>5361</v>
      </c>
      <c r="AH188" s="85" t="s">
        <v>5362</v>
      </c>
      <c r="AI188" s="85" t="s">
        <v>4614</v>
      </c>
      <c r="AJ188" s="85" t="s">
        <v>4318</v>
      </c>
      <c r="AK188" s="85" t="s">
        <v>4441</v>
      </c>
      <c r="AL188" s="90"/>
      <c r="AM188" s="85" t="s">
        <v>4441</v>
      </c>
      <c r="AN188" s="85" t="s">
        <v>4385</v>
      </c>
      <c r="AO188" s="90"/>
      <c r="AP188" s="88">
        <v>173</v>
      </c>
      <c r="AQ188" s="88">
        <v>60</v>
      </c>
      <c r="AR188" s="85" t="s">
        <v>4322</v>
      </c>
    </row>
    <row r="189" spans="2:44">
      <c r="B189" s="69" t="s">
        <v>4304</v>
      </c>
      <c r="C189" s="81">
        <v>186</v>
      </c>
      <c r="D189" s="82">
        <v>252610447</v>
      </c>
      <c r="E189" s="83" t="s">
        <v>1040</v>
      </c>
      <c r="F189" s="84" t="s">
        <v>1041</v>
      </c>
      <c r="G189" s="104" t="s">
        <v>1041</v>
      </c>
      <c r="H189" s="104" t="s">
        <v>5363</v>
      </c>
      <c r="I189" s="104" t="s">
        <v>1040</v>
      </c>
      <c r="J189" s="86" t="s">
        <v>1040</v>
      </c>
      <c r="K189" s="104" t="s">
        <v>89</v>
      </c>
      <c r="L189" s="104" t="s">
        <v>4905</v>
      </c>
      <c r="M189" s="105">
        <v>40245</v>
      </c>
      <c r="N189" s="104" t="s">
        <v>4307</v>
      </c>
      <c r="O189" s="104" t="s">
        <v>4344</v>
      </c>
      <c r="P189" s="88">
        <v>2</v>
      </c>
      <c r="Q189" s="88">
        <v>3</v>
      </c>
      <c r="R189" s="88">
        <v>0</v>
      </c>
      <c r="S189" s="88">
        <v>0</v>
      </c>
      <c r="T189" s="88">
        <f t="shared" si="2"/>
        <v>3</v>
      </c>
      <c r="U189" s="104" t="s">
        <v>5364</v>
      </c>
      <c r="V189" s="99" t="s">
        <v>4358</v>
      </c>
      <c r="W189" s="108" t="s">
        <v>5365</v>
      </c>
      <c r="X189" s="108" t="s">
        <v>4464</v>
      </c>
      <c r="Y189" s="108">
        <v>21</v>
      </c>
      <c r="Z189" s="108" t="s">
        <v>5366</v>
      </c>
      <c r="AA189" s="108" t="s">
        <v>4363</v>
      </c>
      <c r="AB189" s="108" t="s">
        <v>4479</v>
      </c>
      <c r="AC189" s="108">
        <v>40534</v>
      </c>
      <c r="AD189" s="104" t="s">
        <v>5367</v>
      </c>
      <c r="AE189" s="99" t="s">
        <v>4422</v>
      </c>
      <c r="AF189" s="99">
        <v>1</v>
      </c>
      <c r="AG189" s="104" t="s">
        <v>5368</v>
      </c>
      <c r="AH189" s="104" t="s">
        <v>5369</v>
      </c>
      <c r="AI189" s="104" t="s">
        <v>4525</v>
      </c>
      <c r="AJ189" s="104" t="s">
        <v>4401</v>
      </c>
      <c r="AK189" s="104" t="s">
        <v>4338</v>
      </c>
      <c r="AL189" s="104" t="s">
        <v>5370</v>
      </c>
      <c r="AM189" s="104" t="s">
        <v>4338</v>
      </c>
      <c r="AN189" s="104" t="s">
        <v>5371</v>
      </c>
      <c r="AO189" s="104">
        <v>0</v>
      </c>
      <c r="AP189" s="99">
        <v>170</v>
      </c>
      <c r="AQ189" s="99">
        <v>75</v>
      </c>
      <c r="AR189" s="104" t="s">
        <v>4443</v>
      </c>
    </row>
    <row r="190" spans="2:44">
      <c r="B190" s="69" t="s">
        <v>4386</v>
      </c>
      <c r="C190" s="81">
        <v>187</v>
      </c>
      <c r="D190" s="82">
        <v>252610353</v>
      </c>
      <c r="E190" s="83" t="s">
        <v>1612</v>
      </c>
      <c r="F190" s="84" t="s">
        <v>1613</v>
      </c>
      <c r="G190" s="85" t="s">
        <v>1613</v>
      </c>
      <c r="H190" s="85" t="s">
        <v>5372</v>
      </c>
      <c r="I190" s="85" t="s">
        <v>1612</v>
      </c>
      <c r="J190" s="86" t="s">
        <v>1612</v>
      </c>
      <c r="K190" s="85" t="s">
        <v>90</v>
      </c>
      <c r="L190" s="85" t="s">
        <v>4357</v>
      </c>
      <c r="M190" s="87">
        <v>39854</v>
      </c>
      <c r="N190" s="85" t="s">
        <v>4307</v>
      </c>
      <c r="O190" s="85" t="s">
        <v>4344</v>
      </c>
      <c r="P190" s="99">
        <v>3</v>
      </c>
      <c r="Q190" s="99">
        <v>3</v>
      </c>
      <c r="R190" s="99">
        <v>0</v>
      </c>
      <c r="S190" s="99">
        <v>0</v>
      </c>
      <c r="T190" s="88">
        <f t="shared" si="2"/>
        <v>3</v>
      </c>
      <c r="U190" s="85" t="s">
        <v>5373</v>
      </c>
      <c r="V190" s="88" t="s">
        <v>4310</v>
      </c>
      <c r="W190" s="109" t="s">
        <v>5374</v>
      </c>
      <c r="X190" s="109" t="s">
        <v>4360</v>
      </c>
      <c r="Y190" s="109" t="s">
        <v>4361</v>
      </c>
      <c r="Z190" s="109" t="s">
        <v>5375</v>
      </c>
      <c r="AA190" s="109" t="s">
        <v>4363</v>
      </c>
      <c r="AB190" s="109" t="s">
        <v>4378</v>
      </c>
      <c r="AC190" s="109">
        <v>40534</v>
      </c>
      <c r="AD190" s="85" t="s">
        <v>5376</v>
      </c>
      <c r="AE190" s="88" t="s">
        <v>5377</v>
      </c>
      <c r="AF190" s="88" t="s">
        <v>4658</v>
      </c>
      <c r="AG190" s="85" t="s">
        <v>5378</v>
      </c>
      <c r="AH190" s="85" t="s">
        <v>5379</v>
      </c>
      <c r="AI190" s="85" t="s">
        <v>4954</v>
      </c>
      <c r="AJ190" s="85" t="s">
        <v>5380</v>
      </c>
      <c r="AK190" s="85" t="s">
        <v>4372</v>
      </c>
      <c r="AL190" s="90"/>
      <c r="AM190" s="85" t="s">
        <v>4402</v>
      </c>
      <c r="AN190" s="85" t="s">
        <v>4566</v>
      </c>
      <c r="AO190" s="90"/>
      <c r="AP190" s="88">
        <v>150</v>
      </c>
      <c r="AQ190" s="88">
        <v>44</v>
      </c>
      <c r="AR190" s="85" t="s">
        <v>4428</v>
      </c>
    </row>
    <row r="191" s="66" customFormat="1" spans="2:44">
      <c r="B191" s="91" t="s">
        <v>4324</v>
      </c>
      <c r="C191" s="92">
        <v>188</v>
      </c>
      <c r="D191" s="93">
        <v>252610113</v>
      </c>
      <c r="E191" s="94" t="s">
        <v>1808</v>
      </c>
      <c r="F191" s="95" t="s">
        <v>1809</v>
      </c>
      <c r="G191" s="96" t="s">
        <v>4112</v>
      </c>
      <c r="H191" s="97"/>
      <c r="I191" s="96" t="s">
        <v>1808</v>
      </c>
      <c r="J191" s="96" t="s">
        <v>1808</v>
      </c>
      <c r="K191" s="97"/>
      <c r="L191" s="97"/>
      <c r="M191" s="98"/>
      <c r="N191" s="97"/>
      <c r="O191" s="97"/>
      <c r="P191" s="88"/>
      <c r="Q191" s="96"/>
      <c r="R191" s="96"/>
      <c r="S191" s="96"/>
      <c r="T191" s="88">
        <f t="shared" si="2"/>
        <v>0</v>
      </c>
      <c r="U191" s="97"/>
      <c r="V191" s="100"/>
      <c r="W191" s="101"/>
      <c r="X191" s="101"/>
      <c r="Y191" s="101"/>
      <c r="Z191" s="101"/>
      <c r="AA191" s="101"/>
      <c r="AB191" s="101"/>
      <c r="AC191" s="101"/>
      <c r="AD191" s="97"/>
      <c r="AE191" s="100"/>
      <c r="AF191" s="100"/>
      <c r="AG191" s="97"/>
      <c r="AH191" s="97"/>
      <c r="AI191" s="97"/>
      <c r="AJ191" s="97"/>
      <c r="AK191" s="97"/>
      <c r="AL191" s="97"/>
      <c r="AM191" s="97"/>
      <c r="AN191" s="97"/>
      <c r="AO191" s="97"/>
      <c r="AP191" s="100"/>
      <c r="AQ191" s="100"/>
      <c r="AR191" s="97"/>
    </row>
    <row r="192" s="66" customFormat="1" spans="2:44">
      <c r="B192" s="91" t="s">
        <v>4325</v>
      </c>
      <c r="C192" s="92">
        <v>189</v>
      </c>
      <c r="D192" s="93">
        <v>252610020</v>
      </c>
      <c r="E192" s="118" t="s">
        <v>1407</v>
      </c>
      <c r="F192" s="119" t="s">
        <v>1408</v>
      </c>
      <c r="G192" s="96" t="s">
        <v>1408</v>
      </c>
      <c r="H192" s="97"/>
      <c r="I192" s="96" t="s">
        <v>1407</v>
      </c>
      <c r="J192" s="96" t="s">
        <v>1407</v>
      </c>
      <c r="K192" s="97"/>
      <c r="L192" s="97"/>
      <c r="M192" s="98"/>
      <c r="N192" s="97"/>
      <c r="O192" s="97"/>
      <c r="P192" s="99"/>
      <c r="Q192" s="96"/>
      <c r="R192" s="96"/>
      <c r="S192" s="96"/>
      <c r="T192" s="88">
        <f t="shared" si="2"/>
        <v>0</v>
      </c>
      <c r="U192" s="97"/>
      <c r="V192" s="100"/>
      <c r="W192" s="101"/>
      <c r="X192" s="101"/>
      <c r="Y192" s="101"/>
      <c r="Z192" s="101"/>
      <c r="AA192" s="101"/>
      <c r="AB192" s="101"/>
      <c r="AC192" s="101"/>
      <c r="AD192" s="97"/>
      <c r="AE192" s="100"/>
      <c r="AF192" s="100"/>
      <c r="AG192" s="97"/>
      <c r="AH192" s="97"/>
      <c r="AI192" s="97"/>
      <c r="AJ192" s="97"/>
      <c r="AK192" s="97"/>
      <c r="AL192" s="97"/>
      <c r="AM192" s="97"/>
      <c r="AN192" s="97"/>
      <c r="AO192" s="97"/>
      <c r="AP192" s="100"/>
      <c r="AQ192" s="100"/>
      <c r="AR192" s="97"/>
    </row>
    <row r="193" spans="2:44">
      <c r="B193" s="69" t="s">
        <v>4674</v>
      </c>
      <c r="C193" s="81">
        <v>190</v>
      </c>
      <c r="D193" s="82">
        <v>252610399</v>
      </c>
      <c r="E193" s="83" t="s">
        <v>1810</v>
      </c>
      <c r="F193" s="84" t="s">
        <v>1811</v>
      </c>
      <c r="G193" s="104" t="s">
        <v>1811</v>
      </c>
      <c r="H193" s="104" t="s">
        <v>5381</v>
      </c>
      <c r="I193" s="104" t="s">
        <v>1810</v>
      </c>
      <c r="J193" s="86" t="s">
        <v>1810</v>
      </c>
      <c r="K193" s="104" t="s">
        <v>90</v>
      </c>
      <c r="L193" s="104" t="s">
        <v>4343</v>
      </c>
      <c r="M193" s="105">
        <v>40076</v>
      </c>
      <c r="N193" s="104" t="s">
        <v>4328</v>
      </c>
      <c r="O193" s="104" t="s">
        <v>4619</v>
      </c>
      <c r="P193" s="88">
        <v>1</v>
      </c>
      <c r="Q193" s="88">
        <v>1</v>
      </c>
      <c r="R193" s="88">
        <v>0</v>
      </c>
      <c r="S193" s="88">
        <v>0</v>
      </c>
      <c r="T193" s="88">
        <f t="shared" si="2"/>
        <v>1</v>
      </c>
      <c r="U193" s="104" t="s">
        <v>5382</v>
      </c>
      <c r="V193" s="99" t="s">
        <v>4595</v>
      </c>
      <c r="W193" s="108" t="s">
        <v>5383</v>
      </c>
      <c r="X193" s="108" t="s">
        <v>4431</v>
      </c>
      <c r="Y193" s="108" t="s">
        <v>5230</v>
      </c>
      <c r="Z193" s="108" t="s">
        <v>5384</v>
      </c>
      <c r="AA193" s="108" t="s">
        <v>5385</v>
      </c>
      <c r="AB193" s="108" t="s">
        <v>4467</v>
      </c>
      <c r="AC193" s="108">
        <v>40216</v>
      </c>
      <c r="AD193" s="104" t="s">
        <v>5386</v>
      </c>
      <c r="AE193" s="99" t="s">
        <v>5387</v>
      </c>
      <c r="AF193" s="99" t="s">
        <v>5211</v>
      </c>
      <c r="AG193" s="104" t="s">
        <v>5388</v>
      </c>
      <c r="AH193" s="104" t="s">
        <v>5389</v>
      </c>
      <c r="AI193" s="104" t="s">
        <v>5390</v>
      </c>
      <c r="AJ193" s="104" t="s">
        <v>5391</v>
      </c>
      <c r="AK193" s="104" t="s">
        <v>4319</v>
      </c>
      <c r="AL193" s="104" t="s">
        <v>4406</v>
      </c>
      <c r="AM193" s="104" t="s">
        <v>4651</v>
      </c>
      <c r="AN193" s="104" t="s">
        <v>5392</v>
      </c>
      <c r="AO193" s="104" t="s">
        <v>4406</v>
      </c>
      <c r="AP193" s="99">
        <v>152</v>
      </c>
      <c r="AQ193" s="99">
        <v>51</v>
      </c>
      <c r="AR193" s="104" t="s">
        <v>5393</v>
      </c>
    </row>
    <row r="194" spans="2:44">
      <c r="B194" s="69" t="s">
        <v>4324</v>
      </c>
      <c r="C194" s="81">
        <v>191</v>
      </c>
      <c r="D194" s="82">
        <v>252610114</v>
      </c>
      <c r="E194" s="116" t="s">
        <v>1614</v>
      </c>
      <c r="F194" s="84" t="s">
        <v>1615</v>
      </c>
      <c r="G194" s="85" t="s">
        <v>4114</v>
      </c>
      <c r="H194" s="85" t="s">
        <v>5394</v>
      </c>
      <c r="I194" s="85" t="s">
        <v>1614</v>
      </c>
      <c r="J194" s="86" t="s">
        <v>1614</v>
      </c>
      <c r="K194" s="85" t="s">
        <v>90</v>
      </c>
      <c r="L194" s="85" t="s">
        <v>5395</v>
      </c>
      <c r="M194" s="87">
        <v>40171</v>
      </c>
      <c r="N194" s="85" t="s">
        <v>4885</v>
      </c>
      <c r="O194" s="85" t="s">
        <v>4308</v>
      </c>
      <c r="P194" s="99">
        <v>2</v>
      </c>
      <c r="Q194" s="99">
        <v>1</v>
      </c>
      <c r="R194" s="99">
        <v>0</v>
      </c>
      <c r="S194" s="99">
        <v>0</v>
      </c>
      <c r="T194" s="88">
        <f t="shared" si="2"/>
        <v>1</v>
      </c>
      <c r="U194" s="85" t="s">
        <v>4344</v>
      </c>
      <c r="V194" s="88">
        <v>0</v>
      </c>
      <c r="W194" s="109" t="s">
        <v>5396</v>
      </c>
      <c r="X194" s="109" t="s">
        <v>5397</v>
      </c>
      <c r="Y194" s="109" t="s">
        <v>4756</v>
      </c>
      <c r="Z194" s="109" t="s">
        <v>5140</v>
      </c>
      <c r="AA194" s="109" t="s">
        <v>4420</v>
      </c>
      <c r="AB194" s="109" t="s">
        <v>5140</v>
      </c>
      <c r="AC194" s="109">
        <v>40215</v>
      </c>
      <c r="AD194" s="85" t="s">
        <v>5398</v>
      </c>
      <c r="AE194" s="88" t="s">
        <v>4333</v>
      </c>
      <c r="AF194" s="88" t="s">
        <v>4348</v>
      </c>
      <c r="AG194" s="85" t="s">
        <v>5399</v>
      </c>
      <c r="AH194" s="85" t="s">
        <v>5400</v>
      </c>
      <c r="AI194" s="85" t="s">
        <v>4318</v>
      </c>
      <c r="AJ194" s="85" t="s">
        <v>4318</v>
      </c>
      <c r="AK194" s="85" t="s">
        <v>4319</v>
      </c>
      <c r="AL194" s="90"/>
      <c r="AM194" s="85" t="s">
        <v>4372</v>
      </c>
      <c r="AN194" s="85" t="s">
        <v>5401</v>
      </c>
      <c r="AO194" s="90"/>
      <c r="AP194" s="88">
        <v>158</v>
      </c>
      <c r="AQ194" s="88">
        <v>45</v>
      </c>
      <c r="AR194" s="85" t="s">
        <v>4322</v>
      </c>
    </row>
    <row r="195" spans="2:44">
      <c r="B195" s="69" t="s">
        <v>4304</v>
      </c>
      <c r="C195" s="81">
        <v>192</v>
      </c>
      <c r="D195" s="82">
        <v>252610448</v>
      </c>
      <c r="E195" s="83" t="s">
        <v>1409</v>
      </c>
      <c r="F195" s="84" t="s">
        <v>1410</v>
      </c>
      <c r="G195" s="104" t="s">
        <v>1410</v>
      </c>
      <c r="H195" s="104" t="s">
        <v>5402</v>
      </c>
      <c r="I195" s="104" t="s">
        <v>1409</v>
      </c>
      <c r="J195" s="86" t="s">
        <v>1409</v>
      </c>
      <c r="K195" s="104" t="s">
        <v>90</v>
      </c>
      <c r="L195" s="104" t="s">
        <v>4629</v>
      </c>
      <c r="M195" s="105">
        <v>39960</v>
      </c>
      <c r="N195" s="104" t="s">
        <v>4307</v>
      </c>
      <c r="O195" s="104" t="s">
        <v>4344</v>
      </c>
      <c r="P195" s="88">
        <v>2</v>
      </c>
      <c r="Q195" s="88">
        <v>2</v>
      </c>
      <c r="R195" s="88">
        <v>0</v>
      </c>
      <c r="S195" s="88">
        <v>0</v>
      </c>
      <c r="T195" s="88">
        <f t="shared" si="2"/>
        <v>2</v>
      </c>
      <c r="U195" s="104" t="s">
        <v>5403</v>
      </c>
      <c r="V195" s="99" t="s">
        <v>4330</v>
      </c>
      <c r="W195" s="108" t="s">
        <v>5404</v>
      </c>
      <c r="X195" s="108" t="s">
        <v>4360</v>
      </c>
      <c r="Y195" s="108">
        <v>34</v>
      </c>
      <c r="Z195" s="108" t="s">
        <v>5405</v>
      </c>
      <c r="AA195" s="108" t="s">
        <v>4494</v>
      </c>
      <c r="AB195" s="108" t="s">
        <v>4451</v>
      </c>
      <c r="AC195" s="108">
        <v>40534</v>
      </c>
      <c r="AD195" s="104">
        <v>88802282227</v>
      </c>
      <c r="AE195" s="99" t="s">
        <v>4422</v>
      </c>
      <c r="AF195" s="99" t="s">
        <v>4411</v>
      </c>
      <c r="AG195" s="104" t="s">
        <v>5406</v>
      </c>
      <c r="AH195" s="104" t="s">
        <v>5407</v>
      </c>
      <c r="AI195" s="104" t="s">
        <v>4638</v>
      </c>
      <c r="AJ195" s="104" t="s">
        <v>4638</v>
      </c>
      <c r="AK195" s="104" t="s">
        <v>4337</v>
      </c>
      <c r="AL195" s="106"/>
      <c r="AM195" s="104" t="s">
        <v>4372</v>
      </c>
      <c r="AN195" s="104" t="s">
        <v>4846</v>
      </c>
      <c r="AO195" s="106"/>
      <c r="AP195" s="99">
        <v>165</v>
      </c>
      <c r="AQ195" s="99">
        <v>42</v>
      </c>
      <c r="AR195" s="104" t="s">
        <v>4340</v>
      </c>
    </row>
    <row r="196" spans="2:44">
      <c r="B196" s="69" t="s">
        <v>4373</v>
      </c>
      <c r="C196" s="81">
        <v>193</v>
      </c>
      <c r="D196" s="121">
        <v>252610495</v>
      </c>
      <c r="E196" s="83" t="s">
        <v>1411</v>
      </c>
      <c r="F196" s="84" t="s">
        <v>1412</v>
      </c>
      <c r="G196" s="127" t="s">
        <v>1412</v>
      </c>
      <c r="H196" s="85"/>
      <c r="I196" s="127" t="s">
        <v>1411</v>
      </c>
      <c r="J196" s="128" t="s">
        <v>1411</v>
      </c>
      <c r="K196" s="85"/>
      <c r="L196" s="85"/>
      <c r="M196" s="87"/>
      <c r="N196" s="85"/>
      <c r="O196" s="85"/>
      <c r="P196" s="99"/>
      <c r="Q196" s="127"/>
      <c r="R196" s="127"/>
      <c r="S196" s="127"/>
      <c r="T196" s="88">
        <f t="shared" ref="T196:T259" si="3">Q196+R196+S196</f>
        <v>0</v>
      </c>
      <c r="U196" s="85"/>
      <c r="V196" s="88"/>
      <c r="W196" s="109"/>
      <c r="X196" s="109"/>
      <c r="Y196" s="109"/>
      <c r="Z196" s="109"/>
      <c r="AA196" s="109"/>
      <c r="AB196" s="109"/>
      <c r="AC196" s="109"/>
      <c r="AD196" s="85"/>
      <c r="AE196" s="88"/>
      <c r="AF196" s="88"/>
      <c r="AG196" s="85"/>
      <c r="AH196" s="85"/>
      <c r="AI196" s="85"/>
      <c r="AJ196" s="85"/>
      <c r="AK196" s="85"/>
      <c r="AL196" s="85"/>
      <c r="AM196" s="85"/>
      <c r="AN196" s="85"/>
      <c r="AO196" s="85"/>
      <c r="AP196" s="88"/>
      <c r="AQ196" s="88"/>
      <c r="AR196" s="85"/>
    </row>
    <row r="197" spans="2:44">
      <c r="B197" s="69" t="s">
        <v>4355</v>
      </c>
      <c r="C197" s="81">
        <v>194</v>
      </c>
      <c r="D197" s="82">
        <v>252610158</v>
      </c>
      <c r="E197" s="116" t="s">
        <v>1319</v>
      </c>
      <c r="F197" s="84" t="s">
        <v>1320</v>
      </c>
      <c r="G197" s="104" t="s">
        <v>1320</v>
      </c>
      <c r="H197" s="104" t="s">
        <v>5408</v>
      </c>
      <c r="I197" s="104" t="s">
        <v>1319</v>
      </c>
      <c r="J197" s="86" t="s">
        <v>1319</v>
      </c>
      <c r="K197" s="104" t="s">
        <v>89</v>
      </c>
      <c r="L197" s="104" t="s">
        <v>4327</v>
      </c>
      <c r="M197" s="105">
        <v>40210</v>
      </c>
      <c r="N197" s="104" t="s">
        <v>4541</v>
      </c>
      <c r="O197" s="104" t="s">
        <v>4308</v>
      </c>
      <c r="P197" s="88">
        <v>2</v>
      </c>
      <c r="Q197" s="88">
        <v>2</v>
      </c>
      <c r="R197" s="88">
        <v>0</v>
      </c>
      <c r="S197" s="88">
        <v>0</v>
      </c>
      <c r="T197" s="88">
        <f t="shared" si="3"/>
        <v>2</v>
      </c>
      <c r="U197" s="104" t="s">
        <v>5147</v>
      </c>
      <c r="V197" s="99" t="s">
        <v>4358</v>
      </c>
      <c r="W197" s="108" t="s">
        <v>5409</v>
      </c>
      <c r="X197" s="108" t="s">
        <v>4392</v>
      </c>
      <c r="Y197" s="108" t="s">
        <v>4544</v>
      </c>
      <c r="Z197" s="108" t="s">
        <v>4406</v>
      </c>
      <c r="AA197" s="108" t="s">
        <v>5410</v>
      </c>
      <c r="AB197" s="108" t="s">
        <v>4775</v>
      </c>
      <c r="AC197" s="108">
        <v>40215</v>
      </c>
      <c r="AD197" s="104" t="s">
        <v>5411</v>
      </c>
      <c r="AE197" s="99" t="s">
        <v>4422</v>
      </c>
      <c r="AF197" s="99" t="s">
        <v>4750</v>
      </c>
      <c r="AG197" s="104" t="s">
        <v>5412</v>
      </c>
      <c r="AH197" s="104" t="s">
        <v>5413</v>
      </c>
      <c r="AI197" s="104" t="s">
        <v>4317</v>
      </c>
      <c r="AJ197" s="104" t="s">
        <v>4401</v>
      </c>
      <c r="AK197" s="104" t="s">
        <v>4320</v>
      </c>
      <c r="AL197" s="104" t="s">
        <v>4406</v>
      </c>
      <c r="AM197" s="104" t="s">
        <v>4372</v>
      </c>
      <c r="AN197" s="104" t="s">
        <v>5414</v>
      </c>
      <c r="AO197" s="104" t="s">
        <v>4406</v>
      </c>
      <c r="AP197" s="99">
        <v>168</v>
      </c>
      <c r="AQ197" s="99">
        <v>48</v>
      </c>
      <c r="AR197" s="104" t="s">
        <v>4415</v>
      </c>
    </row>
    <row r="198" s="66" customFormat="1" spans="2:44">
      <c r="B198" s="91" t="s">
        <v>4568</v>
      </c>
      <c r="C198" s="92">
        <v>195</v>
      </c>
      <c r="D198" s="93">
        <v>252610207</v>
      </c>
      <c r="E198" s="94">
        <v>3096941268</v>
      </c>
      <c r="F198" s="95" t="s">
        <v>1414</v>
      </c>
      <c r="G198" s="96" t="s">
        <v>4115</v>
      </c>
      <c r="H198" s="97"/>
      <c r="I198" s="96">
        <v>3096941268</v>
      </c>
      <c r="J198" s="96">
        <v>3096941268</v>
      </c>
      <c r="K198" s="97"/>
      <c r="L198" s="97"/>
      <c r="M198" s="98"/>
      <c r="N198" s="97"/>
      <c r="O198" s="97"/>
      <c r="P198" s="99"/>
      <c r="Q198" s="96"/>
      <c r="R198" s="96"/>
      <c r="S198" s="96"/>
      <c r="T198" s="88">
        <f t="shared" si="3"/>
        <v>0</v>
      </c>
      <c r="U198" s="97"/>
      <c r="V198" s="100"/>
      <c r="W198" s="101"/>
      <c r="X198" s="101"/>
      <c r="Y198" s="101"/>
      <c r="Z198" s="101"/>
      <c r="AA198" s="101"/>
      <c r="AB198" s="101"/>
      <c r="AC198" s="101"/>
      <c r="AD198" s="97"/>
      <c r="AE198" s="100"/>
      <c r="AF198" s="100"/>
      <c r="AG198" s="97"/>
      <c r="AH198" s="97"/>
      <c r="AI198" s="97"/>
      <c r="AJ198" s="97"/>
      <c r="AK198" s="97"/>
      <c r="AL198" s="97"/>
      <c r="AM198" s="97"/>
      <c r="AN198" s="97"/>
      <c r="AO198" s="97"/>
      <c r="AP198" s="100"/>
      <c r="AQ198" s="100"/>
      <c r="AR198" s="97"/>
    </row>
    <row r="199" s="66" customFormat="1" spans="2:44">
      <c r="B199" s="91" t="s">
        <v>4323</v>
      </c>
      <c r="C199" s="92">
        <v>196</v>
      </c>
      <c r="D199" s="93">
        <v>252610257</v>
      </c>
      <c r="E199" s="94">
        <v>3096607280</v>
      </c>
      <c r="F199" s="95" t="s">
        <v>1517</v>
      </c>
      <c r="G199" s="96" t="s">
        <v>4116</v>
      </c>
      <c r="H199" s="97"/>
      <c r="I199" s="126">
        <v>3096607280</v>
      </c>
      <c r="J199" s="126">
        <v>3096607280</v>
      </c>
      <c r="K199" s="97"/>
      <c r="L199" s="97"/>
      <c r="M199" s="98"/>
      <c r="N199" s="97"/>
      <c r="O199" s="97"/>
      <c r="P199" s="88"/>
      <c r="Q199" s="96"/>
      <c r="R199" s="96"/>
      <c r="S199" s="96"/>
      <c r="T199" s="88">
        <f t="shared" si="3"/>
        <v>0</v>
      </c>
      <c r="U199" s="97"/>
      <c r="V199" s="100"/>
      <c r="W199" s="101"/>
      <c r="X199" s="101"/>
      <c r="Y199" s="101"/>
      <c r="Z199" s="101"/>
      <c r="AA199" s="101"/>
      <c r="AB199" s="101"/>
      <c r="AC199" s="101"/>
      <c r="AD199" s="97"/>
      <c r="AE199" s="100"/>
      <c r="AF199" s="100"/>
      <c r="AG199" s="97"/>
      <c r="AH199" s="97"/>
      <c r="AI199" s="97"/>
      <c r="AJ199" s="97"/>
      <c r="AK199" s="97"/>
      <c r="AL199" s="97"/>
      <c r="AM199" s="97"/>
      <c r="AN199" s="97"/>
      <c r="AO199" s="97"/>
      <c r="AP199" s="100"/>
      <c r="AQ199" s="100"/>
      <c r="AR199" s="97"/>
    </row>
    <row r="200" s="66" customFormat="1" spans="2:44">
      <c r="B200" s="91" t="s">
        <v>4642</v>
      </c>
      <c r="C200" s="92">
        <v>197</v>
      </c>
      <c r="D200" s="93">
        <v>252610545</v>
      </c>
      <c r="E200" s="94" t="s">
        <v>1415</v>
      </c>
      <c r="F200" s="95" t="s">
        <v>1416</v>
      </c>
      <c r="G200" s="96" t="s">
        <v>4117</v>
      </c>
      <c r="H200" s="97"/>
      <c r="I200" s="96" t="s">
        <v>1415</v>
      </c>
      <c r="J200" s="96" t="s">
        <v>1415</v>
      </c>
      <c r="K200" s="97"/>
      <c r="L200" s="97"/>
      <c r="M200" s="98"/>
      <c r="N200" s="97"/>
      <c r="O200" s="97"/>
      <c r="P200" s="99"/>
      <c r="Q200" s="96"/>
      <c r="R200" s="96"/>
      <c r="S200" s="96"/>
      <c r="T200" s="88">
        <f t="shared" si="3"/>
        <v>0</v>
      </c>
      <c r="U200" s="97"/>
      <c r="V200" s="100"/>
      <c r="W200" s="101"/>
      <c r="X200" s="101"/>
      <c r="Y200" s="101"/>
      <c r="Z200" s="101"/>
      <c r="AA200" s="101"/>
      <c r="AB200" s="101"/>
      <c r="AC200" s="101"/>
      <c r="AD200" s="97"/>
      <c r="AE200" s="100"/>
      <c r="AF200" s="100"/>
      <c r="AG200" s="97"/>
      <c r="AH200" s="97"/>
      <c r="AI200" s="97"/>
      <c r="AJ200" s="97"/>
      <c r="AK200" s="97"/>
      <c r="AL200" s="97"/>
      <c r="AM200" s="97"/>
      <c r="AN200" s="97"/>
      <c r="AO200" s="97"/>
      <c r="AP200" s="100"/>
      <c r="AQ200" s="100"/>
      <c r="AR200" s="97"/>
    </row>
    <row r="201" s="66" customFormat="1" spans="2:44">
      <c r="B201" s="91" t="s">
        <v>4325</v>
      </c>
      <c r="C201" s="92">
        <v>198</v>
      </c>
      <c r="D201" s="93">
        <v>252610021</v>
      </c>
      <c r="E201" s="118" t="s">
        <v>1812</v>
      </c>
      <c r="F201" s="119" t="s">
        <v>1813</v>
      </c>
      <c r="G201" s="96" t="s">
        <v>4118</v>
      </c>
      <c r="H201" s="97"/>
      <c r="I201" s="96" t="s">
        <v>1812</v>
      </c>
      <c r="J201" s="96" t="s">
        <v>1812</v>
      </c>
      <c r="K201" s="97"/>
      <c r="L201" s="97"/>
      <c r="M201" s="98"/>
      <c r="N201" s="97"/>
      <c r="O201" s="97"/>
      <c r="P201" s="88"/>
      <c r="Q201" s="96"/>
      <c r="R201" s="96"/>
      <c r="S201" s="96"/>
      <c r="T201" s="88">
        <f t="shared" si="3"/>
        <v>0</v>
      </c>
      <c r="U201" s="97"/>
      <c r="V201" s="100"/>
      <c r="W201" s="101"/>
      <c r="X201" s="101"/>
      <c r="Y201" s="101"/>
      <c r="Z201" s="101"/>
      <c r="AA201" s="101"/>
      <c r="AB201" s="101"/>
      <c r="AC201" s="101"/>
      <c r="AD201" s="97"/>
      <c r="AE201" s="100"/>
      <c r="AF201" s="100"/>
      <c r="AG201" s="97"/>
      <c r="AH201" s="97"/>
      <c r="AI201" s="97"/>
      <c r="AJ201" s="97"/>
      <c r="AK201" s="97"/>
      <c r="AL201" s="97"/>
      <c r="AM201" s="97"/>
      <c r="AN201" s="97"/>
      <c r="AO201" s="97"/>
      <c r="AP201" s="100"/>
      <c r="AQ201" s="100"/>
      <c r="AR201" s="97"/>
    </row>
    <row r="202" s="66" customFormat="1" spans="2:44">
      <c r="B202" s="91" t="s">
        <v>4354</v>
      </c>
      <c r="C202" s="92">
        <v>199</v>
      </c>
      <c r="D202" s="93">
        <v>252610066</v>
      </c>
      <c r="E202" s="94" t="s">
        <v>2006</v>
      </c>
      <c r="F202" s="95" t="s">
        <v>2007</v>
      </c>
      <c r="G202" s="96" t="s">
        <v>2007</v>
      </c>
      <c r="H202" s="97"/>
      <c r="I202" s="96" t="s">
        <v>2006</v>
      </c>
      <c r="J202" s="96" t="s">
        <v>2006</v>
      </c>
      <c r="K202" s="97"/>
      <c r="L202" s="97"/>
      <c r="M202" s="98"/>
      <c r="N202" s="97"/>
      <c r="O202" s="97"/>
      <c r="P202" s="99"/>
      <c r="Q202" s="96"/>
      <c r="R202" s="96"/>
      <c r="S202" s="96"/>
      <c r="T202" s="88">
        <f t="shared" si="3"/>
        <v>0</v>
      </c>
      <c r="U202" s="97"/>
      <c r="V202" s="100"/>
      <c r="W202" s="101"/>
      <c r="X202" s="101"/>
      <c r="Y202" s="101"/>
      <c r="Z202" s="101"/>
      <c r="AA202" s="101"/>
      <c r="AB202" s="101"/>
      <c r="AC202" s="101"/>
      <c r="AD202" s="97"/>
      <c r="AE202" s="100"/>
      <c r="AF202" s="100"/>
      <c r="AG202" s="97"/>
      <c r="AH202" s="97"/>
      <c r="AI202" s="97"/>
      <c r="AJ202" s="97"/>
      <c r="AK202" s="97"/>
      <c r="AL202" s="97"/>
      <c r="AM202" s="97"/>
      <c r="AN202" s="97"/>
      <c r="AO202" s="97"/>
      <c r="AP202" s="100"/>
      <c r="AQ202" s="100"/>
      <c r="AR202" s="97"/>
    </row>
    <row r="203" spans="2:44">
      <c r="B203" s="69" t="s">
        <v>4354</v>
      </c>
      <c r="C203" s="81">
        <v>200</v>
      </c>
      <c r="D203" s="82">
        <v>252610067</v>
      </c>
      <c r="E203" s="83" t="s">
        <v>1417</v>
      </c>
      <c r="F203" s="84" t="s">
        <v>1418</v>
      </c>
      <c r="G203" s="104" t="s">
        <v>5415</v>
      </c>
      <c r="H203" s="104" t="s">
        <v>5416</v>
      </c>
      <c r="I203" s="104" t="s">
        <v>1417</v>
      </c>
      <c r="J203" s="86" t="s">
        <v>1417</v>
      </c>
      <c r="K203" s="104" t="s">
        <v>89</v>
      </c>
      <c r="L203" s="104" t="s">
        <v>4343</v>
      </c>
      <c r="M203" s="105">
        <v>39846</v>
      </c>
      <c r="N203" s="104" t="s">
        <v>4307</v>
      </c>
      <c r="O203" s="104" t="s">
        <v>4308</v>
      </c>
      <c r="P203" s="88">
        <v>3</v>
      </c>
      <c r="Q203" s="88">
        <v>2</v>
      </c>
      <c r="R203" s="88">
        <v>0</v>
      </c>
      <c r="S203" s="88">
        <v>0</v>
      </c>
      <c r="T203" s="88">
        <f t="shared" si="3"/>
        <v>2</v>
      </c>
      <c r="U203" s="104" t="s">
        <v>4308</v>
      </c>
      <c r="V203" s="99" t="s">
        <v>4595</v>
      </c>
      <c r="W203" s="108" t="s">
        <v>5417</v>
      </c>
      <c r="X203" s="108" t="s">
        <v>4714</v>
      </c>
      <c r="Y203" s="108" t="s">
        <v>4915</v>
      </c>
      <c r="Z203" s="108" t="s">
        <v>4478</v>
      </c>
      <c r="AA203" s="108" t="s">
        <v>4363</v>
      </c>
      <c r="AB203" s="108" t="s">
        <v>4364</v>
      </c>
      <c r="AC203" s="108">
        <v>40534</v>
      </c>
      <c r="AD203" s="104" t="s">
        <v>5418</v>
      </c>
      <c r="AE203" s="99" t="s">
        <v>4422</v>
      </c>
      <c r="AF203" s="117">
        <v>340</v>
      </c>
      <c r="AG203" s="104" t="s">
        <v>5419</v>
      </c>
      <c r="AH203" s="104" t="s">
        <v>5420</v>
      </c>
      <c r="AI203" s="104" t="s">
        <v>4351</v>
      </c>
      <c r="AJ203" s="104" t="s">
        <v>4351</v>
      </c>
      <c r="AK203" s="104" t="s">
        <v>4338</v>
      </c>
      <c r="AL203" s="104" t="s">
        <v>5421</v>
      </c>
      <c r="AM203" s="104" t="s">
        <v>4372</v>
      </c>
      <c r="AN203" s="104" t="s">
        <v>4846</v>
      </c>
      <c r="AO203" s="104" t="s">
        <v>5422</v>
      </c>
      <c r="AP203" s="99">
        <v>175</v>
      </c>
      <c r="AQ203" s="99">
        <v>91</v>
      </c>
      <c r="AR203" s="104" t="s">
        <v>4517</v>
      </c>
    </row>
    <row r="204" spans="2:44">
      <c r="B204" s="69" t="s">
        <v>4355</v>
      </c>
      <c r="C204" s="81">
        <v>201</v>
      </c>
      <c r="D204" s="82">
        <v>252610159</v>
      </c>
      <c r="E204" s="83" t="s">
        <v>1616</v>
      </c>
      <c r="F204" s="84" t="s">
        <v>1617</v>
      </c>
      <c r="G204" s="85" t="s">
        <v>4119</v>
      </c>
      <c r="H204" s="85" t="s">
        <v>5423</v>
      </c>
      <c r="I204" s="85" t="s">
        <v>1616</v>
      </c>
      <c r="J204" s="86" t="s">
        <v>1616</v>
      </c>
      <c r="K204" s="85" t="s">
        <v>90</v>
      </c>
      <c r="L204" s="85" t="s">
        <v>4343</v>
      </c>
      <c r="M204" s="87">
        <v>40224</v>
      </c>
      <c r="N204" s="85" t="s">
        <v>4541</v>
      </c>
      <c r="O204" s="85" t="s">
        <v>4344</v>
      </c>
      <c r="P204" s="99">
        <v>1</v>
      </c>
      <c r="Q204" s="99">
        <v>2</v>
      </c>
      <c r="R204" s="99">
        <v>0</v>
      </c>
      <c r="S204" s="99">
        <v>0</v>
      </c>
      <c r="T204" s="88">
        <f t="shared" si="3"/>
        <v>2</v>
      </c>
      <c r="U204" s="85" t="s">
        <v>4462</v>
      </c>
      <c r="V204" s="88">
        <v>0</v>
      </c>
      <c r="W204" s="109" t="s">
        <v>5424</v>
      </c>
      <c r="X204" s="109" t="s">
        <v>4606</v>
      </c>
      <c r="Y204" s="109" t="s">
        <v>4431</v>
      </c>
      <c r="Z204" s="109" t="s">
        <v>5425</v>
      </c>
      <c r="AA204" s="109" t="s">
        <v>4795</v>
      </c>
      <c r="AB204" s="109" t="s">
        <v>4766</v>
      </c>
      <c r="AC204" s="109">
        <v>40215</v>
      </c>
      <c r="AD204" s="85" t="s">
        <v>5426</v>
      </c>
      <c r="AE204" s="88" t="s">
        <v>5427</v>
      </c>
      <c r="AF204" s="88" t="s">
        <v>4576</v>
      </c>
      <c r="AG204" s="85" t="s">
        <v>5428</v>
      </c>
      <c r="AH204" s="85" t="s">
        <v>5429</v>
      </c>
      <c r="AI204" s="85" t="s">
        <v>4318</v>
      </c>
      <c r="AJ204" s="85" t="s">
        <v>4456</v>
      </c>
      <c r="AK204" s="85" t="s">
        <v>4320</v>
      </c>
      <c r="AL204" s="90"/>
      <c r="AM204" s="85" t="s">
        <v>4372</v>
      </c>
      <c r="AN204" s="85" t="s">
        <v>3150</v>
      </c>
      <c r="AO204" s="90"/>
      <c r="AP204" s="88">
        <v>152</v>
      </c>
      <c r="AQ204" s="88">
        <v>42</v>
      </c>
      <c r="AR204" s="85" t="s">
        <v>4322</v>
      </c>
    </row>
    <row r="205" s="66" customFormat="1" spans="2:44">
      <c r="B205" s="91" t="s">
        <v>4355</v>
      </c>
      <c r="C205" s="92">
        <v>202</v>
      </c>
      <c r="D205" s="93">
        <v>252610160</v>
      </c>
      <c r="E205" s="94" t="s">
        <v>1419</v>
      </c>
      <c r="F205" s="95" t="s">
        <v>1420</v>
      </c>
      <c r="G205" s="96" t="s">
        <v>4120</v>
      </c>
      <c r="H205" s="97"/>
      <c r="I205" s="96" t="s">
        <v>1419</v>
      </c>
      <c r="J205" s="96" t="s">
        <v>1419</v>
      </c>
      <c r="K205" s="97"/>
      <c r="L205" s="97"/>
      <c r="M205" s="98"/>
      <c r="N205" s="97"/>
      <c r="O205" s="97"/>
      <c r="P205" s="88"/>
      <c r="Q205" s="96"/>
      <c r="R205" s="96"/>
      <c r="S205" s="96"/>
      <c r="T205" s="88">
        <f t="shared" si="3"/>
        <v>0</v>
      </c>
      <c r="U205" s="97"/>
      <c r="V205" s="100"/>
      <c r="W205" s="101"/>
      <c r="X205" s="101"/>
      <c r="Y205" s="101"/>
      <c r="Z205" s="101"/>
      <c r="AA205" s="101"/>
      <c r="AB205" s="101"/>
      <c r="AC205" s="101"/>
      <c r="AD205" s="97"/>
      <c r="AE205" s="100"/>
      <c r="AF205" s="100"/>
      <c r="AG205" s="97"/>
      <c r="AH205" s="97"/>
      <c r="AI205" s="97"/>
      <c r="AJ205" s="97"/>
      <c r="AK205" s="97"/>
      <c r="AL205" s="97"/>
      <c r="AM205" s="97"/>
      <c r="AN205" s="97"/>
      <c r="AO205" s="97"/>
      <c r="AP205" s="100"/>
      <c r="AQ205" s="100"/>
      <c r="AR205" s="97"/>
    </row>
    <row r="206" spans="2:44">
      <c r="B206" s="69" t="s">
        <v>4355</v>
      </c>
      <c r="C206" s="81">
        <v>203</v>
      </c>
      <c r="D206" s="82">
        <v>252610161</v>
      </c>
      <c r="E206" s="83" t="s">
        <v>1321</v>
      </c>
      <c r="F206" s="84" t="s">
        <v>1322</v>
      </c>
      <c r="G206" s="85" t="s">
        <v>4121</v>
      </c>
      <c r="H206" s="85" t="s">
        <v>5430</v>
      </c>
      <c r="I206" s="85" t="s">
        <v>1321</v>
      </c>
      <c r="J206" s="86" t="s">
        <v>1321</v>
      </c>
      <c r="K206" s="85" t="s">
        <v>89</v>
      </c>
      <c r="L206" s="85" t="s">
        <v>4327</v>
      </c>
      <c r="M206" s="87">
        <v>39983</v>
      </c>
      <c r="N206" s="85" t="s">
        <v>4307</v>
      </c>
      <c r="O206" s="85" t="s">
        <v>4308</v>
      </c>
      <c r="P206" s="99">
        <v>1</v>
      </c>
      <c r="Q206" s="99">
        <v>1</v>
      </c>
      <c r="R206" s="99">
        <v>2</v>
      </c>
      <c r="S206" s="99">
        <v>0</v>
      </c>
      <c r="T206" s="88">
        <f t="shared" si="3"/>
        <v>3</v>
      </c>
      <c r="U206" s="85" t="s">
        <v>5431</v>
      </c>
      <c r="V206" s="88" t="s">
        <v>4310</v>
      </c>
      <c r="W206" s="109" t="s">
        <v>5432</v>
      </c>
      <c r="X206" s="109" t="s">
        <v>4360</v>
      </c>
      <c r="Y206" s="109" t="s">
        <v>4793</v>
      </c>
      <c r="Z206" s="109" t="s">
        <v>5433</v>
      </c>
      <c r="AA206" s="109" t="s">
        <v>5012</v>
      </c>
      <c r="AB206" s="109" t="s">
        <v>4395</v>
      </c>
      <c r="AC206" s="109">
        <v>40212</v>
      </c>
      <c r="AD206" s="85" t="s">
        <v>5434</v>
      </c>
      <c r="AE206" s="88" t="s">
        <v>4422</v>
      </c>
      <c r="AF206" s="88" t="s">
        <v>4502</v>
      </c>
      <c r="AG206" s="85" t="s">
        <v>5435</v>
      </c>
      <c r="AH206" s="85" t="s">
        <v>5436</v>
      </c>
      <c r="AI206" s="85" t="s">
        <v>5179</v>
      </c>
      <c r="AJ206" s="85" t="s">
        <v>5179</v>
      </c>
      <c r="AK206" s="85" t="s">
        <v>4337</v>
      </c>
      <c r="AL206" s="85" t="s">
        <v>5437</v>
      </c>
      <c r="AM206" s="85" t="s">
        <v>4372</v>
      </c>
      <c r="AN206" s="85" t="s">
        <v>4846</v>
      </c>
      <c r="AO206" s="90"/>
      <c r="AP206" s="88">
        <v>154</v>
      </c>
      <c r="AQ206" s="88" t="s">
        <v>5438</v>
      </c>
      <c r="AR206" s="85" t="s">
        <v>4340</v>
      </c>
    </row>
    <row r="207" spans="2:44">
      <c r="B207" s="69" t="s">
        <v>4386</v>
      </c>
      <c r="C207" s="81">
        <v>204</v>
      </c>
      <c r="D207" s="82">
        <v>252610354</v>
      </c>
      <c r="E207" s="116" t="s">
        <v>1042</v>
      </c>
      <c r="F207" s="84" t="s">
        <v>1043</v>
      </c>
      <c r="G207" s="104" t="s">
        <v>4122</v>
      </c>
      <c r="H207" s="104" t="s">
        <v>5439</v>
      </c>
      <c r="I207" s="104" t="s">
        <v>1042</v>
      </c>
      <c r="J207" s="86" t="s">
        <v>1042</v>
      </c>
      <c r="K207" s="104" t="s">
        <v>89</v>
      </c>
      <c r="L207" s="104" t="s">
        <v>4557</v>
      </c>
      <c r="M207" s="105">
        <v>40085</v>
      </c>
      <c r="N207" s="104" t="s">
        <v>4328</v>
      </c>
      <c r="O207" s="104" t="s">
        <v>4329</v>
      </c>
      <c r="P207" s="88">
        <v>3</v>
      </c>
      <c r="Q207" s="88">
        <v>4</v>
      </c>
      <c r="R207" s="88">
        <v>0</v>
      </c>
      <c r="S207" s="88">
        <v>0</v>
      </c>
      <c r="T207" s="88">
        <f t="shared" si="3"/>
        <v>4</v>
      </c>
      <c r="U207" s="104" t="s">
        <v>4309</v>
      </c>
      <c r="V207" s="99" t="s">
        <v>4358</v>
      </c>
      <c r="W207" s="108" t="s">
        <v>5440</v>
      </c>
      <c r="X207" s="108" t="s">
        <v>4477</v>
      </c>
      <c r="Y207" s="108" t="s">
        <v>4360</v>
      </c>
      <c r="Z207" s="108" t="s">
        <v>5441</v>
      </c>
      <c r="AA207" s="108" t="s">
        <v>5332</v>
      </c>
      <c r="AB207" s="108" t="s">
        <v>4562</v>
      </c>
      <c r="AC207" s="108">
        <v>40212</v>
      </c>
      <c r="AD207" s="104" t="s">
        <v>5442</v>
      </c>
      <c r="AE207" s="99" t="s">
        <v>4422</v>
      </c>
      <c r="AF207" s="117">
        <v>1300</v>
      </c>
      <c r="AG207" s="104" t="s">
        <v>5443</v>
      </c>
      <c r="AH207" s="104" t="s">
        <v>5444</v>
      </c>
      <c r="AI207" s="104" t="s">
        <v>4370</v>
      </c>
      <c r="AJ207" s="104" t="s">
        <v>4370</v>
      </c>
      <c r="AK207" s="104" t="s">
        <v>4319</v>
      </c>
      <c r="AL207" s="104" t="s">
        <v>5289</v>
      </c>
      <c r="AM207" s="104" t="s">
        <v>4372</v>
      </c>
      <c r="AN207" s="104" t="s">
        <v>5445</v>
      </c>
      <c r="AO207" s="104" t="s">
        <v>5446</v>
      </c>
      <c r="AP207" s="99">
        <v>159</v>
      </c>
      <c r="AQ207" s="99">
        <v>45</v>
      </c>
      <c r="AR207" s="104" t="s">
        <v>4428</v>
      </c>
    </row>
    <row r="208" s="66" customFormat="1" spans="2:44">
      <c r="B208" s="91" t="s">
        <v>4568</v>
      </c>
      <c r="C208" s="92">
        <v>205</v>
      </c>
      <c r="D208" s="93">
        <v>252610208</v>
      </c>
      <c r="E208" s="94" t="s">
        <v>935</v>
      </c>
      <c r="F208" s="95" t="s">
        <v>936</v>
      </c>
      <c r="G208" s="96" t="s">
        <v>936</v>
      </c>
      <c r="H208" s="97"/>
      <c r="I208" s="96" t="s">
        <v>935</v>
      </c>
      <c r="J208" s="96" t="s">
        <v>935</v>
      </c>
      <c r="K208" s="97"/>
      <c r="L208" s="97"/>
      <c r="M208" s="98"/>
      <c r="N208" s="97"/>
      <c r="O208" s="97"/>
      <c r="P208" s="99"/>
      <c r="Q208" s="96"/>
      <c r="R208" s="96"/>
      <c r="S208" s="96"/>
      <c r="T208" s="88">
        <f t="shared" si="3"/>
        <v>0</v>
      </c>
      <c r="U208" s="97"/>
      <c r="V208" s="100"/>
      <c r="W208" s="101"/>
      <c r="X208" s="101"/>
      <c r="Y208" s="101"/>
      <c r="Z208" s="101"/>
      <c r="AA208" s="101"/>
      <c r="AB208" s="101"/>
      <c r="AC208" s="101"/>
      <c r="AD208" s="97"/>
      <c r="AE208" s="100"/>
      <c r="AF208" s="100"/>
      <c r="AG208" s="97"/>
      <c r="AH208" s="97"/>
      <c r="AI208" s="97"/>
      <c r="AJ208" s="97"/>
      <c r="AK208" s="97"/>
      <c r="AL208" s="97"/>
      <c r="AM208" s="97"/>
      <c r="AN208" s="97"/>
      <c r="AO208" s="97"/>
      <c r="AP208" s="100"/>
      <c r="AQ208" s="100"/>
      <c r="AR208" s="97"/>
    </row>
    <row r="209" s="66" customFormat="1" spans="2:44">
      <c r="B209" s="91" t="s">
        <v>4341</v>
      </c>
      <c r="C209" s="92">
        <v>206</v>
      </c>
      <c r="D209" s="93">
        <v>252610305</v>
      </c>
      <c r="E209" s="94" t="s">
        <v>1518</v>
      </c>
      <c r="F209" s="95" t="s">
        <v>1519</v>
      </c>
      <c r="G209" s="96" t="s">
        <v>1519</v>
      </c>
      <c r="H209" s="97"/>
      <c r="I209" s="96" t="s">
        <v>1518</v>
      </c>
      <c r="J209" s="96" t="s">
        <v>1518</v>
      </c>
      <c r="K209" s="97"/>
      <c r="L209" s="97"/>
      <c r="M209" s="98"/>
      <c r="N209" s="97"/>
      <c r="O209" s="97"/>
      <c r="P209" s="88"/>
      <c r="Q209" s="96"/>
      <c r="R209" s="96"/>
      <c r="S209" s="96"/>
      <c r="T209" s="88">
        <f t="shared" si="3"/>
        <v>0</v>
      </c>
      <c r="U209" s="97"/>
      <c r="V209" s="100"/>
      <c r="W209" s="101"/>
      <c r="X209" s="101"/>
      <c r="Y209" s="101"/>
      <c r="Z209" s="101"/>
      <c r="AA209" s="101"/>
      <c r="AB209" s="101"/>
      <c r="AC209" s="101"/>
      <c r="AD209" s="97"/>
      <c r="AE209" s="100"/>
      <c r="AF209" s="100"/>
      <c r="AG209" s="97"/>
      <c r="AH209" s="97"/>
      <c r="AI209" s="97"/>
      <c r="AJ209" s="97"/>
      <c r="AK209" s="97"/>
      <c r="AL209" s="97"/>
      <c r="AM209" s="97"/>
      <c r="AN209" s="97"/>
      <c r="AO209" s="97"/>
      <c r="AP209" s="100"/>
      <c r="AQ209" s="100"/>
      <c r="AR209" s="97"/>
    </row>
    <row r="210" spans="2:44">
      <c r="B210" s="69" t="s">
        <v>4568</v>
      </c>
      <c r="C210" s="81">
        <v>207</v>
      </c>
      <c r="D210" s="82">
        <v>252610209</v>
      </c>
      <c r="E210" s="83" t="s">
        <v>1814</v>
      </c>
      <c r="F210" s="84" t="s">
        <v>1815</v>
      </c>
      <c r="G210" s="85" t="s">
        <v>4123</v>
      </c>
      <c r="H210" s="85" t="s">
        <v>4871</v>
      </c>
      <c r="I210" s="85" t="s">
        <v>1814</v>
      </c>
      <c r="J210" s="86" t="s">
        <v>1814</v>
      </c>
      <c r="K210" s="85" t="s">
        <v>90</v>
      </c>
      <c r="L210" s="85" t="s">
        <v>4343</v>
      </c>
      <c r="M210" s="87">
        <v>40005</v>
      </c>
      <c r="N210" s="85" t="s">
        <v>4541</v>
      </c>
      <c r="O210" s="85" t="s">
        <v>4308</v>
      </c>
      <c r="P210" s="99">
        <v>2</v>
      </c>
      <c r="Q210" s="99">
        <v>1</v>
      </c>
      <c r="R210" s="99">
        <v>0</v>
      </c>
      <c r="S210" s="99">
        <v>0</v>
      </c>
      <c r="T210" s="88">
        <f t="shared" si="3"/>
        <v>1</v>
      </c>
      <c r="U210" s="85" t="s">
        <v>4308</v>
      </c>
      <c r="V210" s="88" t="s">
        <v>4358</v>
      </c>
      <c r="W210" s="109" t="s">
        <v>5447</v>
      </c>
      <c r="X210" s="109" t="s">
        <v>4392</v>
      </c>
      <c r="Y210" s="109" t="s">
        <v>4875</v>
      </c>
      <c r="Z210" s="109" t="s">
        <v>4363</v>
      </c>
      <c r="AA210" s="109" t="s">
        <v>4667</v>
      </c>
      <c r="AB210" s="109" t="s">
        <v>4364</v>
      </c>
      <c r="AC210" s="109">
        <v>40534</v>
      </c>
      <c r="AD210" s="85" t="s">
        <v>5448</v>
      </c>
      <c r="AE210" s="88" t="s">
        <v>4366</v>
      </c>
      <c r="AF210" s="88" t="s">
        <v>4502</v>
      </c>
      <c r="AG210" s="85" t="s">
        <v>5449</v>
      </c>
      <c r="AH210" s="85" t="s">
        <v>5450</v>
      </c>
      <c r="AI210" s="85" t="s">
        <v>4384</v>
      </c>
      <c r="AJ210" s="85" t="s">
        <v>4384</v>
      </c>
      <c r="AK210" s="85" t="s">
        <v>4319</v>
      </c>
      <c r="AL210" s="85" t="s">
        <v>4406</v>
      </c>
      <c r="AM210" s="85" t="s">
        <v>4372</v>
      </c>
      <c r="AN210" s="85" t="s">
        <v>5451</v>
      </c>
      <c r="AO210" s="90"/>
      <c r="AP210" s="88">
        <v>149</v>
      </c>
      <c r="AQ210" s="88">
        <v>42</v>
      </c>
      <c r="AR210" s="85" t="s">
        <v>4322</v>
      </c>
    </row>
    <row r="211" s="66" customFormat="1" spans="2:44">
      <c r="B211" s="91" t="s">
        <v>4323</v>
      </c>
      <c r="C211" s="92">
        <v>208</v>
      </c>
      <c r="D211" s="93">
        <v>252610258</v>
      </c>
      <c r="E211" s="115" t="s">
        <v>1323</v>
      </c>
      <c r="F211" s="95" t="s">
        <v>1324</v>
      </c>
      <c r="G211" s="96" t="s">
        <v>1324</v>
      </c>
      <c r="H211" s="97"/>
      <c r="I211" s="96" t="s">
        <v>1323</v>
      </c>
      <c r="J211" s="96" t="s">
        <v>1323</v>
      </c>
      <c r="K211" s="97"/>
      <c r="L211" s="97"/>
      <c r="M211" s="98"/>
      <c r="N211" s="97"/>
      <c r="O211" s="97"/>
      <c r="P211" s="88"/>
      <c r="Q211" s="96"/>
      <c r="R211" s="96"/>
      <c r="S211" s="96"/>
      <c r="T211" s="88">
        <f t="shared" si="3"/>
        <v>0</v>
      </c>
      <c r="U211" s="97"/>
      <c r="V211" s="100"/>
      <c r="W211" s="101"/>
      <c r="X211" s="101"/>
      <c r="Y211" s="101"/>
      <c r="Z211" s="101"/>
      <c r="AA211" s="101"/>
      <c r="AB211" s="101"/>
      <c r="AC211" s="101"/>
      <c r="AD211" s="97"/>
      <c r="AE211" s="100"/>
      <c r="AF211" s="100"/>
      <c r="AG211" s="97"/>
      <c r="AH211" s="97"/>
      <c r="AI211" s="97"/>
      <c r="AJ211" s="97"/>
      <c r="AK211" s="97"/>
      <c r="AL211" s="97"/>
      <c r="AM211" s="97"/>
      <c r="AN211" s="97"/>
      <c r="AO211" s="97"/>
      <c r="AP211" s="100"/>
      <c r="AQ211" s="100"/>
      <c r="AR211" s="97"/>
    </row>
    <row r="212" s="66" customFormat="1" spans="2:44">
      <c r="B212" s="91" t="s">
        <v>4341</v>
      </c>
      <c r="C212" s="92">
        <v>209</v>
      </c>
      <c r="D212" s="93">
        <v>252610306</v>
      </c>
      <c r="E212" s="115" t="s">
        <v>1421</v>
      </c>
      <c r="F212" s="95" t="s">
        <v>1422</v>
      </c>
      <c r="G212" s="96" t="s">
        <v>1422</v>
      </c>
      <c r="H212" s="97"/>
      <c r="I212" s="96" t="s">
        <v>1421</v>
      </c>
      <c r="J212" s="96" t="s">
        <v>1421</v>
      </c>
      <c r="K212" s="97"/>
      <c r="L212" s="97"/>
      <c r="M212" s="98"/>
      <c r="N212" s="97"/>
      <c r="O212" s="97"/>
      <c r="P212" s="99"/>
      <c r="Q212" s="96"/>
      <c r="R212" s="96"/>
      <c r="S212" s="96"/>
      <c r="T212" s="88">
        <f t="shared" si="3"/>
        <v>0</v>
      </c>
      <c r="U212" s="97"/>
      <c r="V212" s="100"/>
      <c r="W212" s="101"/>
      <c r="X212" s="101"/>
      <c r="Y212" s="101"/>
      <c r="Z212" s="101"/>
      <c r="AA212" s="101"/>
      <c r="AB212" s="101"/>
      <c r="AC212" s="101"/>
      <c r="AD212" s="97"/>
      <c r="AE212" s="100"/>
      <c r="AF212" s="100"/>
      <c r="AG212" s="97"/>
      <c r="AH212" s="97"/>
      <c r="AI212" s="97"/>
      <c r="AJ212" s="97"/>
      <c r="AK212" s="97"/>
      <c r="AL212" s="97"/>
      <c r="AM212" s="97"/>
      <c r="AN212" s="97"/>
      <c r="AO212" s="97"/>
      <c r="AP212" s="100"/>
      <c r="AQ212" s="100"/>
      <c r="AR212" s="97"/>
    </row>
    <row r="213" s="66" customFormat="1" spans="2:44">
      <c r="B213" s="91" t="s">
        <v>4354</v>
      </c>
      <c r="C213" s="92">
        <v>210</v>
      </c>
      <c r="D213" s="93">
        <v>252610068</v>
      </c>
      <c r="E213" s="94" t="s">
        <v>1520</v>
      </c>
      <c r="F213" s="95" t="s">
        <v>1521</v>
      </c>
      <c r="G213" s="96" t="s">
        <v>1521</v>
      </c>
      <c r="H213" s="97"/>
      <c r="I213" s="96" t="s">
        <v>1520</v>
      </c>
      <c r="J213" s="96" t="s">
        <v>1520</v>
      </c>
      <c r="K213" s="97"/>
      <c r="L213" s="97"/>
      <c r="M213" s="98"/>
      <c r="N213" s="97"/>
      <c r="O213" s="97"/>
      <c r="P213" s="88"/>
      <c r="Q213" s="96"/>
      <c r="R213" s="96"/>
      <c r="S213" s="96"/>
      <c r="T213" s="88">
        <f t="shared" si="3"/>
        <v>0</v>
      </c>
      <c r="U213" s="97"/>
      <c r="V213" s="100"/>
      <c r="W213" s="101"/>
      <c r="X213" s="101"/>
      <c r="Y213" s="101"/>
      <c r="Z213" s="101"/>
      <c r="AA213" s="101"/>
      <c r="AB213" s="101"/>
      <c r="AC213" s="101"/>
      <c r="AD213" s="97"/>
      <c r="AE213" s="100"/>
      <c r="AF213" s="100"/>
      <c r="AG213" s="97"/>
      <c r="AH213" s="97"/>
      <c r="AI213" s="97"/>
      <c r="AJ213" s="97"/>
      <c r="AK213" s="97"/>
      <c r="AL213" s="97"/>
      <c r="AM213" s="97"/>
      <c r="AN213" s="97"/>
      <c r="AO213" s="97"/>
      <c r="AP213" s="100"/>
      <c r="AQ213" s="100"/>
      <c r="AR213" s="97"/>
    </row>
    <row r="214" spans="2:44">
      <c r="B214" s="69" t="s">
        <v>4355</v>
      </c>
      <c r="C214" s="81">
        <v>211</v>
      </c>
      <c r="D214" s="82">
        <v>252610162</v>
      </c>
      <c r="E214" s="116" t="s">
        <v>1816</v>
      </c>
      <c r="F214" s="84" t="s">
        <v>1817</v>
      </c>
      <c r="G214" s="85" t="s">
        <v>5452</v>
      </c>
      <c r="H214" s="85" t="s">
        <v>5453</v>
      </c>
      <c r="I214" s="85" t="s">
        <v>1816</v>
      </c>
      <c r="J214" s="86" t="s">
        <v>1816</v>
      </c>
      <c r="K214" s="85" t="s">
        <v>89</v>
      </c>
      <c r="L214" s="85" t="s">
        <v>4357</v>
      </c>
      <c r="M214" s="87">
        <v>40063</v>
      </c>
      <c r="N214" s="85" t="s">
        <v>4328</v>
      </c>
      <c r="O214" s="85" t="s">
        <v>4329</v>
      </c>
      <c r="P214" s="99">
        <v>1</v>
      </c>
      <c r="Q214" s="99">
        <v>3</v>
      </c>
      <c r="R214" s="99">
        <v>0</v>
      </c>
      <c r="S214" s="99">
        <v>0</v>
      </c>
      <c r="T214" s="88">
        <f t="shared" si="3"/>
        <v>3</v>
      </c>
      <c r="U214" s="85" t="s">
        <v>5031</v>
      </c>
      <c r="V214" s="88" t="s">
        <v>4310</v>
      </c>
      <c r="W214" s="109" t="s">
        <v>5454</v>
      </c>
      <c r="X214" s="109" t="s">
        <v>4492</v>
      </c>
      <c r="Y214" s="109" t="s">
        <v>4793</v>
      </c>
      <c r="Z214" s="109" t="s">
        <v>5455</v>
      </c>
      <c r="AA214" s="109" t="s">
        <v>4407</v>
      </c>
      <c r="AB214" s="109" t="s">
        <v>4451</v>
      </c>
      <c r="AC214" s="109">
        <v>40534</v>
      </c>
      <c r="AD214" s="85" t="s">
        <v>5456</v>
      </c>
      <c r="AE214" s="88" t="s">
        <v>4410</v>
      </c>
      <c r="AF214" s="88">
        <v>1</v>
      </c>
      <c r="AG214" s="85" t="s">
        <v>5457</v>
      </c>
      <c r="AH214" s="85" t="s">
        <v>5458</v>
      </c>
      <c r="AI214" s="85" t="s">
        <v>4683</v>
      </c>
      <c r="AJ214" s="85" t="s">
        <v>4683</v>
      </c>
      <c r="AK214" s="85" t="s">
        <v>4337</v>
      </c>
      <c r="AL214" s="90"/>
      <c r="AM214" s="85" t="s">
        <v>4372</v>
      </c>
      <c r="AN214" s="85" t="s">
        <v>3545</v>
      </c>
      <c r="AO214" s="85" t="s">
        <v>5459</v>
      </c>
      <c r="AP214" s="88">
        <v>163</v>
      </c>
      <c r="AQ214" s="88">
        <v>83</v>
      </c>
      <c r="AR214" s="85" t="s">
        <v>4340</v>
      </c>
    </row>
    <row r="215" spans="2:44">
      <c r="B215" s="69" t="s">
        <v>4324</v>
      </c>
      <c r="C215" s="81">
        <v>212</v>
      </c>
      <c r="D215" s="82">
        <v>252610115</v>
      </c>
      <c r="E215" s="83" t="s">
        <v>1233</v>
      </c>
      <c r="F215" s="84" t="s">
        <v>1234</v>
      </c>
      <c r="G215" s="104" t="s">
        <v>1234</v>
      </c>
      <c r="H215" s="104" t="s">
        <v>5460</v>
      </c>
      <c r="I215" s="104" t="s">
        <v>1233</v>
      </c>
      <c r="J215" s="86" t="s">
        <v>1233</v>
      </c>
      <c r="K215" s="104" t="s">
        <v>89</v>
      </c>
      <c r="L215" s="104" t="s">
        <v>4540</v>
      </c>
      <c r="M215" s="105">
        <v>40179</v>
      </c>
      <c r="N215" s="104" t="s">
        <v>5303</v>
      </c>
      <c r="O215" s="104" t="s">
        <v>4344</v>
      </c>
      <c r="P215" s="88">
        <v>2</v>
      </c>
      <c r="Q215" s="88">
        <v>3</v>
      </c>
      <c r="R215" s="88">
        <v>0</v>
      </c>
      <c r="S215" s="88">
        <v>0</v>
      </c>
      <c r="T215" s="88">
        <f t="shared" si="3"/>
        <v>3</v>
      </c>
      <c r="U215" s="104" t="s">
        <v>4345</v>
      </c>
      <c r="V215" s="99">
        <v>0</v>
      </c>
      <c r="W215" s="108" t="s">
        <v>5461</v>
      </c>
      <c r="X215" s="108" t="s">
        <v>4544</v>
      </c>
      <c r="Y215" s="108" t="s">
        <v>5323</v>
      </c>
      <c r="Z215" s="108" t="s">
        <v>4645</v>
      </c>
      <c r="AA215" s="108" t="s">
        <v>4645</v>
      </c>
      <c r="AB215" s="108" t="s">
        <v>4420</v>
      </c>
      <c r="AC215" s="108">
        <v>40216</v>
      </c>
      <c r="AD215" s="104" t="s">
        <v>5462</v>
      </c>
      <c r="AE215" s="99" t="s">
        <v>4990</v>
      </c>
      <c r="AF215" s="99">
        <v>3</v>
      </c>
      <c r="AG215" s="104" t="s">
        <v>5463</v>
      </c>
      <c r="AH215" s="104" t="s">
        <v>5464</v>
      </c>
      <c r="AI215" s="104" t="s">
        <v>4352</v>
      </c>
      <c r="AJ215" s="104" t="s">
        <v>4352</v>
      </c>
      <c r="AK215" s="104" t="s">
        <v>4414</v>
      </c>
      <c r="AL215" s="104" t="s">
        <v>4406</v>
      </c>
      <c r="AM215" s="104" t="s">
        <v>4320</v>
      </c>
      <c r="AN215" s="104" t="s">
        <v>5465</v>
      </c>
      <c r="AO215" s="104" t="s">
        <v>4406</v>
      </c>
      <c r="AP215" s="99">
        <v>168</v>
      </c>
      <c r="AQ215" s="99">
        <v>55</v>
      </c>
      <c r="AR215" s="104" t="s">
        <v>4322</v>
      </c>
    </row>
    <row r="216" s="66" customFormat="1" spans="2:44">
      <c r="B216" s="91" t="s">
        <v>4568</v>
      </c>
      <c r="C216" s="92">
        <v>213</v>
      </c>
      <c r="D216" s="93">
        <v>252610210</v>
      </c>
      <c r="E216" s="115" t="s">
        <v>1045</v>
      </c>
      <c r="F216" s="95" t="s">
        <v>4124</v>
      </c>
      <c r="G216" s="96" t="s">
        <v>4124</v>
      </c>
      <c r="H216" s="97"/>
      <c r="I216" s="96" t="s">
        <v>1045</v>
      </c>
      <c r="J216" s="96" t="s">
        <v>1045</v>
      </c>
      <c r="K216" s="97"/>
      <c r="L216" s="97"/>
      <c r="M216" s="98"/>
      <c r="N216" s="97"/>
      <c r="O216" s="97"/>
      <c r="P216" s="99"/>
      <c r="Q216" s="96"/>
      <c r="R216" s="96"/>
      <c r="S216" s="96"/>
      <c r="T216" s="88">
        <f t="shared" si="3"/>
        <v>0</v>
      </c>
      <c r="U216" s="97"/>
      <c r="V216" s="100"/>
      <c r="W216" s="101"/>
      <c r="X216" s="101"/>
      <c r="Y216" s="101"/>
      <c r="Z216" s="101"/>
      <c r="AA216" s="101"/>
      <c r="AB216" s="101"/>
      <c r="AC216" s="101"/>
      <c r="AD216" s="97"/>
      <c r="AE216" s="100"/>
      <c r="AF216" s="100"/>
      <c r="AG216" s="97"/>
      <c r="AH216" s="97"/>
      <c r="AI216" s="97"/>
      <c r="AJ216" s="97"/>
      <c r="AK216" s="97"/>
      <c r="AL216" s="97"/>
      <c r="AM216" s="97"/>
      <c r="AN216" s="97"/>
      <c r="AO216" s="97"/>
      <c r="AP216" s="100"/>
      <c r="AQ216" s="100"/>
      <c r="AR216" s="97"/>
    </row>
    <row r="217" spans="2:44">
      <c r="B217" s="69" t="s">
        <v>4355</v>
      </c>
      <c r="C217" s="81">
        <v>214</v>
      </c>
      <c r="D217" s="82">
        <v>252610163</v>
      </c>
      <c r="E217" s="83" t="s">
        <v>1905</v>
      </c>
      <c r="F217" s="84" t="s">
        <v>1906</v>
      </c>
      <c r="G217" s="85" t="s">
        <v>4126</v>
      </c>
      <c r="H217" s="85" t="s">
        <v>5466</v>
      </c>
      <c r="I217" s="85" t="s">
        <v>1905</v>
      </c>
      <c r="J217" s="86" t="s">
        <v>1905</v>
      </c>
      <c r="K217" s="85" t="s">
        <v>90</v>
      </c>
      <c r="L217" s="85" t="s">
        <v>5467</v>
      </c>
      <c r="M217" s="87">
        <v>39987</v>
      </c>
      <c r="N217" s="85" t="s">
        <v>4307</v>
      </c>
      <c r="O217" s="85" t="s">
        <v>4308</v>
      </c>
      <c r="P217" s="88">
        <v>2</v>
      </c>
      <c r="Q217" s="99">
        <v>1</v>
      </c>
      <c r="R217" s="99">
        <v>0</v>
      </c>
      <c r="S217" s="99">
        <v>0</v>
      </c>
      <c r="T217" s="88">
        <f t="shared" si="3"/>
        <v>1</v>
      </c>
      <c r="U217" s="85" t="s">
        <v>4675</v>
      </c>
      <c r="V217" s="88" t="s">
        <v>4310</v>
      </c>
      <c r="W217" s="109" t="s">
        <v>5468</v>
      </c>
      <c r="X217" s="109" t="s">
        <v>4391</v>
      </c>
      <c r="Y217" s="109" t="s">
        <v>4544</v>
      </c>
      <c r="Z217" s="109" t="s">
        <v>5469</v>
      </c>
      <c r="AA217" s="109" t="s">
        <v>5470</v>
      </c>
      <c r="AB217" s="109" t="s">
        <v>5471</v>
      </c>
      <c r="AC217" s="109">
        <v>46465</v>
      </c>
      <c r="AD217" s="85" t="s">
        <v>5472</v>
      </c>
      <c r="AE217" s="88" t="s">
        <v>4481</v>
      </c>
      <c r="AF217" s="88" t="s">
        <v>5027</v>
      </c>
      <c r="AG217" s="85" t="s">
        <v>5473</v>
      </c>
      <c r="AH217" s="85" t="s">
        <v>5474</v>
      </c>
      <c r="AI217" s="85" t="s">
        <v>4615</v>
      </c>
      <c r="AJ217" s="85" t="s">
        <v>4351</v>
      </c>
      <c r="AK217" s="85" t="s">
        <v>4402</v>
      </c>
      <c r="AL217" s="90"/>
      <c r="AM217" s="85" t="s">
        <v>4338</v>
      </c>
      <c r="AN217" s="85" t="s">
        <v>5475</v>
      </c>
      <c r="AO217" s="90"/>
      <c r="AP217" s="88">
        <v>158</v>
      </c>
      <c r="AQ217" s="88">
        <v>70</v>
      </c>
      <c r="AR217" s="85" t="s">
        <v>4517</v>
      </c>
    </row>
    <row r="218" spans="2:44">
      <c r="B218" s="69" t="s">
        <v>4674</v>
      </c>
      <c r="C218" s="81">
        <v>215</v>
      </c>
      <c r="D218" s="82">
        <v>252610400</v>
      </c>
      <c r="E218" s="83" t="s">
        <v>1821</v>
      </c>
      <c r="F218" s="84" t="s">
        <v>1822</v>
      </c>
      <c r="G218" s="104" t="s">
        <v>1822</v>
      </c>
      <c r="H218" s="104" t="s">
        <v>5476</v>
      </c>
      <c r="I218" s="104" t="s">
        <v>1821</v>
      </c>
      <c r="J218" s="86" t="s">
        <v>1821</v>
      </c>
      <c r="K218" s="104" t="s">
        <v>89</v>
      </c>
      <c r="L218" s="104" t="s">
        <v>4343</v>
      </c>
      <c r="M218" s="105">
        <v>40186</v>
      </c>
      <c r="N218" s="104" t="s">
        <v>4460</v>
      </c>
      <c r="O218" s="104" t="s">
        <v>4489</v>
      </c>
      <c r="P218" s="99">
        <v>5</v>
      </c>
      <c r="Q218" s="88">
        <v>4</v>
      </c>
      <c r="R218" s="88">
        <v>0</v>
      </c>
      <c r="S218" s="88">
        <v>0</v>
      </c>
      <c r="T218" s="88">
        <f t="shared" si="3"/>
        <v>4</v>
      </c>
      <c r="U218" s="104" t="s">
        <v>4344</v>
      </c>
      <c r="V218" s="99" t="s">
        <v>4595</v>
      </c>
      <c r="W218" s="108" t="s">
        <v>5477</v>
      </c>
      <c r="X218" s="108" t="s">
        <v>4477</v>
      </c>
      <c r="Y218" s="108" t="s">
        <v>5478</v>
      </c>
      <c r="Z218" s="108" t="s">
        <v>5479</v>
      </c>
      <c r="AA218" s="108" t="s">
        <v>4573</v>
      </c>
      <c r="AB218" s="108" t="s">
        <v>4378</v>
      </c>
      <c r="AC218" s="108">
        <v>40535</v>
      </c>
      <c r="AD218" s="104" t="s">
        <v>5480</v>
      </c>
      <c r="AE218" s="99" t="s">
        <v>4436</v>
      </c>
      <c r="AF218" s="117">
        <v>1693</v>
      </c>
      <c r="AG218" s="104" t="s">
        <v>5481</v>
      </c>
      <c r="AH218" s="104" t="s">
        <v>5482</v>
      </c>
      <c r="AI218" s="104" t="s">
        <v>4638</v>
      </c>
      <c r="AJ218" s="104" t="s">
        <v>4318</v>
      </c>
      <c r="AK218" s="104" t="s">
        <v>4337</v>
      </c>
      <c r="AL218" s="106"/>
      <c r="AM218" s="104" t="s">
        <v>4372</v>
      </c>
      <c r="AN218" s="104" t="s">
        <v>3248</v>
      </c>
      <c r="AO218" s="106"/>
      <c r="AP218" s="99">
        <v>165</v>
      </c>
      <c r="AQ218" s="99">
        <v>56</v>
      </c>
      <c r="AR218" s="104" t="s">
        <v>4428</v>
      </c>
    </row>
    <row r="219" spans="2:44">
      <c r="B219" s="69" t="s">
        <v>4355</v>
      </c>
      <c r="C219" s="81">
        <v>216</v>
      </c>
      <c r="D219" s="82">
        <v>252610164</v>
      </c>
      <c r="E219" s="83" t="s">
        <v>1618</v>
      </c>
      <c r="F219" s="84" t="s">
        <v>1619</v>
      </c>
      <c r="G219" s="85" t="s">
        <v>1619</v>
      </c>
      <c r="H219" s="85" t="s">
        <v>5483</v>
      </c>
      <c r="I219" s="85" t="s">
        <v>1618</v>
      </c>
      <c r="J219" s="86" t="s">
        <v>1618</v>
      </c>
      <c r="K219" s="85" t="s">
        <v>89</v>
      </c>
      <c r="L219" s="85" t="s">
        <v>4557</v>
      </c>
      <c r="M219" s="87">
        <v>40297</v>
      </c>
      <c r="N219" s="85" t="s">
        <v>4328</v>
      </c>
      <c r="O219" s="85" t="s">
        <v>4489</v>
      </c>
      <c r="P219" s="88">
        <v>5</v>
      </c>
      <c r="Q219" s="99">
        <v>6</v>
      </c>
      <c r="R219" s="99">
        <v>0</v>
      </c>
      <c r="S219" s="99">
        <v>0</v>
      </c>
      <c r="T219" s="88">
        <f t="shared" si="3"/>
        <v>6</v>
      </c>
      <c r="U219" s="85" t="s">
        <v>4558</v>
      </c>
      <c r="V219" s="88" t="s">
        <v>4330</v>
      </c>
      <c r="W219" s="109" t="s">
        <v>5484</v>
      </c>
      <c r="X219" s="109" t="s">
        <v>4376</v>
      </c>
      <c r="Y219" s="109">
        <v>22</v>
      </c>
      <c r="Z219" s="109" t="s">
        <v>5485</v>
      </c>
      <c r="AA219" s="109" t="s">
        <v>4494</v>
      </c>
      <c r="AB219" s="109" t="s">
        <v>4451</v>
      </c>
      <c r="AC219" s="109">
        <v>40534</v>
      </c>
      <c r="AD219" s="85" t="s">
        <v>5486</v>
      </c>
      <c r="AE219" s="88" t="s">
        <v>4679</v>
      </c>
      <c r="AF219" s="88" t="s">
        <v>5487</v>
      </c>
      <c r="AG219" s="85" t="s">
        <v>5488</v>
      </c>
      <c r="AH219" s="85" t="s">
        <v>5489</v>
      </c>
      <c r="AI219" s="85" t="s">
        <v>4318</v>
      </c>
      <c r="AJ219" s="85" t="s">
        <v>4384</v>
      </c>
      <c r="AK219" s="85" t="s">
        <v>4337</v>
      </c>
      <c r="AL219" s="90"/>
      <c r="AM219" s="85" t="s">
        <v>4372</v>
      </c>
      <c r="AN219" s="85" t="s">
        <v>5490</v>
      </c>
      <c r="AO219" s="90"/>
      <c r="AP219" s="88">
        <v>165</v>
      </c>
      <c r="AQ219" s="88">
        <v>46</v>
      </c>
      <c r="AR219" s="85" t="s">
        <v>4322</v>
      </c>
    </row>
    <row r="220" spans="2:44">
      <c r="B220" s="69" t="s">
        <v>4674</v>
      </c>
      <c r="C220" s="81">
        <v>217</v>
      </c>
      <c r="D220" s="82">
        <v>252610401</v>
      </c>
      <c r="E220" s="83" t="s">
        <v>937</v>
      </c>
      <c r="F220" s="84" t="s">
        <v>938</v>
      </c>
      <c r="G220" s="104" t="s">
        <v>938</v>
      </c>
      <c r="H220" s="104" t="s">
        <v>5491</v>
      </c>
      <c r="I220" s="104" t="s">
        <v>937</v>
      </c>
      <c r="J220" s="86" t="s">
        <v>937</v>
      </c>
      <c r="K220" s="104" t="s">
        <v>90</v>
      </c>
      <c r="L220" s="104" t="s">
        <v>4343</v>
      </c>
      <c r="M220" s="105">
        <v>39910</v>
      </c>
      <c r="N220" s="104" t="s">
        <v>4307</v>
      </c>
      <c r="O220" s="104" t="s">
        <v>4344</v>
      </c>
      <c r="P220" s="99">
        <v>2</v>
      </c>
      <c r="Q220" s="88">
        <v>3</v>
      </c>
      <c r="R220" s="88">
        <v>0</v>
      </c>
      <c r="S220" s="88">
        <v>0</v>
      </c>
      <c r="T220" s="88">
        <f t="shared" si="3"/>
        <v>3</v>
      </c>
      <c r="U220" s="104" t="s">
        <v>4345</v>
      </c>
      <c r="V220" s="99">
        <v>0</v>
      </c>
      <c r="W220" s="108" t="s">
        <v>5492</v>
      </c>
      <c r="X220" s="108" t="s">
        <v>4419</v>
      </c>
      <c r="Y220" s="108">
        <v>22</v>
      </c>
      <c r="Z220" s="108" t="s">
        <v>5493</v>
      </c>
      <c r="AA220" s="108" t="s">
        <v>4363</v>
      </c>
      <c r="AB220" s="108" t="s">
        <v>4378</v>
      </c>
      <c r="AC220" s="108">
        <v>40534</v>
      </c>
      <c r="AD220" s="104" t="s">
        <v>5494</v>
      </c>
      <c r="AE220" s="99" t="s">
        <v>5158</v>
      </c>
      <c r="AF220" s="99" t="s">
        <v>5035</v>
      </c>
      <c r="AG220" s="104" t="s">
        <v>5495</v>
      </c>
      <c r="AH220" s="104" t="s">
        <v>5496</v>
      </c>
      <c r="AI220" s="104" t="s">
        <v>5328</v>
      </c>
      <c r="AJ220" s="104" t="s">
        <v>4318</v>
      </c>
      <c r="AK220" s="104" t="s">
        <v>4402</v>
      </c>
      <c r="AL220" s="106"/>
      <c r="AM220" s="104" t="s">
        <v>4553</v>
      </c>
      <c r="AN220" s="104" t="s">
        <v>5497</v>
      </c>
      <c r="AO220" s="104" t="s">
        <v>4406</v>
      </c>
      <c r="AP220" s="99">
        <v>158</v>
      </c>
      <c r="AQ220" s="99">
        <v>47</v>
      </c>
      <c r="AR220" s="104" t="s">
        <v>4428</v>
      </c>
    </row>
    <row r="221" spans="2:44">
      <c r="B221" s="69" t="s">
        <v>4323</v>
      </c>
      <c r="C221" s="81">
        <v>218</v>
      </c>
      <c r="D221" s="82">
        <v>252610259</v>
      </c>
      <c r="E221" s="83" t="s">
        <v>940</v>
      </c>
      <c r="F221" s="84" t="s">
        <v>941</v>
      </c>
      <c r="G221" s="85" t="s">
        <v>941</v>
      </c>
      <c r="H221" s="85" t="s">
        <v>5498</v>
      </c>
      <c r="I221" s="85" t="s">
        <v>940</v>
      </c>
      <c r="J221" s="86" t="s">
        <v>940</v>
      </c>
      <c r="K221" s="85" t="s">
        <v>90</v>
      </c>
      <c r="L221" s="85" t="s">
        <v>4343</v>
      </c>
      <c r="M221" s="87">
        <v>40449</v>
      </c>
      <c r="N221" s="85" t="s">
        <v>4307</v>
      </c>
      <c r="O221" s="85" t="s">
        <v>4344</v>
      </c>
      <c r="P221" s="88">
        <v>1</v>
      </c>
      <c r="Q221" s="99">
        <v>1</v>
      </c>
      <c r="R221" s="99">
        <v>0</v>
      </c>
      <c r="S221" s="99">
        <v>0</v>
      </c>
      <c r="T221" s="88">
        <f t="shared" si="3"/>
        <v>1</v>
      </c>
      <c r="U221" s="85" t="s">
        <v>5499</v>
      </c>
      <c r="V221" s="88">
        <v>0</v>
      </c>
      <c r="W221" s="109" t="s">
        <v>5500</v>
      </c>
      <c r="X221" s="109" t="s">
        <v>4391</v>
      </c>
      <c r="Y221" s="109" t="s">
        <v>4606</v>
      </c>
      <c r="Z221" s="109" t="s">
        <v>5501</v>
      </c>
      <c r="AA221" s="109" t="s">
        <v>5502</v>
      </c>
      <c r="AB221" s="109" t="s">
        <v>5503</v>
      </c>
      <c r="AC221" s="109">
        <v>40224</v>
      </c>
      <c r="AD221" s="85" t="s">
        <v>5504</v>
      </c>
      <c r="AE221" s="88" t="s">
        <v>4366</v>
      </c>
      <c r="AF221" s="88" t="s">
        <v>4423</v>
      </c>
      <c r="AG221" s="85" t="s">
        <v>5505</v>
      </c>
      <c r="AH221" s="85" t="s">
        <v>5506</v>
      </c>
      <c r="AI221" s="85" t="s">
        <v>4384</v>
      </c>
      <c r="AJ221" s="85" t="s">
        <v>4318</v>
      </c>
      <c r="AK221" s="85" t="s">
        <v>4319</v>
      </c>
      <c r="AL221" s="90"/>
      <c r="AM221" s="85" t="s">
        <v>4441</v>
      </c>
      <c r="AN221" s="85" t="s">
        <v>5507</v>
      </c>
      <c r="AO221" s="90"/>
      <c r="AP221" s="88">
        <v>168</v>
      </c>
      <c r="AQ221" s="88">
        <v>75</v>
      </c>
      <c r="AR221" s="85" t="s">
        <v>4322</v>
      </c>
    </row>
    <row r="222" s="66" customFormat="1" spans="2:44">
      <c r="B222" s="91" t="s">
        <v>4386</v>
      </c>
      <c r="C222" s="92">
        <v>219</v>
      </c>
      <c r="D222" s="93">
        <v>252610355</v>
      </c>
      <c r="E222" s="94" t="s">
        <v>1710</v>
      </c>
      <c r="F222" s="95" t="s">
        <v>1711</v>
      </c>
      <c r="G222" s="96" t="s">
        <v>1711</v>
      </c>
      <c r="H222" s="97"/>
      <c r="I222" s="96" t="s">
        <v>1710</v>
      </c>
      <c r="J222" s="96" t="s">
        <v>1710</v>
      </c>
      <c r="K222" s="97"/>
      <c r="L222" s="97"/>
      <c r="M222" s="98"/>
      <c r="N222" s="97"/>
      <c r="O222" s="97"/>
      <c r="P222" s="99"/>
      <c r="Q222" s="96"/>
      <c r="R222" s="96"/>
      <c r="S222" s="96"/>
      <c r="T222" s="88">
        <f t="shared" si="3"/>
        <v>0</v>
      </c>
      <c r="U222" s="97"/>
      <c r="V222" s="100"/>
      <c r="W222" s="101"/>
      <c r="X222" s="101"/>
      <c r="Y222" s="101"/>
      <c r="Z222" s="101"/>
      <c r="AA222" s="101"/>
      <c r="AB222" s="101"/>
      <c r="AC222" s="101"/>
      <c r="AD222" s="97"/>
      <c r="AE222" s="100"/>
      <c r="AF222" s="100"/>
      <c r="AG222" s="97"/>
      <c r="AH222" s="97"/>
      <c r="AI222" s="97"/>
      <c r="AJ222" s="97"/>
      <c r="AK222" s="97"/>
      <c r="AL222" s="97"/>
      <c r="AM222" s="97"/>
      <c r="AN222" s="97"/>
      <c r="AO222" s="97"/>
      <c r="AP222" s="100"/>
      <c r="AQ222" s="100"/>
      <c r="AR222" s="97"/>
    </row>
    <row r="223" s="66" customFormat="1" spans="2:44">
      <c r="B223" s="91" t="s">
        <v>4674</v>
      </c>
      <c r="C223" s="92">
        <v>220</v>
      </c>
      <c r="D223" s="93">
        <v>252610402</v>
      </c>
      <c r="E223" s="115" t="s">
        <v>1047</v>
      </c>
      <c r="F223" s="95" t="s">
        <v>1048</v>
      </c>
      <c r="G223" s="96" t="s">
        <v>1048</v>
      </c>
      <c r="H223" s="97"/>
      <c r="I223" s="96" t="s">
        <v>1047</v>
      </c>
      <c r="J223" s="96" t="s">
        <v>1047</v>
      </c>
      <c r="K223" s="97"/>
      <c r="L223" s="97"/>
      <c r="M223" s="98"/>
      <c r="N223" s="97"/>
      <c r="O223" s="97"/>
      <c r="P223" s="88"/>
      <c r="Q223" s="96"/>
      <c r="R223" s="96"/>
      <c r="S223" s="96"/>
      <c r="T223" s="88">
        <f t="shared" si="3"/>
        <v>0</v>
      </c>
      <c r="U223" s="97"/>
      <c r="V223" s="100"/>
      <c r="W223" s="101"/>
      <c r="X223" s="101"/>
      <c r="Y223" s="101"/>
      <c r="Z223" s="101"/>
      <c r="AA223" s="101"/>
      <c r="AB223" s="101"/>
      <c r="AC223" s="101"/>
      <c r="AD223" s="97"/>
      <c r="AE223" s="100"/>
      <c r="AF223" s="100"/>
      <c r="AG223" s="97"/>
      <c r="AH223" s="97"/>
      <c r="AI223" s="97"/>
      <c r="AJ223" s="97"/>
      <c r="AK223" s="97"/>
      <c r="AL223" s="97"/>
      <c r="AM223" s="97"/>
      <c r="AN223" s="97"/>
      <c r="AO223" s="97"/>
      <c r="AP223" s="100"/>
      <c r="AQ223" s="100"/>
      <c r="AR223" s="97"/>
    </row>
    <row r="224" spans="2:44">
      <c r="B224" s="69" t="s">
        <v>4304</v>
      </c>
      <c r="C224" s="81">
        <v>221</v>
      </c>
      <c r="D224" s="82">
        <v>252610449</v>
      </c>
      <c r="E224" s="83" t="s">
        <v>1712</v>
      </c>
      <c r="F224" s="84" t="s">
        <v>1713</v>
      </c>
      <c r="G224" s="104" t="s">
        <v>1713</v>
      </c>
      <c r="H224" s="104" t="s">
        <v>5508</v>
      </c>
      <c r="I224" s="104" t="s">
        <v>1712</v>
      </c>
      <c r="J224" s="86" t="s">
        <v>1712</v>
      </c>
      <c r="K224" s="104" t="s">
        <v>90</v>
      </c>
      <c r="L224" s="104" t="s">
        <v>4905</v>
      </c>
      <c r="M224" s="105">
        <v>39850</v>
      </c>
      <c r="N224" s="104" t="s">
        <v>4328</v>
      </c>
      <c r="O224" s="104" t="s">
        <v>4489</v>
      </c>
      <c r="P224" s="99">
        <v>4</v>
      </c>
      <c r="Q224" s="88">
        <v>6</v>
      </c>
      <c r="R224" s="88">
        <v>0</v>
      </c>
      <c r="S224" s="88">
        <v>0</v>
      </c>
      <c r="T224" s="88">
        <f t="shared" si="3"/>
        <v>6</v>
      </c>
      <c r="U224" s="104" t="s">
        <v>5031</v>
      </c>
      <c r="V224" s="99" t="s">
        <v>4310</v>
      </c>
      <c r="W224" s="108" t="s">
        <v>5509</v>
      </c>
      <c r="X224" s="108" t="s">
        <v>4492</v>
      </c>
      <c r="Y224" s="108">
        <v>19</v>
      </c>
      <c r="Z224" s="114"/>
      <c r="AA224" s="108" t="s">
        <v>5510</v>
      </c>
      <c r="AB224" s="108" t="s">
        <v>4451</v>
      </c>
      <c r="AC224" s="108">
        <v>40534</v>
      </c>
      <c r="AD224" s="104" t="s">
        <v>5511</v>
      </c>
      <c r="AE224" s="99" t="s">
        <v>5512</v>
      </c>
      <c r="AF224" s="99" t="s">
        <v>4482</v>
      </c>
      <c r="AG224" s="104" t="s">
        <v>5513</v>
      </c>
      <c r="AH224" s="104" t="s">
        <v>5514</v>
      </c>
      <c r="AI224" s="104" t="s">
        <v>5515</v>
      </c>
      <c r="AJ224" s="104" t="s">
        <v>4318</v>
      </c>
      <c r="AK224" s="104" t="s">
        <v>4320</v>
      </c>
      <c r="AL224" s="106"/>
      <c r="AM224" s="104" t="s">
        <v>4372</v>
      </c>
      <c r="AN224" s="104" t="s">
        <v>4846</v>
      </c>
      <c r="AO224" s="106"/>
      <c r="AP224" s="99">
        <v>165</v>
      </c>
      <c r="AQ224" s="99">
        <v>55</v>
      </c>
      <c r="AR224" s="104" t="s">
        <v>4415</v>
      </c>
    </row>
    <row r="225" spans="2:44">
      <c r="B225" s="69" t="s">
        <v>4386</v>
      </c>
      <c r="C225" s="81">
        <v>222</v>
      </c>
      <c r="D225" s="82">
        <v>252610356</v>
      </c>
      <c r="E225" s="83" t="s">
        <v>1823</v>
      </c>
      <c r="F225" s="84" t="s">
        <v>1824</v>
      </c>
      <c r="G225" s="85" t="s">
        <v>1824</v>
      </c>
      <c r="H225" s="85" t="s">
        <v>5516</v>
      </c>
      <c r="I225" s="85" t="s">
        <v>1823</v>
      </c>
      <c r="J225" s="86" t="s">
        <v>1823</v>
      </c>
      <c r="K225" s="85" t="s">
        <v>89</v>
      </c>
      <c r="L225" s="85" t="s">
        <v>4629</v>
      </c>
      <c r="M225" s="87">
        <v>39971</v>
      </c>
      <c r="N225" s="85" t="s">
        <v>4328</v>
      </c>
      <c r="O225" s="85" t="s">
        <v>5517</v>
      </c>
      <c r="P225" s="88">
        <v>2</v>
      </c>
      <c r="Q225" s="99">
        <v>1</v>
      </c>
      <c r="R225" s="99">
        <v>0</v>
      </c>
      <c r="S225" s="99">
        <v>0</v>
      </c>
      <c r="T225" s="88">
        <f t="shared" si="3"/>
        <v>1</v>
      </c>
      <c r="U225" s="85" t="s">
        <v>4754</v>
      </c>
      <c r="V225" s="88">
        <v>0</v>
      </c>
      <c r="W225" s="109" t="s">
        <v>5518</v>
      </c>
      <c r="X225" s="109" t="s">
        <v>4714</v>
      </c>
      <c r="Y225" s="109" t="s">
        <v>4915</v>
      </c>
      <c r="Z225" s="109" t="s">
        <v>5519</v>
      </c>
      <c r="AA225" s="109" t="s">
        <v>4494</v>
      </c>
      <c r="AB225" s="109" t="s">
        <v>4451</v>
      </c>
      <c r="AC225" s="109">
        <v>40534</v>
      </c>
      <c r="AD225" s="85" t="s">
        <v>5520</v>
      </c>
      <c r="AE225" s="88" t="s">
        <v>5521</v>
      </c>
      <c r="AF225" s="88" t="s">
        <v>4348</v>
      </c>
      <c r="AG225" s="85" t="s">
        <v>5522</v>
      </c>
      <c r="AH225" s="85" t="s">
        <v>5523</v>
      </c>
      <c r="AI225" s="85" t="s">
        <v>4352</v>
      </c>
      <c r="AJ225" s="85" t="s">
        <v>4351</v>
      </c>
      <c r="AK225" s="85" t="s">
        <v>4372</v>
      </c>
      <c r="AL225" s="85" t="s">
        <v>4406</v>
      </c>
      <c r="AM225" s="85" t="s">
        <v>4320</v>
      </c>
      <c r="AN225" s="85" t="s">
        <v>3124</v>
      </c>
      <c r="AO225" s="85" t="s">
        <v>5524</v>
      </c>
      <c r="AP225" s="88">
        <v>173</v>
      </c>
      <c r="AQ225" s="88">
        <v>62</v>
      </c>
      <c r="AR225" s="85" t="s">
        <v>4415</v>
      </c>
    </row>
    <row r="226" spans="2:44">
      <c r="B226" s="69" t="s">
        <v>4341</v>
      </c>
      <c r="C226" s="81">
        <v>223</v>
      </c>
      <c r="D226" s="82">
        <v>252610307</v>
      </c>
      <c r="E226" s="83" t="s">
        <v>1235</v>
      </c>
      <c r="F226" s="84" t="s">
        <v>1236</v>
      </c>
      <c r="G226" s="104" t="s">
        <v>1236</v>
      </c>
      <c r="H226" s="104" t="s">
        <v>5525</v>
      </c>
      <c r="I226" s="104" t="s">
        <v>1235</v>
      </c>
      <c r="J226" s="86" t="s">
        <v>1235</v>
      </c>
      <c r="K226" s="104" t="s">
        <v>90</v>
      </c>
      <c r="L226" s="104" t="s">
        <v>4343</v>
      </c>
      <c r="M226" s="105">
        <v>40129</v>
      </c>
      <c r="N226" s="104" t="s">
        <v>4307</v>
      </c>
      <c r="O226" s="104" t="s">
        <v>4344</v>
      </c>
      <c r="P226" s="99">
        <v>1</v>
      </c>
      <c r="Q226" s="88">
        <v>0</v>
      </c>
      <c r="R226" s="88">
        <v>0</v>
      </c>
      <c r="S226" s="88">
        <v>0</v>
      </c>
      <c r="T226" s="88">
        <f t="shared" si="3"/>
        <v>0</v>
      </c>
      <c r="U226" s="104" t="s">
        <v>5526</v>
      </c>
      <c r="V226" s="99">
        <v>0</v>
      </c>
      <c r="W226" s="108" t="s">
        <v>5527</v>
      </c>
      <c r="X226" s="108" t="s">
        <v>4477</v>
      </c>
      <c r="Y226" s="108" t="s">
        <v>4376</v>
      </c>
      <c r="Z226" s="108" t="s">
        <v>4406</v>
      </c>
      <c r="AA226" s="108" t="s">
        <v>5528</v>
      </c>
      <c r="AB226" s="108" t="s">
        <v>5529</v>
      </c>
      <c r="AC226" s="108">
        <v>40162</v>
      </c>
      <c r="AD226" s="104" t="s">
        <v>5530</v>
      </c>
      <c r="AE226" s="99" t="s">
        <v>5531</v>
      </c>
      <c r="AF226" s="99" t="s">
        <v>5532</v>
      </c>
      <c r="AG226" s="104" t="s">
        <v>5533</v>
      </c>
      <c r="AH226" s="104" t="s">
        <v>5534</v>
      </c>
      <c r="AI226" s="104" t="s">
        <v>4318</v>
      </c>
      <c r="AJ226" s="104" t="s">
        <v>4318</v>
      </c>
      <c r="AK226" s="104" t="s">
        <v>4337</v>
      </c>
      <c r="AL226" s="106"/>
      <c r="AM226" s="104" t="s">
        <v>4337</v>
      </c>
      <c r="AN226" s="104" t="s">
        <v>5535</v>
      </c>
      <c r="AO226" s="106"/>
      <c r="AP226" s="99">
        <v>149</v>
      </c>
      <c r="AQ226" s="99" t="s">
        <v>5536</v>
      </c>
      <c r="AR226" s="104" t="s">
        <v>4322</v>
      </c>
    </row>
    <row r="227" spans="2:44">
      <c r="B227" s="69" t="s">
        <v>4674</v>
      </c>
      <c r="C227" s="81">
        <v>224</v>
      </c>
      <c r="D227" s="82">
        <v>252610403</v>
      </c>
      <c r="E227" s="83" t="s">
        <v>1423</v>
      </c>
      <c r="F227" s="84" t="s">
        <v>1424</v>
      </c>
      <c r="G227" s="85" t="s">
        <v>4128</v>
      </c>
      <c r="H227" s="85" t="s">
        <v>5537</v>
      </c>
      <c r="I227" s="85" t="s">
        <v>1423</v>
      </c>
      <c r="J227" s="86" t="s">
        <v>1423</v>
      </c>
      <c r="K227" s="85" t="s">
        <v>90</v>
      </c>
      <c r="L227" s="85" t="s">
        <v>4327</v>
      </c>
      <c r="M227" s="87">
        <v>39901</v>
      </c>
      <c r="N227" s="85" t="s">
        <v>4328</v>
      </c>
      <c r="O227" s="85" t="s">
        <v>4489</v>
      </c>
      <c r="P227" s="88">
        <v>1</v>
      </c>
      <c r="Q227" s="99">
        <v>0</v>
      </c>
      <c r="R227" s="99">
        <v>0</v>
      </c>
      <c r="S227" s="99">
        <v>0</v>
      </c>
      <c r="T227" s="88">
        <f t="shared" si="3"/>
        <v>0</v>
      </c>
      <c r="U227" s="85" t="s">
        <v>5538</v>
      </c>
      <c r="V227" s="88">
        <v>0</v>
      </c>
      <c r="W227" s="109" t="s">
        <v>5539</v>
      </c>
      <c r="X227" s="109" t="s">
        <v>4392</v>
      </c>
      <c r="Y227" s="109" t="s">
        <v>4825</v>
      </c>
      <c r="Z227" s="112"/>
      <c r="AA227" s="109" t="s">
        <v>4826</v>
      </c>
      <c r="AB227" s="109" t="s">
        <v>4562</v>
      </c>
      <c r="AC227" s="109">
        <v>40214</v>
      </c>
      <c r="AD227" s="85" t="s">
        <v>5540</v>
      </c>
      <c r="AE227" s="88" t="s">
        <v>4917</v>
      </c>
      <c r="AF227" s="88" t="s">
        <v>4991</v>
      </c>
      <c r="AG227" s="85" t="s">
        <v>5541</v>
      </c>
      <c r="AH227" s="85" t="s">
        <v>5542</v>
      </c>
      <c r="AI227" s="85" t="s">
        <v>4638</v>
      </c>
      <c r="AJ227" s="85" t="s">
        <v>4638</v>
      </c>
      <c r="AK227" s="85" t="s">
        <v>4553</v>
      </c>
      <c r="AL227" s="90"/>
      <c r="AM227" s="85" t="s">
        <v>4372</v>
      </c>
      <c r="AN227" s="85" t="s">
        <v>5543</v>
      </c>
      <c r="AO227" s="90"/>
      <c r="AP227" s="88">
        <v>149</v>
      </c>
      <c r="AQ227" s="88">
        <v>50</v>
      </c>
      <c r="AR227" s="85" t="s">
        <v>4428</v>
      </c>
    </row>
    <row r="228" spans="2:44">
      <c r="B228" s="69" t="s">
        <v>4373</v>
      </c>
      <c r="C228" s="81">
        <v>225</v>
      </c>
      <c r="D228" s="82">
        <v>252610496</v>
      </c>
      <c r="E228" s="83" t="s">
        <v>1522</v>
      </c>
      <c r="F228" s="84" t="s">
        <v>1523</v>
      </c>
      <c r="G228" s="104" t="s">
        <v>4129</v>
      </c>
      <c r="H228" s="104" t="s">
        <v>5544</v>
      </c>
      <c r="I228" s="104" t="s">
        <v>1522</v>
      </c>
      <c r="J228" s="86" t="s">
        <v>1522</v>
      </c>
      <c r="K228" s="104" t="s">
        <v>90</v>
      </c>
      <c r="L228" s="104" t="s">
        <v>4357</v>
      </c>
      <c r="M228" s="105">
        <v>39996</v>
      </c>
      <c r="N228" s="104" t="s">
        <v>4541</v>
      </c>
      <c r="O228" s="104" t="s">
        <v>4308</v>
      </c>
      <c r="P228" s="99">
        <v>3</v>
      </c>
      <c r="Q228" s="88">
        <v>3</v>
      </c>
      <c r="R228" s="88">
        <v>0</v>
      </c>
      <c r="S228" s="88">
        <v>0</v>
      </c>
      <c r="T228" s="88">
        <f t="shared" si="3"/>
        <v>3</v>
      </c>
      <c r="U228" s="104" t="s">
        <v>5545</v>
      </c>
      <c r="V228" s="99" t="s">
        <v>4358</v>
      </c>
      <c r="W228" s="108" t="s">
        <v>5546</v>
      </c>
      <c r="X228" s="108" t="s">
        <v>4391</v>
      </c>
      <c r="Y228" s="108" t="s">
        <v>5230</v>
      </c>
      <c r="Z228" s="108" t="s">
        <v>5547</v>
      </c>
      <c r="AA228" s="108" t="s">
        <v>4634</v>
      </c>
      <c r="AB228" s="108" t="s">
        <v>5548</v>
      </c>
      <c r="AC228" s="108">
        <v>40534</v>
      </c>
      <c r="AD228" s="104" t="s">
        <v>5549</v>
      </c>
      <c r="AE228" s="99" t="s">
        <v>4422</v>
      </c>
      <c r="AF228" s="99" t="s">
        <v>4482</v>
      </c>
      <c r="AG228" s="104" t="s">
        <v>5550</v>
      </c>
      <c r="AH228" s="104" t="s">
        <v>5551</v>
      </c>
      <c r="AI228" s="104" t="s">
        <v>4318</v>
      </c>
      <c r="AJ228" s="104" t="s">
        <v>4318</v>
      </c>
      <c r="AK228" s="104" t="s">
        <v>4319</v>
      </c>
      <c r="AL228" s="104" t="s">
        <v>4406</v>
      </c>
      <c r="AM228" s="104" t="s">
        <v>4372</v>
      </c>
      <c r="AN228" s="104" t="s">
        <v>5552</v>
      </c>
      <c r="AO228" s="104" t="s">
        <v>4406</v>
      </c>
      <c r="AP228" s="99">
        <v>144</v>
      </c>
      <c r="AQ228" s="99">
        <v>42</v>
      </c>
      <c r="AR228" s="104" t="s">
        <v>4415</v>
      </c>
    </row>
    <row r="229" spans="2:44">
      <c r="B229" s="69" t="s">
        <v>4386</v>
      </c>
      <c r="C229" s="81">
        <v>226</v>
      </c>
      <c r="D229" s="82">
        <v>252610357</v>
      </c>
      <c r="E229" s="83" t="s">
        <v>1237</v>
      </c>
      <c r="F229" s="84" t="s">
        <v>1238</v>
      </c>
      <c r="G229" s="85" t="s">
        <v>1238</v>
      </c>
      <c r="H229" s="85" t="s">
        <v>5553</v>
      </c>
      <c r="I229" s="85" t="s">
        <v>1237</v>
      </c>
      <c r="J229" s="86" t="s">
        <v>1237</v>
      </c>
      <c r="K229" s="85" t="s">
        <v>90</v>
      </c>
      <c r="L229" s="85" t="s">
        <v>4343</v>
      </c>
      <c r="M229" s="87">
        <v>40191</v>
      </c>
      <c r="N229" s="85" t="s">
        <v>4460</v>
      </c>
      <c r="O229" s="85" t="s">
        <v>4308</v>
      </c>
      <c r="P229" s="88">
        <v>3</v>
      </c>
      <c r="Q229" s="99">
        <v>2</v>
      </c>
      <c r="R229" s="99">
        <v>0</v>
      </c>
      <c r="S229" s="99">
        <v>0</v>
      </c>
      <c r="T229" s="88">
        <f t="shared" si="3"/>
        <v>2</v>
      </c>
      <c r="U229" s="85" t="s">
        <v>5554</v>
      </c>
      <c r="V229" s="88" t="s">
        <v>4310</v>
      </c>
      <c r="W229" s="109" t="s">
        <v>5555</v>
      </c>
      <c r="X229" s="109">
        <v>5</v>
      </c>
      <c r="Y229" s="109">
        <v>3</v>
      </c>
      <c r="Z229" s="109" t="s">
        <v>5556</v>
      </c>
      <c r="AA229" s="109" t="s">
        <v>5557</v>
      </c>
      <c r="AB229" s="109" t="s">
        <v>4511</v>
      </c>
      <c r="AC229" s="109">
        <v>40216</v>
      </c>
      <c r="AD229" s="85" t="s">
        <v>5558</v>
      </c>
      <c r="AE229" s="88" t="s">
        <v>5559</v>
      </c>
      <c r="AF229" s="88" t="s">
        <v>5560</v>
      </c>
      <c r="AG229" s="85" t="s">
        <v>5561</v>
      </c>
      <c r="AH229" s="85" t="s">
        <v>5562</v>
      </c>
      <c r="AI229" s="85" t="s">
        <v>4638</v>
      </c>
      <c r="AJ229" s="85" t="s">
        <v>5563</v>
      </c>
      <c r="AK229" s="85" t="s">
        <v>4337</v>
      </c>
      <c r="AL229" s="85" t="s">
        <v>5564</v>
      </c>
      <c r="AM229" s="85" t="s">
        <v>4372</v>
      </c>
      <c r="AN229" s="85" t="s">
        <v>5565</v>
      </c>
      <c r="AO229" s="90"/>
      <c r="AP229" s="88">
        <v>160</v>
      </c>
      <c r="AQ229" s="88">
        <v>43</v>
      </c>
      <c r="AR229" s="85" t="s">
        <v>4322</v>
      </c>
    </row>
    <row r="230" spans="2:44">
      <c r="B230" s="69" t="s">
        <v>4568</v>
      </c>
      <c r="C230" s="81">
        <v>227</v>
      </c>
      <c r="D230" s="82">
        <v>252610211</v>
      </c>
      <c r="E230" s="83" t="s">
        <v>1132</v>
      </c>
      <c r="F230" s="84" t="s">
        <v>4130</v>
      </c>
      <c r="G230" s="104" t="s">
        <v>4130</v>
      </c>
      <c r="H230" s="104" t="s">
        <v>5566</v>
      </c>
      <c r="I230" s="104" t="s">
        <v>1132</v>
      </c>
      <c r="J230" s="86" t="s">
        <v>1132</v>
      </c>
      <c r="K230" s="104" t="s">
        <v>89</v>
      </c>
      <c r="L230" s="104" t="s">
        <v>4343</v>
      </c>
      <c r="M230" s="105">
        <v>40088</v>
      </c>
      <c r="N230" s="104" t="s">
        <v>4307</v>
      </c>
      <c r="O230" s="104" t="s">
        <v>4619</v>
      </c>
      <c r="P230" s="99">
        <v>1</v>
      </c>
      <c r="Q230" s="88">
        <v>2</v>
      </c>
      <c r="R230" s="88">
        <v>0</v>
      </c>
      <c r="S230" s="88">
        <v>0</v>
      </c>
      <c r="T230" s="88">
        <f t="shared" si="3"/>
        <v>2</v>
      </c>
      <c r="U230" s="104" t="s">
        <v>4344</v>
      </c>
      <c r="V230" s="99" t="s">
        <v>4358</v>
      </c>
      <c r="W230" s="108" t="s">
        <v>5567</v>
      </c>
      <c r="X230" s="108" t="s">
        <v>4464</v>
      </c>
      <c r="Y230" s="108" t="s">
        <v>5004</v>
      </c>
      <c r="Z230" s="108" t="s">
        <v>5568</v>
      </c>
      <c r="AA230" s="108" t="s">
        <v>5569</v>
      </c>
      <c r="AB230" s="108" t="s">
        <v>4479</v>
      </c>
      <c r="AC230" s="108">
        <v>40535</v>
      </c>
      <c r="AD230" s="104" t="s">
        <v>5570</v>
      </c>
      <c r="AE230" s="99" t="s">
        <v>4422</v>
      </c>
      <c r="AF230" s="99" t="s">
        <v>4367</v>
      </c>
      <c r="AG230" s="104" t="s">
        <v>5571</v>
      </c>
      <c r="AH230" s="104" t="s">
        <v>5572</v>
      </c>
      <c r="AI230" s="104" t="s">
        <v>4401</v>
      </c>
      <c r="AJ230" s="104" t="s">
        <v>4672</v>
      </c>
      <c r="AK230" s="104" t="s">
        <v>4320</v>
      </c>
      <c r="AL230" s="106"/>
      <c r="AM230" s="104" t="s">
        <v>4372</v>
      </c>
      <c r="AN230" s="104" t="s">
        <v>5573</v>
      </c>
      <c r="AO230" s="106"/>
      <c r="AP230" s="99">
        <v>168</v>
      </c>
      <c r="AQ230" s="99">
        <v>55</v>
      </c>
      <c r="AR230" s="104" t="s">
        <v>4322</v>
      </c>
    </row>
    <row r="231" s="66" customFormat="1" spans="2:44">
      <c r="B231" s="91" t="s">
        <v>4642</v>
      </c>
      <c r="C231" s="92">
        <v>228</v>
      </c>
      <c r="D231" s="93">
        <v>252610546</v>
      </c>
      <c r="E231" s="115" t="s">
        <v>1620</v>
      </c>
      <c r="F231" s="95" t="s">
        <v>1621</v>
      </c>
      <c r="G231" s="96" t="s">
        <v>4131</v>
      </c>
      <c r="H231" s="97"/>
      <c r="I231" s="96" t="s">
        <v>1620</v>
      </c>
      <c r="J231" s="96" t="s">
        <v>1620</v>
      </c>
      <c r="K231" s="97"/>
      <c r="L231" s="97"/>
      <c r="M231" s="98"/>
      <c r="N231" s="97"/>
      <c r="O231" s="97"/>
      <c r="P231" s="88"/>
      <c r="Q231" s="96"/>
      <c r="R231" s="96"/>
      <c r="S231" s="96"/>
      <c r="T231" s="88">
        <f t="shared" si="3"/>
        <v>0</v>
      </c>
      <c r="U231" s="97"/>
      <c r="V231" s="100"/>
      <c r="W231" s="101"/>
      <c r="X231" s="101"/>
      <c r="Y231" s="101"/>
      <c r="Z231" s="101"/>
      <c r="AA231" s="101"/>
      <c r="AB231" s="101"/>
      <c r="AC231" s="101"/>
      <c r="AD231" s="97"/>
      <c r="AE231" s="100"/>
      <c r="AF231" s="100"/>
      <c r="AG231" s="97"/>
      <c r="AH231" s="97"/>
      <c r="AI231" s="97"/>
      <c r="AJ231" s="97"/>
      <c r="AK231" s="97"/>
      <c r="AL231" s="97"/>
      <c r="AM231" s="97"/>
      <c r="AN231" s="97"/>
      <c r="AO231" s="97"/>
      <c r="AP231" s="100"/>
      <c r="AQ231" s="100"/>
      <c r="AR231" s="97"/>
    </row>
    <row r="232" s="66" customFormat="1" spans="2:44">
      <c r="B232" s="91" t="s">
        <v>4324</v>
      </c>
      <c r="C232" s="92">
        <v>229</v>
      </c>
      <c r="D232" s="93">
        <v>252610116</v>
      </c>
      <c r="E232" s="94" t="s">
        <v>1425</v>
      </c>
      <c r="F232" s="95" t="s">
        <v>1426</v>
      </c>
      <c r="G232" s="96" t="s">
        <v>1426</v>
      </c>
      <c r="H232" s="97"/>
      <c r="I232" s="96" t="s">
        <v>1425</v>
      </c>
      <c r="J232" s="96" t="s">
        <v>1425</v>
      </c>
      <c r="K232" s="97"/>
      <c r="L232" s="97"/>
      <c r="M232" s="98"/>
      <c r="N232" s="97"/>
      <c r="O232" s="97"/>
      <c r="P232" s="99"/>
      <c r="Q232" s="96"/>
      <c r="R232" s="96"/>
      <c r="S232" s="96"/>
      <c r="T232" s="88">
        <f t="shared" si="3"/>
        <v>0</v>
      </c>
      <c r="U232" s="97"/>
      <c r="V232" s="100"/>
      <c r="W232" s="101"/>
      <c r="X232" s="101"/>
      <c r="Y232" s="101"/>
      <c r="Z232" s="101"/>
      <c r="AA232" s="101"/>
      <c r="AB232" s="101"/>
      <c r="AC232" s="101"/>
      <c r="AD232" s="97"/>
      <c r="AE232" s="100"/>
      <c r="AF232" s="100"/>
      <c r="AG232" s="97"/>
      <c r="AH232" s="97"/>
      <c r="AI232" s="97"/>
      <c r="AJ232" s="97"/>
      <c r="AK232" s="97"/>
      <c r="AL232" s="97"/>
      <c r="AM232" s="97"/>
      <c r="AN232" s="97"/>
      <c r="AO232" s="97"/>
      <c r="AP232" s="100"/>
      <c r="AQ232" s="100"/>
      <c r="AR232" s="97"/>
    </row>
    <row r="233" spans="2:44">
      <c r="B233" s="69" t="s">
        <v>4325</v>
      </c>
      <c r="C233" s="81">
        <v>230</v>
      </c>
      <c r="D233" s="82">
        <v>252610022</v>
      </c>
      <c r="E233" s="102">
        <v>3097211597</v>
      </c>
      <c r="F233" s="103" t="s">
        <v>1135</v>
      </c>
      <c r="G233" s="85" t="s">
        <v>4132</v>
      </c>
      <c r="H233" s="85" t="s">
        <v>5574</v>
      </c>
      <c r="I233" s="85">
        <v>3097211597</v>
      </c>
      <c r="J233" s="86">
        <v>3097211597</v>
      </c>
      <c r="K233" s="85" t="s">
        <v>90</v>
      </c>
      <c r="L233" s="85" t="s">
        <v>4343</v>
      </c>
      <c r="M233" s="87">
        <v>39977</v>
      </c>
      <c r="N233" s="85" t="s">
        <v>4328</v>
      </c>
      <c r="O233" s="85" t="s">
        <v>4329</v>
      </c>
      <c r="P233" s="88">
        <v>4</v>
      </c>
      <c r="Q233" s="99">
        <v>4</v>
      </c>
      <c r="R233" s="99">
        <v>0</v>
      </c>
      <c r="S233" s="99">
        <v>0</v>
      </c>
      <c r="T233" s="88">
        <f t="shared" si="3"/>
        <v>4</v>
      </c>
      <c r="U233" s="85" t="s">
        <v>5575</v>
      </c>
      <c r="V233" s="88">
        <v>0</v>
      </c>
      <c r="W233" s="109" t="s">
        <v>5576</v>
      </c>
      <c r="X233" s="109" t="s">
        <v>4360</v>
      </c>
      <c r="Y233" s="109">
        <v>17</v>
      </c>
      <c r="Z233" s="109" t="s">
        <v>4494</v>
      </c>
      <c r="AA233" s="109" t="s">
        <v>5577</v>
      </c>
      <c r="AB233" s="109" t="s">
        <v>5578</v>
      </c>
      <c r="AC233" s="109">
        <v>40534</v>
      </c>
      <c r="AD233" s="85" t="s">
        <v>5579</v>
      </c>
      <c r="AE233" s="88" t="s">
        <v>5580</v>
      </c>
      <c r="AF233" s="88" t="s">
        <v>4482</v>
      </c>
      <c r="AG233" s="85" t="s">
        <v>5581</v>
      </c>
      <c r="AH233" s="85" t="s">
        <v>5582</v>
      </c>
      <c r="AI233" s="85" t="s">
        <v>4351</v>
      </c>
      <c r="AJ233" s="85" t="s">
        <v>4351</v>
      </c>
      <c r="AK233" s="85" t="s">
        <v>4319</v>
      </c>
      <c r="AL233" s="90"/>
      <c r="AM233" s="85" t="s">
        <v>4338</v>
      </c>
      <c r="AN233" s="85" t="s">
        <v>5583</v>
      </c>
      <c r="AO233" s="85" t="s">
        <v>5584</v>
      </c>
      <c r="AP233" s="88">
        <v>157</v>
      </c>
      <c r="AQ233" s="88">
        <v>47</v>
      </c>
      <c r="AR233" s="85" t="s">
        <v>4415</v>
      </c>
    </row>
    <row r="234" s="66" customFormat="1" spans="2:44">
      <c r="B234" s="91" t="s">
        <v>4355</v>
      </c>
      <c r="C234" s="92">
        <v>231</v>
      </c>
      <c r="D234" s="93">
        <v>252610165</v>
      </c>
      <c r="E234" s="94" t="s">
        <v>1049</v>
      </c>
      <c r="F234" s="95" t="s">
        <v>1050</v>
      </c>
      <c r="G234" s="96" t="s">
        <v>1050</v>
      </c>
      <c r="H234" s="97"/>
      <c r="I234" s="96" t="s">
        <v>4134</v>
      </c>
      <c r="J234" s="96" t="s">
        <v>1049</v>
      </c>
      <c r="K234" s="97"/>
      <c r="L234" s="97"/>
      <c r="M234" s="98"/>
      <c r="N234" s="97"/>
      <c r="O234" s="97"/>
      <c r="P234" s="99"/>
      <c r="Q234" s="96"/>
      <c r="R234" s="96"/>
      <c r="S234" s="96"/>
      <c r="T234" s="88">
        <f t="shared" si="3"/>
        <v>0</v>
      </c>
      <c r="U234" s="97"/>
      <c r="V234" s="100"/>
      <c r="W234" s="101"/>
      <c r="X234" s="101"/>
      <c r="Y234" s="101"/>
      <c r="Z234" s="101"/>
      <c r="AA234" s="101"/>
      <c r="AB234" s="101"/>
      <c r="AC234" s="101"/>
      <c r="AD234" s="97"/>
      <c r="AE234" s="100"/>
      <c r="AF234" s="100"/>
      <c r="AG234" s="97"/>
      <c r="AH234" s="97"/>
      <c r="AI234" s="97"/>
      <c r="AJ234" s="97"/>
      <c r="AK234" s="97"/>
      <c r="AL234" s="97"/>
      <c r="AM234" s="97"/>
      <c r="AN234" s="97"/>
      <c r="AO234" s="97"/>
      <c r="AP234" s="100"/>
      <c r="AQ234" s="100"/>
      <c r="AR234" s="97"/>
    </row>
    <row r="235" spans="2:44">
      <c r="B235" s="69" t="s">
        <v>4674</v>
      </c>
      <c r="C235" s="81">
        <v>232</v>
      </c>
      <c r="D235" s="82">
        <v>252610404</v>
      </c>
      <c r="E235" s="83" t="s">
        <v>942</v>
      </c>
      <c r="F235" s="84" t="s">
        <v>943</v>
      </c>
      <c r="G235" s="85" t="s">
        <v>4133</v>
      </c>
      <c r="H235" s="85" t="s">
        <v>5585</v>
      </c>
      <c r="I235" s="85" t="s">
        <v>942</v>
      </c>
      <c r="J235" s="86" t="s">
        <v>942</v>
      </c>
      <c r="K235" s="85" t="s">
        <v>90</v>
      </c>
      <c r="L235" s="85" t="s">
        <v>4343</v>
      </c>
      <c r="M235" s="87">
        <v>40329</v>
      </c>
      <c r="N235" s="85" t="s">
        <v>4307</v>
      </c>
      <c r="O235" s="85" t="s">
        <v>4308</v>
      </c>
      <c r="P235" s="88">
        <v>1</v>
      </c>
      <c r="Q235" s="99">
        <v>1</v>
      </c>
      <c r="R235" s="99">
        <v>0</v>
      </c>
      <c r="S235" s="99">
        <v>0</v>
      </c>
      <c r="T235" s="88">
        <f t="shared" si="3"/>
        <v>1</v>
      </c>
      <c r="U235" s="85" t="s">
        <v>5586</v>
      </c>
      <c r="V235" s="88" t="s">
        <v>4595</v>
      </c>
      <c r="W235" s="109" t="s">
        <v>5587</v>
      </c>
      <c r="X235" s="109">
        <v>3</v>
      </c>
      <c r="Y235" s="109">
        <v>9</v>
      </c>
      <c r="Z235" s="109" t="s">
        <v>5049</v>
      </c>
      <c r="AA235" s="109" t="s">
        <v>5049</v>
      </c>
      <c r="AB235" s="109" t="s">
        <v>4608</v>
      </c>
      <c r="AC235" s="109">
        <v>40214</v>
      </c>
      <c r="AD235" s="85" t="s">
        <v>5588</v>
      </c>
      <c r="AE235" s="88" t="s">
        <v>5589</v>
      </c>
      <c r="AF235" s="88" t="s">
        <v>5269</v>
      </c>
      <c r="AG235" s="85" t="s">
        <v>5590</v>
      </c>
      <c r="AH235" s="85" t="s">
        <v>5591</v>
      </c>
      <c r="AI235" s="85" t="s">
        <v>5592</v>
      </c>
      <c r="AJ235" s="85" t="s">
        <v>5593</v>
      </c>
      <c r="AK235" s="85" t="s">
        <v>4319</v>
      </c>
      <c r="AL235" s="90"/>
      <c r="AM235" s="85" t="s">
        <v>4372</v>
      </c>
      <c r="AN235" s="85" t="s">
        <v>5594</v>
      </c>
      <c r="AO235" s="90"/>
      <c r="AP235" s="88">
        <v>161</v>
      </c>
      <c r="AQ235" s="88">
        <v>52</v>
      </c>
      <c r="AR235" s="85" t="s">
        <v>4322</v>
      </c>
    </row>
    <row r="236" spans="2:44">
      <c r="B236" s="69" t="s">
        <v>4304</v>
      </c>
      <c r="C236" s="81">
        <v>233</v>
      </c>
      <c r="D236" s="82">
        <v>252610450</v>
      </c>
      <c r="E236" s="116" t="s">
        <v>1239</v>
      </c>
      <c r="F236" s="84" t="s">
        <v>1240</v>
      </c>
      <c r="G236" s="104" t="s">
        <v>1240</v>
      </c>
      <c r="H236" s="104" t="s">
        <v>5595</v>
      </c>
      <c r="I236" s="104" t="s">
        <v>1239</v>
      </c>
      <c r="J236" s="86" t="s">
        <v>1239</v>
      </c>
      <c r="K236" s="104" t="s">
        <v>90</v>
      </c>
      <c r="L236" s="104" t="s">
        <v>5596</v>
      </c>
      <c r="M236" s="105">
        <v>40017</v>
      </c>
      <c r="N236" s="104" t="s">
        <v>4460</v>
      </c>
      <c r="O236" s="104" t="s">
        <v>4344</v>
      </c>
      <c r="P236" s="99">
        <v>1</v>
      </c>
      <c r="Q236" s="88">
        <v>2</v>
      </c>
      <c r="R236" s="88">
        <v>0</v>
      </c>
      <c r="S236" s="88">
        <v>0</v>
      </c>
      <c r="T236" s="88">
        <f t="shared" si="3"/>
        <v>2</v>
      </c>
      <c r="U236" s="104" t="s">
        <v>5597</v>
      </c>
      <c r="V236" s="99" t="s">
        <v>4358</v>
      </c>
      <c r="W236" s="108" t="s">
        <v>5598</v>
      </c>
      <c r="X236" s="108" t="s">
        <v>4360</v>
      </c>
      <c r="Y236" s="108">
        <v>26</v>
      </c>
      <c r="Z236" s="114"/>
      <c r="AA236" s="108" t="s">
        <v>4574</v>
      </c>
      <c r="AB236" s="108" t="s">
        <v>4378</v>
      </c>
      <c r="AC236" s="108">
        <v>40535</v>
      </c>
      <c r="AD236" s="104" t="s">
        <v>5599</v>
      </c>
      <c r="AE236" s="99" t="s">
        <v>5352</v>
      </c>
      <c r="AF236" s="99" t="s">
        <v>5027</v>
      </c>
      <c r="AG236" s="104" t="s">
        <v>5600</v>
      </c>
      <c r="AH236" s="104" t="s">
        <v>5601</v>
      </c>
      <c r="AI236" s="104" t="s">
        <v>4318</v>
      </c>
      <c r="AJ236" s="104" t="s">
        <v>4318</v>
      </c>
      <c r="AK236" s="104" t="s">
        <v>4337</v>
      </c>
      <c r="AL236" s="106"/>
      <c r="AM236" s="104" t="s">
        <v>4553</v>
      </c>
      <c r="AN236" s="104" t="s">
        <v>5490</v>
      </c>
      <c r="AO236" s="106"/>
      <c r="AP236" s="99">
        <v>157</v>
      </c>
      <c r="AQ236" s="99">
        <v>40</v>
      </c>
      <c r="AR236" s="104" t="s">
        <v>4322</v>
      </c>
    </row>
    <row r="237" spans="2:44">
      <c r="B237" s="69" t="s">
        <v>4373</v>
      </c>
      <c r="C237" s="81">
        <v>234</v>
      </c>
      <c r="D237" s="82">
        <v>252610497</v>
      </c>
      <c r="E237" s="83" t="s">
        <v>1622</v>
      </c>
      <c r="F237" s="84" t="s">
        <v>1623</v>
      </c>
      <c r="G237" s="85" t="s">
        <v>1623</v>
      </c>
      <c r="H237" s="85" t="s">
        <v>5602</v>
      </c>
      <c r="I237" s="85" t="s">
        <v>1622</v>
      </c>
      <c r="J237" s="86" t="s">
        <v>1622</v>
      </c>
      <c r="K237" s="85" t="s">
        <v>90</v>
      </c>
      <c r="L237" s="85" t="s">
        <v>4343</v>
      </c>
      <c r="M237" s="87">
        <v>40264</v>
      </c>
      <c r="N237" s="85" t="s">
        <v>4307</v>
      </c>
      <c r="O237" s="85" t="s">
        <v>4344</v>
      </c>
      <c r="P237" s="88">
        <v>1</v>
      </c>
      <c r="Q237" s="99">
        <v>2</v>
      </c>
      <c r="R237" s="99">
        <v>0</v>
      </c>
      <c r="S237" s="99">
        <v>0</v>
      </c>
      <c r="T237" s="88">
        <f t="shared" si="3"/>
        <v>2</v>
      </c>
      <c r="U237" s="85" t="s">
        <v>4309</v>
      </c>
      <c r="V237" s="88">
        <v>0</v>
      </c>
      <c r="W237" s="109" t="s">
        <v>5603</v>
      </c>
      <c r="X237" s="109" t="s">
        <v>4793</v>
      </c>
      <c r="Y237" s="109">
        <v>11</v>
      </c>
      <c r="Z237" s="109" t="s">
        <v>5604</v>
      </c>
      <c r="AA237" s="109" t="s">
        <v>4645</v>
      </c>
      <c r="AB237" s="109" t="s">
        <v>4420</v>
      </c>
      <c r="AC237" s="109">
        <v>40216</v>
      </c>
      <c r="AD237" s="85" t="s">
        <v>5605</v>
      </c>
      <c r="AE237" s="88" t="s">
        <v>4422</v>
      </c>
      <c r="AF237" s="88" t="s">
        <v>5606</v>
      </c>
      <c r="AG237" s="85" t="s">
        <v>5607</v>
      </c>
      <c r="AH237" s="85" t="s">
        <v>5608</v>
      </c>
      <c r="AI237" s="85" t="s">
        <v>4515</v>
      </c>
      <c r="AJ237" s="85" t="s">
        <v>4515</v>
      </c>
      <c r="AK237" s="85" t="s">
        <v>4337</v>
      </c>
      <c r="AL237" s="90"/>
      <c r="AM237" s="85" t="s">
        <v>4372</v>
      </c>
      <c r="AN237" s="85" t="s">
        <v>4384</v>
      </c>
      <c r="AO237" s="90"/>
      <c r="AP237" s="88">
        <v>148</v>
      </c>
      <c r="AQ237" s="88">
        <v>50</v>
      </c>
      <c r="AR237" s="85" t="s">
        <v>4322</v>
      </c>
    </row>
    <row r="238" spans="2:44">
      <c r="B238" s="69" t="s">
        <v>4304</v>
      </c>
      <c r="C238" s="81">
        <v>235</v>
      </c>
      <c r="D238" s="82">
        <v>252610451</v>
      </c>
      <c r="E238" s="83" t="s">
        <v>1524</v>
      </c>
      <c r="F238" s="129" t="s">
        <v>1525</v>
      </c>
      <c r="G238" s="130" t="s">
        <v>5609</v>
      </c>
      <c r="H238" s="85" t="s">
        <v>5610</v>
      </c>
      <c r="I238" s="85" t="s">
        <v>1524</v>
      </c>
      <c r="J238" s="86" t="s">
        <v>1524</v>
      </c>
      <c r="K238" s="85" t="s">
        <v>90</v>
      </c>
      <c r="L238" s="85" t="s">
        <v>4557</v>
      </c>
      <c r="M238" s="87">
        <v>39928</v>
      </c>
      <c r="N238" s="85" t="s">
        <v>4307</v>
      </c>
      <c r="O238" s="85" t="s">
        <v>4344</v>
      </c>
      <c r="P238" s="88">
        <v>2</v>
      </c>
      <c r="Q238" s="99">
        <v>1</v>
      </c>
      <c r="R238" s="99">
        <v>0</v>
      </c>
      <c r="S238" s="99">
        <v>0</v>
      </c>
      <c r="T238" s="88">
        <f t="shared" si="3"/>
        <v>1</v>
      </c>
      <c r="U238" s="85" t="s">
        <v>5611</v>
      </c>
      <c r="V238" s="88" t="s">
        <v>4595</v>
      </c>
      <c r="W238" s="109" t="s">
        <v>5612</v>
      </c>
      <c r="X238" s="109" t="s">
        <v>4391</v>
      </c>
      <c r="Y238" s="109" t="s">
        <v>4621</v>
      </c>
      <c r="Z238" s="109" t="s">
        <v>4363</v>
      </c>
      <c r="AA238" s="109" t="s">
        <v>4363</v>
      </c>
      <c r="AB238" s="109" t="s">
        <v>4378</v>
      </c>
      <c r="AC238" s="109">
        <v>40534</v>
      </c>
      <c r="AD238" s="85" t="s">
        <v>5613</v>
      </c>
      <c r="AE238" s="88" t="s">
        <v>4410</v>
      </c>
      <c r="AF238" s="88" t="s">
        <v>4750</v>
      </c>
      <c r="AG238" s="85" t="s">
        <v>5614</v>
      </c>
      <c r="AH238" s="85" t="s">
        <v>5615</v>
      </c>
      <c r="AI238" s="85" t="s">
        <v>4318</v>
      </c>
      <c r="AJ238" s="85" t="s">
        <v>4318</v>
      </c>
      <c r="AK238" s="85" t="s">
        <v>4337</v>
      </c>
      <c r="AL238" s="85">
        <v>0</v>
      </c>
      <c r="AM238" s="85" t="s">
        <v>4372</v>
      </c>
      <c r="AN238" s="85" t="s">
        <v>5616</v>
      </c>
      <c r="AO238" s="85" t="s">
        <v>5617</v>
      </c>
      <c r="AP238" s="88">
        <v>165</v>
      </c>
      <c r="AQ238" s="88">
        <v>44</v>
      </c>
      <c r="AR238" s="85" t="s">
        <v>4428</v>
      </c>
    </row>
    <row r="239" spans="2:44">
      <c r="B239" s="69" t="s">
        <v>4323</v>
      </c>
      <c r="C239" s="81">
        <v>236</v>
      </c>
      <c r="D239" s="82">
        <v>252610260</v>
      </c>
      <c r="E239" s="83" t="s">
        <v>1051</v>
      </c>
      <c r="F239" s="84" t="s">
        <v>1052</v>
      </c>
      <c r="G239" s="104" t="s">
        <v>1052</v>
      </c>
      <c r="H239" s="104" t="s">
        <v>5618</v>
      </c>
      <c r="I239" s="104" t="s">
        <v>1051</v>
      </c>
      <c r="J239" s="86" t="s">
        <v>1051</v>
      </c>
      <c r="K239" s="104" t="s">
        <v>89</v>
      </c>
      <c r="L239" s="104" t="s">
        <v>5619</v>
      </c>
      <c r="M239" s="105">
        <v>40052</v>
      </c>
      <c r="N239" s="104" t="s">
        <v>4823</v>
      </c>
      <c r="O239" s="104" t="s">
        <v>4619</v>
      </c>
      <c r="P239" s="99">
        <v>1</v>
      </c>
      <c r="Q239" s="88">
        <v>0</v>
      </c>
      <c r="R239" s="88">
        <v>0</v>
      </c>
      <c r="S239" s="88">
        <v>0</v>
      </c>
      <c r="T239" s="88">
        <f t="shared" si="3"/>
        <v>0</v>
      </c>
      <c r="U239" s="104" t="s">
        <v>5620</v>
      </c>
      <c r="V239" s="99">
        <v>0</v>
      </c>
      <c r="W239" s="108" t="s">
        <v>5621</v>
      </c>
      <c r="X239" s="108" t="s">
        <v>4703</v>
      </c>
      <c r="Y239" s="108" t="s">
        <v>4509</v>
      </c>
      <c r="Z239" s="108" t="s">
        <v>5622</v>
      </c>
      <c r="AA239" s="108" t="s">
        <v>5623</v>
      </c>
      <c r="AB239" s="108" t="s">
        <v>4451</v>
      </c>
      <c r="AC239" s="108">
        <v>40535</v>
      </c>
      <c r="AD239" s="104" t="s">
        <v>5624</v>
      </c>
      <c r="AE239" s="99" t="s">
        <v>4422</v>
      </c>
      <c r="AF239" s="99" t="s">
        <v>5240</v>
      </c>
      <c r="AG239" s="104" t="s">
        <v>5625</v>
      </c>
      <c r="AH239" s="104" t="s">
        <v>5626</v>
      </c>
      <c r="AI239" s="104" t="s">
        <v>4318</v>
      </c>
      <c r="AJ239" s="104" t="s">
        <v>4318</v>
      </c>
      <c r="AK239" s="104" t="s">
        <v>4320</v>
      </c>
      <c r="AL239" s="106"/>
      <c r="AM239" s="104" t="s">
        <v>4402</v>
      </c>
      <c r="AN239" s="104" t="s">
        <v>4385</v>
      </c>
      <c r="AO239" s="104" t="s">
        <v>4406</v>
      </c>
      <c r="AP239" s="99">
        <v>165</v>
      </c>
      <c r="AQ239" s="99">
        <v>35</v>
      </c>
      <c r="AR239" s="104" t="s">
        <v>4322</v>
      </c>
    </row>
    <row r="240" s="66" customFormat="1" spans="2:44">
      <c r="B240" s="91" t="s">
        <v>4568</v>
      </c>
      <c r="C240" s="92">
        <v>237</v>
      </c>
      <c r="D240" s="93">
        <v>252610212</v>
      </c>
      <c r="E240" s="94" t="s">
        <v>1907</v>
      </c>
      <c r="F240" s="95" t="s">
        <v>1908</v>
      </c>
      <c r="G240" s="96" t="s">
        <v>1908</v>
      </c>
      <c r="H240" s="97"/>
      <c r="I240" s="96" t="s">
        <v>1907</v>
      </c>
      <c r="J240" s="96" t="s">
        <v>1907</v>
      </c>
      <c r="K240" s="97"/>
      <c r="L240" s="97"/>
      <c r="M240" s="98"/>
      <c r="N240" s="97"/>
      <c r="O240" s="97"/>
      <c r="P240" s="88"/>
      <c r="Q240" s="96"/>
      <c r="R240" s="96"/>
      <c r="S240" s="96"/>
      <c r="T240" s="88">
        <f t="shared" si="3"/>
        <v>0</v>
      </c>
      <c r="U240" s="97"/>
      <c r="V240" s="100"/>
      <c r="W240" s="101"/>
      <c r="X240" s="101"/>
      <c r="Y240" s="101"/>
      <c r="Z240" s="101"/>
      <c r="AA240" s="101"/>
      <c r="AB240" s="101"/>
      <c r="AC240" s="101"/>
      <c r="AD240" s="97"/>
      <c r="AE240" s="100"/>
      <c r="AF240" s="100"/>
      <c r="AG240" s="97"/>
      <c r="AH240" s="97"/>
      <c r="AI240" s="97"/>
      <c r="AJ240" s="97"/>
      <c r="AK240" s="97"/>
      <c r="AL240" s="97"/>
      <c r="AM240" s="97"/>
      <c r="AN240" s="97"/>
      <c r="AO240" s="97"/>
      <c r="AP240" s="100"/>
      <c r="AQ240" s="100"/>
      <c r="AR240" s="97"/>
    </row>
    <row r="241" spans="2:44">
      <c r="B241" s="69" t="s">
        <v>4325</v>
      </c>
      <c r="C241" s="81">
        <v>238</v>
      </c>
      <c r="D241" s="82">
        <v>252610023</v>
      </c>
      <c r="E241" s="102" t="s">
        <v>1825</v>
      </c>
      <c r="F241" s="103" t="s">
        <v>1826</v>
      </c>
      <c r="G241" s="104" t="s">
        <v>1826</v>
      </c>
      <c r="H241" s="104" t="s">
        <v>4927</v>
      </c>
      <c r="I241" s="104" t="s">
        <v>1825</v>
      </c>
      <c r="J241" s="86" t="s">
        <v>1825</v>
      </c>
      <c r="K241" s="104" t="s">
        <v>90</v>
      </c>
      <c r="L241" s="104" t="s">
        <v>4343</v>
      </c>
      <c r="M241" s="105">
        <v>40101</v>
      </c>
      <c r="N241" s="104" t="s">
        <v>4307</v>
      </c>
      <c r="O241" s="104" t="s">
        <v>4619</v>
      </c>
      <c r="P241" s="99">
        <v>1</v>
      </c>
      <c r="Q241" s="88">
        <v>4</v>
      </c>
      <c r="R241" s="88">
        <v>0</v>
      </c>
      <c r="S241" s="88">
        <v>0</v>
      </c>
      <c r="T241" s="88">
        <f t="shared" si="3"/>
        <v>4</v>
      </c>
      <c r="U241" s="104" t="s">
        <v>5627</v>
      </c>
      <c r="V241" s="99" t="s">
        <v>4330</v>
      </c>
      <c r="W241" s="108" t="s">
        <v>5628</v>
      </c>
      <c r="X241" s="108" t="s">
        <v>4544</v>
      </c>
      <c r="Y241" s="108" t="s">
        <v>4825</v>
      </c>
      <c r="Z241" s="108" t="s">
        <v>4406</v>
      </c>
      <c r="AA241" s="108" t="s">
        <v>4363</v>
      </c>
      <c r="AB241" s="108" t="s">
        <v>4378</v>
      </c>
      <c r="AC241" s="108">
        <v>40534</v>
      </c>
      <c r="AD241" s="104" t="s">
        <v>5629</v>
      </c>
      <c r="AE241" s="99" t="s">
        <v>4422</v>
      </c>
      <c r="AF241" s="99" t="s">
        <v>4348</v>
      </c>
      <c r="AG241" s="104" t="s">
        <v>5630</v>
      </c>
      <c r="AH241" s="104" t="s">
        <v>5631</v>
      </c>
      <c r="AI241" s="104" t="s">
        <v>5632</v>
      </c>
      <c r="AJ241" s="104" t="s">
        <v>5633</v>
      </c>
      <c r="AK241" s="104" t="s">
        <v>4319</v>
      </c>
      <c r="AL241" s="106"/>
      <c r="AM241" s="104" t="s">
        <v>4372</v>
      </c>
      <c r="AN241" s="104" t="s">
        <v>3124</v>
      </c>
      <c r="AO241" s="104" t="s">
        <v>5634</v>
      </c>
      <c r="AP241" s="99">
        <v>165</v>
      </c>
      <c r="AQ241" s="99">
        <v>40</v>
      </c>
      <c r="AR241" s="104" t="s">
        <v>4415</v>
      </c>
    </row>
    <row r="242" s="66" customFormat="1" spans="2:44">
      <c r="B242" s="91" t="s">
        <v>4324</v>
      </c>
      <c r="C242" s="92">
        <v>239</v>
      </c>
      <c r="D242" s="93">
        <v>252610117</v>
      </c>
      <c r="E242" s="94" t="s">
        <v>1053</v>
      </c>
      <c r="F242" s="95" t="s">
        <v>1054</v>
      </c>
      <c r="G242" s="96" t="s">
        <v>1054</v>
      </c>
      <c r="H242" s="97"/>
      <c r="I242" s="96" t="s">
        <v>1053</v>
      </c>
      <c r="J242" s="96" t="s">
        <v>1053</v>
      </c>
      <c r="K242" s="97"/>
      <c r="L242" s="97"/>
      <c r="M242" s="98"/>
      <c r="N242" s="97"/>
      <c r="O242" s="97"/>
      <c r="P242" s="88"/>
      <c r="Q242" s="96"/>
      <c r="R242" s="96"/>
      <c r="S242" s="96"/>
      <c r="T242" s="88">
        <f t="shared" si="3"/>
        <v>0</v>
      </c>
      <c r="U242" s="97"/>
      <c r="V242" s="100"/>
      <c r="W242" s="101"/>
      <c r="X242" s="101"/>
      <c r="Y242" s="101"/>
      <c r="Z242" s="101"/>
      <c r="AA242" s="101"/>
      <c r="AB242" s="101"/>
      <c r="AC242" s="101"/>
      <c r="AD242" s="97"/>
      <c r="AE242" s="100"/>
      <c r="AF242" s="100"/>
      <c r="AG242" s="97"/>
      <c r="AH242" s="97"/>
      <c r="AI242" s="97"/>
      <c r="AJ242" s="97"/>
      <c r="AK242" s="97"/>
      <c r="AL242" s="97"/>
      <c r="AM242" s="97"/>
      <c r="AN242" s="97"/>
      <c r="AO242" s="97"/>
      <c r="AP242" s="100"/>
      <c r="AQ242" s="100"/>
      <c r="AR242" s="97"/>
    </row>
    <row r="243" spans="2:44">
      <c r="B243" s="69" t="s">
        <v>4642</v>
      </c>
      <c r="C243" s="81">
        <v>240</v>
      </c>
      <c r="D243" s="82">
        <v>252610547</v>
      </c>
      <c r="E243" s="83" t="s">
        <v>4136</v>
      </c>
      <c r="F243" s="84" t="s">
        <v>4135</v>
      </c>
      <c r="G243" s="104" t="s">
        <v>4135</v>
      </c>
      <c r="H243" s="104" t="s">
        <v>5635</v>
      </c>
      <c r="I243" s="104" t="s">
        <v>4136</v>
      </c>
      <c r="J243" s="86" t="s">
        <v>4136</v>
      </c>
      <c r="K243" s="104" t="s">
        <v>90</v>
      </c>
      <c r="L243" s="104" t="s">
        <v>4343</v>
      </c>
      <c r="M243" s="105">
        <v>40121</v>
      </c>
      <c r="N243" s="104" t="s">
        <v>4307</v>
      </c>
      <c r="O243" s="104" t="s">
        <v>4308</v>
      </c>
      <c r="P243" s="99">
        <v>3</v>
      </c>
      <c r="Q243" s="88">
        <v>0</v>
      </c>
      <c r="R243" s="88">
        <v>2</v>
      </c>
      <c r="S243" s="88">
        <v>0</v>
      </c>
      <c r="T243" s="88">
        <f t="shared" si="3"/>
        <v>2</v>
      </c>
      <c r="U243" s="104" t="s">
        <v>4308</v>
      </c>
      <c r="V243" s="99">
        <v>0</v>
      </c>
      <c r="W243" s="108" t="s">
        <v>5636</v>
      </c>
      <c r="X243" s="108" t="s">
        <v>4477</v>
      </c>
      <c r="Y243" s="108" t="s">
        <v>5004</v>
      </c>
      <c r="Z243" s="108" t="s">
        <v>5012</v>
      </c>
      <c r="AA243" s="108" t="s">
        <v>5012</v>
      </c>
      <c r="AB243" s="108" t="s">
        <v>4656</v>
      </c>
      <c r="AC243" s="108">
        <v>40212</v>
      </c>
      <c r="AD243" s="104" t="s">
        <v>5637</v>
      </c>
      <c r="AE243" s="99" t="s">
        <v>4481</v>
      </c>
      <c r="AF243" s="117">
        <v>1078</v>
      </c>
      <c r="AG243" s="104" t="s">
        <v>5638</v>
      </c>
      <c r="AH243" s="104" t="s">
        <v>5639</v>
      </c>
      <c r="AI243" s="104" t="s">
        <v>4318</v>
      </c>
      <c r="AJ243" s="104" t="s">
        <v>4318</v>
      </c>
      <c r="AK243" s="104" t="s">
        <v>4338</v>
      </c>
      <c r="AL243" s="104" t="s">
        <v>5640</v>
      </c>
      <c r="AM243" s="104" t="s">
        <v>4372</v>
      </c>
      <c r="AN243" s="104" t="s">
        <v>3124</v>
      </c>
      <c r="AO243" s="106"/>
      <c r="AP243" s="99">
        <v>147</v>
      </c>
      <c r="AQ243" s="99">
        <v>45</v>
      </c>
      <c r="AR243" s="104" t="s">
        <v>4322</v>
      </c>
    </row>
    <row r="244" s="66" customFormat="1" spans="2:44">
      <c r="B244" s="91" t="s">
        <v>4355</v>
      </c>
      <c r="C244" s="92">
        <v>241</v>
      </c>
      <c r="D244" s="131">
        <v>252610166</v>
      </c>
      <c r="E244" s="115" t="s">
        <v>1714</v>
      </c>
      <c r="F244" s="95" t="s">
        <v>1715</v>
      </c>
      <c r="G244" s="96" t="s">
        <v>1715</v>
      </c>
      <c r="H244" s="97"/>
      <c r="I244" s="126">
        <v>1617261131</v>
      </c>
      <c r="J244" s="96" t="s">
        <v>1714</v>
      </c>
      <c r="K244" s="97"/>
      <c r="L244" s="97"/>
      <c r="M244" s="98"/>
      <c r="N244" s="97"/>
      <c r="O244" s="97"/>
      <c r="P244" s="88"/>
      <c r="Q244" s="96"/>
      <c r="R244" s="96"/>
      <c r="S244" s="96"/>
      <c r="T244" s="88">
        <f t="shared" si="3"/>
        <v>0</v>
      </c>
      <c r="U244" s="97"/>
      <c r="V244" s="100"/>
      <c r="W244" s="101"/>
      <c r="X244" s="101"/>
      <c r="Y244" s="101"/>
      <c r="Z244" s="101"/>
      <c r="AA244" s="101"/>
      <c r="AB244" s="101"/>
      <c r="AC244" s="101"/>
      <c r="AD244" s="97"/>
      <c r="AE244" s="100"/>
      <c r="AF244" s="100"/>
      <c r="AG244" s="97"/>
      <c r="AH244" s="97"/>
      <c r="AI244" s="97"/>
      <c r="AJ244" s="97"/>
      <c r="AK244" s="97"/>
      <c r="AL244" s="97"/>
      <c r="AM244" s="97"/>
      <c r="AN244" s="97"/>
      <c r="AO244" s="97"/>
      <c r="AP244" s="100"/>
      <c r="AQ244" s="100"/>
      <c r="AR244" s="97"/>
    </row>
    <row r="245" spans="2:44">
      <c r="B245" s="69" t="s">
        <v>4674</v>
      </c>
      <c r="C245" s="81">
        <v>242</v>
      </c>
      <c r="D245" s="82">
        <v>252610405</v>
      </c>
      <c r="E245" s="83" t="s">
        <v>1325</v>
      </c>
      <c r="F245" s="84" t="s">
        <v>1326</v>
      </c>
      <c r="G245" s="85" t="s">
        <v>1326</v>
      </c>
      <c r="H245" s="85" t="s">
        <v>5641</v>
      </c>
      <c r="I245" s="85" t="s">
        <v>1325</v>
      </c>
      <c r="J245" s="86" t="s">
        <v>1325</v>
      </c>
      <c r="K245" s="85" t="s">
        <v>89</v>
      </c>
      <c r="L245" s="85" t="s">
        <v>4557</v>
      </c>
      <c r="M245" s="87">
        <v>40009</v>
      </c>
      <c r="N245" s="85" t="s">
        <v>4307</v>
      </c>
      <c r="O245" s="85" t="s">
        <v>4344</v>
      </c>
      <c r="P245" s="99">
        <v>1</v>
      </c>
      <c r="Q245" s="99">
        <v>1</v>
      </c>
      <c r="R245" s="99">
        <v>0</v>
      </c>
      <c r="S245" s="99">
        <v>0</v>
      </c>
      <c r="T245" s="88">
        <f t="shared" si="3"/>
        <v>1</v>
      </c>
      <c r="U245" s="85" t="s">
        <v>4344</v>
      </c>
      <c r="V245" s="88">
        <v>0</v>
      </c>
      <c r="W245" s="109" t="s">
        <v>5642</v>
      </c>
      <c r="X245" s="109" t="s">
        <v>4391</v>
      </c>
      <c r="Y245" s="109" t="s">
        <v>4915</v>
      </c>
      <c r="Z245" s="109" t="s">
        <v>4478</v>
      </c>
      <c r="AA245" s="109" t="s">
        <v>5643</v>
      </c>
      <c r="AB245" s="109" t="s">
        <v>4479</v>
      </c>
      <c r="AC245" s="109">
        <v>40534</v>
      </c>
      <c r="AD245" s="85" t="s">
        <v>5644</v>
      </c>
      <c r="AE245" s="88" t="s">
        <v>4422</v>
      </c>
      <c r="AF245" s="88" t="s">
        <v>4411</v>
      </c>
      <c r="AG245" s="85" t="s">
        <v>5645</v>
      </c>
      <c r="AH245" s="85" t="s">
        <v>5646</v>
      </c>
      <c r="AI245" s="85" t="s">
        <v>4401</v>
      </c>
      <c r="AJ245" s="85" t="s">
        <v>4318</v>
      </c>
      <c r="AK245" s="85" t="s">
        <v>4319</v>
      </c>
      <c r="AL245" s="90"/>
      <c r="AM245" s="85" t="s">
        <v>4553</v>
      </c>
      <c r="AN245" s="85" t="s">
        <v>5647</v>
      </c>
      <c r="AO245" s="85" t="s">
        <v>5648</v>
      </c>
      <c r="AP245" s="88">
        <v>165</v>
      </c>
      <c r="AQ245" s="88">
        <v>90</v>
      </c>
      <c r="AR245" s="85" t="s">
        <v>4415</v>
      </c>
    </row>
    <row r="246" s="66" customFormat="1" spans="2:44">
      <c r="B246" s="91" t="s">
        <v>4304</v>
      </c>
      <c r="C246" s="92">
        <v>243</v>
      </c>
      <c r="D246" s="93">
        <v>252610452</v>
      </c>
      <c r="E246" s="94" t="s">
        <v>1827</v>
      </c>
      <c r="F246" s="95" t="s">
        <v>1828</v>
      </c>
      <c r="G246" s="96" t="s">
        <v>4137</v>
      </c>
      <c r="H246" s="97"/>
      <c r="I246" s="96" t="s">
        <v>1827</v>
      </c>
      <c r="J246" s="96" t="s">
        <v>1827</v>
      </c>
      <c r="K246" s="97"/>
      <c r="L246" s="97"/>
      <c r="M246" s="98"/>
      <c r="N246" s="97"/>
      <c r="O246" s="97"/>
      <c r="P246" s="88"/>
      <c r="Q246" s="96"/>
      <c r="R246" s="96"/>
      <c r="S246" s="96"/>
      <c r="T246" s="88">
        <f t="shared" si="3"/>
        <v>0</v>
      </c>
      <c r="U246" s="97"/>
      <c r="V246" s="100"/>
      <c r="W246" s="101"/>
      <c r="X246" s="101"/>
      <c r="Y246" s="101"/>
      <c r="Z246" s="101"/>
      <c r="AA246" s="101"/>
      <c r="AB246" s="101"/>
      <c r="AC246" s="101"/>
      <c r="AD246" s="97"/>
      <c r="AE246" s="100"/>
      <c r="AF246" s="100"/>
      <c r="AG246" s="97"/>
      <c r="AH246" s="97"/>
      <c r="AI246" s="97"/>
      <c r="AJ246" s="97"/>
      <c r="AK246" s="97"/>
      <c r="AL246" s="97"/>
      <c r="AM246" s="97"/>
      <c r="AN246" s="97"/>
      <c r="AO246" s="97"/>
      <c r="AP246" s="100"/>
      <c r="AQ246" s="100"/>
      <c r="AR246" s="97"/>
    </row>
    <row r="247" spans="2:44">
      <c r="B247" s="69" t="s">
        <v>4642</v>
      </c>
      <c r="C247" s="81">
        <v>244</v>
      </c>
      <c r="D247" s="82">
        <v>252610548</v>
      </c>
      <c r="E247" s="83" t="s">
        <v>4139</v>
      </c>
      <c r="F247" s="84" t="s">
        <v>1055</v>
      </c>
      <c r="G247" s="85" t="s">
        <v>1055</v>
      </c>
      <c r="H247" s="85" t="s">
        <v>5649</v>
      </c>
      <c r="I247" s="85" t="s">
        <v>4139</v>
      </c>
      <c r="J247" s="86" t="s">
        <v>4139</v>
      </c>
      <c r="K247" s="85" t="s">
        <v>90</v>
      </c>
      <c r="L247" s="85" t="s">
        <v>4343</v>
      </c>
      <c r="M247" s="87">
        <v>39970</v>
      </c>
      <c r="N247" s="85" t="s">
        <v>4307</v>
      </c>
      <c r="O247" s="85" t="s">
        <v>4344</v>
      </c>
      <c r="P247" s="99">
        <v>4</v>
      </c>
      <c r="Q247" s="99">
        <v>4</v>
      </c>
      <c r="R247" s="99">
        <v>0</v>
      </c>
      <c r="S247" s="99">
        <v>0</v>
      </c>
      <c r="T247" s="88">
        <f t="shared" si="3"/>
        <v>4</v>
      </c>
      <c r="U247" s="85" t="s">
        <v>4344</v>
      </c>
      <c r="V247" s="88">
        <v>0</v>
      </c>
      <c r="W247" s="109" t="s">
        <v>5650</v>
      </c>
      <c r="X247" s="109" t="s">
        <v>4376</v>
      </c>
      <c r="Y247" s="109" t="s">
        <v>5004</v>
      </c>
      <c r="Z247" s="109" t="s">
        <v>5651</v>
      </c>
      <c r="AA247" s="109" t="s">
        <v>5652</v>
      </c>
      <c r="AB247" s="109" t="s">
        <v>5653</v>
      </c>
      <c r="AC247" s="109">
        <v>40212</v>
      </c>
      <c r="AD247" s="85" t="s">
        <v>5654</v>
      </c>
      <c r="AE247" s="88" t="s">
        <v>4422</v>
      </c>
      <c r="AF247" s="88" t="s">
        <v>5655</v>
      </c>
      <c r="AG247" s="85" t="s">
        <v>5656</v>
      </c>
      <c r="AH247" s="85" t="s">
        <v>5657</v>
      </c>
      <c r="AI247" s="85" t="s">
        <v>5658</v>
      </c>
      <c r="AJ247" s="85" t="s">
        <v>5659</v>
      </c>
      <c r="AK247" s="85" t="s">
        <v>4319</v>
      </c>
      <c r="AL247" s="85" t="s">
        <v>4406</v>
      </c>
      <c r="AM247" s="85" t="s">
        <v>4372</v>
      </c>
      <c r="AN247" s="85" t="s">
        <v>5660</v>
      </c>
      <c r="AO247" s="85" t="s">
        <v>4406</v>
      </c>
      <c r="AP247" s="88">
        <v>154</v>
      </c>
      <c r="AQ247" s="88">
        <v>51</v>
      </c>
      <c r="AR247" s="85" t="s">
        <v>4428</v>
      </c>
    </row>
    <row r="248" spans="2:44">
      <c r="B248" s="69" t="s">
        <v>4323</v>
      </c>
      <c r="C248" s="81">
        <v>245</v>
      </c>
      <c r="D248" s="82">
        <v>252610261</v>
      </c>
      <c r="E248" s="83" t="s">
        <v>1136</v>
      </c>
      <c r="F248" s="84" t="s">
        <v>1137</v>
      </c>
      <c r="G248" s="104" t="s">
        <v>5661</v>
      </c>
      <c r="H248" s="104" t="s">
        <v>5662</v>
      </c>
      <c r="I248" s="104" t="s">
        <v>1136</v>
      </c>
      <c r="J248" s="86" t="s">
        <v>1136</v>
      </c>
      <c r="K248" s="104" t="s">
        <v>90</v>
      </c>
      <c r="L248" s="104" t="s">
        <v>4357</v>
      </c>
      <c r="M248" s="105">
        <v>40250</v>
      </c>
      <c r="N248" s="104" t="s">
        <v>4460</v>
      </c>
      <c r="O248" s="104" t="s">
        <v>4308</v>
      </c>
      <c r="P248" s="88">
        <v>1</v>
      </c>
      <c r="Q248" s="88">
        <v>1</v>
      </c>
      <c r="R248" s="88">
        <v>0</v>
      </c>
      <c r="S248" s="88">
        <v>0</v>
      </c>
      <c r="T248" s="88">
        <f t="shared" si="3"/>
        <v>1</v>
      </c>
      <c r="U248" s="104" t="s">
        <v>4791</v>
      </c>
      <c r="V248" s="99" t="s">
        <v>4330</v>
      </c>
      <c r="W248" s="108" t="s">
        <v>5663</v>
      </c>
      <c r="X248" s="108" t="s">
        <v>4419</v>
      </c>
      <c r="Y248" s="108" t="s">
        <v>4376</v>
      </c>
      <c r="Z248" s="108" t="s">
        <v>5664</v>
      </c>
      <c r="AA248" s="108" t="s">
        <v>4547</v>
      </c>
      <c r="AB248" s="108" t="s">
        <v>4364</v>
      </c>
      <c r="AC248" s="108">
        <v>40534</v>
      </c>
      <c r="AD248" s="104" t="s">
        <v>5665</v>
      </c>
      <c r="AE248" s="99" t="s">
        <v>5666</v>
      </c>
      <c r="AF248" s="99" t="s">
        <v>4750</v>
      </c>
      <c r="AG248" s="104" t="s">
        <v>5667</v>
      </c>
      <c r="AH248" s="104" t="s">
        <v>5668</v>
      </c>
      <c r="AI248" s="104" t="s">
        <v>5152</v>
      </c>
      <c r="AJ248" s="104" t="s">
        <v>4638</v>
      </c>
      <c r="AK248" s="104" t="s">
        <v>4337</v>
      </c>
      <c r="AL248" s="104" t="s">
        <v>4406</v>
      </c>
      <c r="AM248" s="104" t="s">
        <v>4372</v>
      </c>
      <c r="AN248" s="104" t="s">
        <v>5105</v>
      </c>
      <c r="AO248" s="104" t="s">
        <v>4555</v>
      </c>
      <c r="AP248" s="99">
        <v>150</v>
      </c>
      <c r="AQ248" s="99">
        <v>41</v>
      </c>
      <c r="AR248" s="104" t="s">
        <v>4340</v>
      </c>
    </row>
    <row r="249" spans="2:44">
      <c r="B249" s="69" t="s">
        <v>4325</v>
      </c>
      <c r="C249" s="81">
        <v>246</v>
      </c>
      <c r="D249" s="82">
        <v>252610024</v>
      </c>
      <c r="E249" s="102" t="s">
        <v>1829</v>
      </c>
      <c r="F249" s="103" t="s">
        <v>1830</v>
      </c>
      <c r="G249" s="85" t="s">
        <v>4138</v>
      </c>
      <c r="H249" s="85" t="s">
        <v>5669</v>
      </c>
      <c r="I249" s="85" t="s">
        <v>1829</v>
      </c>
      <c r="J249" s="86" t="s">
        <v>1829</v>
      </c>
      <c r="K249" s="85" t="s">
        <v>90</v>
      </c>
      <c r="L249" s="85" t="s">
        <v>4327</v>
      </c>
      <c r="M249" s="87">
        <v>39976</v>
      </c>
      <c r="N249" s="85" t="s">
        <v>4307</v>
      </c>
      <c r="O249" s="85" t="s">
        <v>4308</v>
      </c>
      <c r="P249" s="99">
        <v>1</v>
      </c>
      <c r="Q249" s="99">
        <v>4</v>
      </c>
      <c r="R249" s="99">
        <v>0</v>
      </c>
      <c r="S249" s="99">
        <v>0</v>
      </c>
      <c r="T249" s="88">
        <f t="shared" si="3"/>
        <v>4</v>
      </c>
      <c r="U249" s="85" t="s">
        <v>4309</v>
      </c>
      <c r="V249" s="88" t="s">
        <v>4330</v>
      </c>
      <c r="W249" s="109" t="s">
        <v>5670</v>
      </c>
      <c r="X249" s="109" t="s">
        <v>4464</v>
      </c>
      <c r="Y249" s="109" t="s">
        <v>4492</v>
      </c>
      <c r="Z249" s="109" t="s">
        <v>5671</v>
      </c>
      <c r="AA249" s="109" t="s">
        <v>4363</v>
      </c>
      <c r="AB249" s="109" t="s">
        <v>4922</v>
      </c>
      <c r="AC249" s="109">
        <v>40534</v>
      </c>
      <c r="AD249" s="85" t="s">
        <v>5672</v>
      </c>
      <c r="AE249" s="88" t="s">
        <v>5673</v>
      </c>
      <c r="AF249" s="88" t="s">
        <v>5674</v>
      </c>
      <c r="AG249" s="85" t="s">
        <v>4751</v>
      </c>
      <c r="AH249" s="85" t="s">
        <v>5675</v>
      </c>
      <c r="AI249" s="85" t="s">
        <v>4638</v>
      </c>
      <c r="AJ249" s="85" t="s">
        <v>4384</v>
      </c>
      <c r="AK249" s="85" t="s">
        <v>4337</v>
      </c>
      <c r="AL249" s="85" t="s">
        <v>5224</v>
      </c>
      <c r="AM249" s="85" t="s">
        <v>4372</v>
      </c>
      <c r="AN249" s="85" t="s">
        <v>5676</v>
      </c>
      <c r="AO249" s="85"/>
      <c r="AP249" s="88">
        <v>149</v>
      </c>
      <c r="AQ249" s="88">
        <v>36</v>
      </c>
      <c r="AR249" s="85" t="s">
        <v>4428</v>
      </c>
    </row>
    <row r="250" spans="2:44">
      <c r="B250" s="69" t="s">
        <v>4325</v>
      </c>
      <c r="C250" s="81">
        <v>247</v>
      </c>
      <c r="D250" s="82">
        <v>252610025</v>
      </c>
      <c r="E250" s="102" t="s">
        <v>1138</v>
      </c>
      <c r="F250" s="103" t="s">
        <v>1139</v>
      </c>
      <c r="G250" s="104" t="s">
        <v>1139</v>
      </c>
      <c r="H250" s="104" t="s">
        <v>5677</v>
      </c>
      <c r="I250" s="104" t="s">
        <v>1138</v>
      </c>
      <c r="J250" s="86" t="s">
        <v>1138</v>
      </c>
      <c r="K250" s="104" t="s">
        <v>90</v>
      </c>
      <c r="L250" s="104" t="s">
        <v>4343</v>
      </c>
      <c r="M250" s="105">
        <v>40043</v>
      </c>
      <c r="N250" s="104" t="s">
        <v>4460</v>
      </c>
      <c r="O250" s="104" t="s">
        <v>4462</v>
      </c>
      <c r="P250" s="88">
        <v>4</v>
      </c>
      <c r="Q250" s="88">
        <v>1</v>
      </c>
      <c r="R250" s="88">
        <v>2</v>
      </c>
      <c r="S250" s="88">
        <v>0</v>
      </c>
      <c r="T250" s="88">
        <f t="shared" si="3"/>
        <v>3</v>
      </c>
      <c r="U250" s="104" t="s">
        <v>4462</v>
      </c>
      <c r="V250" s="99" t="s">
        <v>4358</v>
      </c>
      <c r="W250" s="108" t="s">
        <v>5678</v>
      </c>
      <c r="X250" s="108" t="s">
        <v>4606</v>
      </c>
      <c r="Y250" s="108" t="s">
        <v>4544</v>
      </c>
      <c r="Z250" s="108" t="s">
        <v>4406</v>
      </c>
      <c r="AA250" s="108" t="s">
        <v>5679</v>
      </c>
      <c r="AB250" s="108" t="s">
        <v>4395</v>
      </c>
      <c r="AC250" s="108">
        <v>40214</v>
      </c>
      <c r="AD250" s="104" t="s">
        <v>5680</v>
      </c>
      <c r="AE250" s="99" t="s">
        <v>4990</v>
      </c>
      <c r="AF250" s="99" t="s">
        <v>5681</v>
      </c>
      <c r="AG250" s="104" t="s">
        <v>5682</v>
      </c>
      <c r="AH250" s="104" t="s">
        <v>5683</v>
      </c>
      <c r="AI250" s="104" t="s">
        <v>4384</v>
      </c>
      <c r="AJ250" s="104" t="s">
        <v>4456</v>
      </c>
      <c r="AK250" s="104" t="s">
        <v>4319</v>
      </c>
      <c r="AL250" s="104" t="s">
        <v>4406</v>
      </c>
      <c r="AM250" s="104" t="s">
        <v>4372</v>
      </c>
      <c r="AN250" s="104" t="s">
        <v>4800</v>
      </c>
      <c r="AO250" s="104" t="s">
        <v>5684</v>
      </c>
      <c r="AP250" s="99">
        <v>151</v>
      </c>
      <c r="AQ250" s="99">
        <v>47</v>
      </c>
      <c r="AR250" s="104" t="s">
        <v>4322</v>
      </c>
    </row>
    <row r="251" s="66" customFormat="1" spans="2:44">
      <c r="B251" s="91" t="s">
        <v>4568</v>
      </c>
      <c r="C251" s="92">
        <v>248</v>
      </c>
      <c r="D251" s="93">
        <v>252610213</v>
      </c>
      <c r="E251" s="94" t="s">
        <v>2008</v>
      </c>
      <c r="F251" s="95" t="s">
        <v>2009</v>
      </c>
      <c r="G251" s="96" t="s">
        <v>2009</v>
      </c>
      <c r="H251" s="97"/>
      <c r="I251" s="96" t="s">
        <v>2008</v>
      </c>
      <c r="J251" s="96" t="s">
        <v>2008</v>
      </c>
      <c r="K251" s="97"/>
      <c r="L251" s="97"/>
      <c r="M251" s="98"/>
      <c r="N251" s="97"/>
      <c r="O251" s="97"/>
      <c r="P251" s="99"/>
      <c r="Q251" s="96"/>
      <c r="R251" s="96"/>
      <c r="S251" s="96"/>
      <c r="T251" s="88">
        <f t="shared" si="3"/>
        <v>0</v>
      </c>
      <c r="U251" s="97"/>
      <c r="V251" s="100"/>
      <c r="W251" s="101"/>
      <c r="X251" s="101"/>
      <c r="Y251" s="101"/>
      <c r="Z251" s="101"/>
      <c r="AA251" s="101"/>
      <c r="AB251" s="101"/>
      <c r="AC251" s="101"/>
      <c r="AD251" s="97"/>
      <c r="AE251" s="100"/>
      <c r="AF251" s="100"/>
      <c r="AG251" s="97"/>
      <c r="AH251" s="97"/>
      <c r="AI251" s="97"/>
      <c r="AJ251" s="97"/>
      <c r="AK251" s="97"/>
      <c r="AL251" s="97"/>
      <c r="AM251" s="97"/>
      <c r="AN251" s="97"/>
      <c r="AO251" s="97"/>
      <c r="AP251" s="100"/>
      <c r="AQ251" s="100"/>
      <c r="AR251" s="97"/>
    </row>
    <row r="252" spans="2:44">
      <c r="B252" s="69" t="s">
        <v>4354</v>
      </c>
      <c r="C252" s="81">
        <v>249</v>
      </c>
      <c r="D252" s="82">
        <v>252610069</v>
      </c>
      <c r="E252" s="116" t="s">
        <v>1056</v>
      </c>
      <c r="F252" s="84" t="s">
        <v>1057</v>
      </c>
      <c r="G252" s="104" t="s">
        <v>1057</v>
      </c>
      <c r="H252" s="104" t="s">
        <v>5685</v>
      </c>
      <c r="I252" s="104" t="s">
        <v>1056</v>
      </c>
      <c r="J252" s="86" t="s">
        <v>1056</v>
      </c>
      <c r="K252" s="104" t="s">
        <v>90</v>
      </c>
      <c r="L252" s="104" t="s">
        <v>4557</v>
      </c>
      <c r="M252" s="105">
        <v>40080</v>
      </c>
      <c r="N252" s="104" t="s">
        <v>4328</v>
      </c>
      <c r="O252" s="104" t="s">
        <v>4489</v>
      </c>
      <c r="P252" s="88">
        <v>3</v>
      </c>
      <c r="Q252" s="88">
        <v>2</v>
      </c>
      <c r="R252" s="88">
        <v>0</v>
      </c>
      <c r="S252" s="88">
        <v>0</v>
      </c>
      <c r="T252" s="88">
        <f t="shared" si="3"/>
        <v>2</v>
      </c>
      <c r="U252" s="104" t="s">
        <v>5686</v>
      </c>
      <c r="V252" s="99">
        <v>0</v>
      </c>
      <c r="W252" s="108" t="s">
        <v>5687</v>
      </c>
      <c r="X252" s="108" t="s">
        <v>4431</v>
      </c>
      <c r="Y252" s="108" t="s">
        <v>4544</v>
      </c>
      <c r="Z252" s="108" t="s">
        <v>4406</v>
      </c>
      <c r="AA252" s="108" t="s">
        <v>5068</v>
      </c>
      <c r="AB252" s="108" t="s">
        <v>5688</v>
      </c>
      <c r="AC252" s="108">
        <v>40213</v>
      </c>
      <c r="AD252" s="104" t="s">
        <v>5689</v>
      </c>
      <c r="AE252" s="99" t="s">
        <v>5690</v>
      </c>
      <c r="AF252" s="99" t="s">
        <v>4658</v>
      </c>
      <c r="AG252" s="104" t="s">
        <v>5691</v>
      </c>
      <c r="AH252" s="104" t="s">
        <v>5692</v>
      </c>
      <c r="AI252" s="104" t="s">
        <v>5693</v>
      </c>
      <c r="AJ252" s="104" t="s">
        <v>5693</v>
      </c>
      <c r="AK252" s="104" t="s">
        <v>4553</v>
      </c>
      <c r="AL252" s="106"/>
      <c r="AM252" s="104" t="s">
        <v>4372</v>
      </c>
      <c r="AN252" s="104" t="s">
        <v>3150</v>
      </c>
      <c r="AO252" s="106"/>
      <c r="AP252" s="99">
        <v>145</v>
      </c>
      <c r="AQ252" s="99">
        <v>40</v>
      </c>
      <c r="AR252" s="104" t="s">
        <v>4322</v>
      </c>
    </row>
    <row r="253" spans="2:44">
      <c r="B253" s="69" t="s">
        <v>4324</v>
      </c>
      <c r="C253" s="81">
        <v>250</v>
      </c>
      <c r="D253" s="82">
        <v>252610118</v>
      </c>
      <c r="E253" s="116" t="s">
        <v>1241</v>
      </c>
      <c r="F253" s="84" t="s">
        <v>1242</v>
      </c>
      <c r="G253" s="85" t="s">
        <v>1242</v>
      </c>
      <c r="H253" s="85" t="s">
        <v>5694</v>
      </c>
      <c r="I253" s="85" t="s">
        <v>1241</v>
      </c>
      <c r="J253" s="86" t="s">
        <v>1241</v>
      </c>
      <c r="K253" s="85" t="s">
        <v>90</v>
      </c>
      <c r="L253" s="85" t="s">
        <v>5695</v>
      </c>
      <c r="M253" s="87">
        <v>40514</v>
      </c>
      <c r="N253" s="85" t="s">
        <v>4307</v>
      </c>
      <c r="O253" s="85" t="s">
        <v>4489</v>
      </c>
      <c r="P253" s="99">
        <v>5</v>
      </c>
      <c r="Q253" s="99">
        <v>3</v>
      </c>
      <c r="R253" s="99">
        <v>1</v>
      </c>
      <c r="S253" s="99">
        <v>0</v>
      </c>
      <c r="T253" s="88">
        <f t="shared" si="3"/>
        <v>4</v>
      </c>
      <c r="U253" s="85" t="s">
        <v>4489</v>
      </c>
      <c r="V253" s="88" t="s">
        <v>4595</v>
      </c>
      <c r="W253" s="109" t="s">
        <v>5663</v>
      </c>
      <c r="X253" s="109" t="s">
        <v>4431</v>
      </c>
      <c r="Y253" s="109" t="s">
        <v>4703</v>
      </c>
      <c r="Z253" s="112"/>
      <c r="AA253" s="109" t="s">
        <v>4494</v>
      </c>
      <c r="AB253" s="109" t="s">
        <v>4451</v>
      </c>
      <c r="AC253" s="109">
        <v>40534</v>
      </c>
      <c r="AD253" s="85" t="s">
        <v>5696</v>
      </c>
      <c r="AE253" s="88" t="s">
        <v>5697</v>
      </c>
      <c r="AF253" s="88" t="s">
        <v>5165</v>
      </c>
      <c r="AG253" s="85" t="s">
        <v>5698</v>
      </c>
      <c r="AH253" s="85" t="s">
        <v>5699</v>
      </c>
      <c r="AI253" s="85" t="s">
        <v>4370</v>
      </c>
      <c r="AJ253" s="85" t="s">
        <v>4965</v>
      </c>
      <c r="AK253" s="85" t="s">
        <v>4319</v>
      </c>
      <c r="AL253" s="90"/>
      <c r="AM253" s="85" t="s">
        <v>4651</v>
      </c>
      <c r="AN253" s="85" t="s">
        <v>5700</v>
      </c>
      <c r="AO253" s="90"/>
      <c r="AP253" s="88">
        <v>157</v>
      </c>
      <c r="AQ253" s="88">
        <v>40</v>
      </c>
      <c r="AR253" s="85" t="s">
        <v>4322</v>
      </c>
    </row>
    <row r="254" spans="2:44">
      <c r="B254" s="69" t="s">
        <v>4355</v>
      </c>
      <c r="C254" s="81">
        <v>251</v>
      </c>
      <c r="D254" s="82">
        <v>252610167</v>
      </c>
      <c r="E254" s="83" t="s">
        <v>1243</v>
      </c>
      <c r="F254" s="84" t="s">
        <v>1244</v>
      </c>
      <c r="G254" s="104" t="s">
        <v>1244</v>
      </c>
      <c r="H254" s="104" t="s">
        <v>5701</v>
      </c>
      <c r="I254" s="104" t="s">
        <v>1243</v>
      </c>
      <c r="J254" s="86" t="s">
        <v>1243</v>
      </c>
      <c r="K254" s="104" t="s">
        <v>90</v>
      </c>
      <c r="L254" s="104" t="s">
        <v>4357</v>
      </c>
      <c r="M254" s="105">
        <v>39996</v>
      </c>
      <c r="N254" s="104" t="s">
        <v>4307</v>
      </c>
      <c r="O254" s="104" t="s">
        <v>4344</v>
      </c>
      <c r="P254" s="88">
        <v>2</v>
      </c>
      <c r="Q254" s="88">
        <v>3</v>
      </c>
      <c r="R254" s="88">
        <v>0</v>
      </c>
      <c r="S254" s="88">
        <v>0</v>
      </c>
      <c r="T254" s="88">
        <f t="shared" si="3"/>
        <v>3</v>
      </c>
      <c r="U254" s="104" t="s">
        <v>4344</v>
      </c>
      <c r="V254" s="99" t="s">
        <v>4358</v>
      </c>
      <c r="W254" s="108" t="s">
        <v>5702</v>
      </c>
      <c r="X254" s="108" t="s">
        <v>4431</v>
      </c>
      <c r="Y254" s="108" t="s">
        <v>4632</v>
      </c>
      <c r="Z254" s="108" t="s">
        <v>5012</v>
      </c>
      <c r="AA254" s="108" t="s">
        <v>5012</v>
      </c>
      <c r="AB254" s="108" t="s">
        <v>4656</v>
      </c>
      <c r="AC254" s="108">
        <v>40212</v>
      </c>
      <c r="AD254" s="104" t="s">
        <v>5703</v>
      </c>
      <c r="AE254" s="99" t="s">
        <v>4313</v>
      </c>
      <c r="AF254" s="99" t="s">
        <v>4658</v>
      </c>
      <c r="AG254" s="104" t="s">
        <v>5704</v>
      </c>
      <c r="AH254" s="104" t="s">
        <v>5705</v>
      </c>
      <c r="AI254" s="104" t="s">
        <v>5706</v>
      </c>
      <c r="AJ254" s="104" t="s">
        <v>5707</v>
      </c>
      <c r="AK254" s="104" t="s">
        <v>4338</v>
      </c>
      <c r="AL254" s="104" t="s">
        <v>5640</v>
      </c>
      <c r="AM254" s="104" t="s">
        <v>4372</v>
      </c>
      <c r="AN254" s="104" t="s">
        <v>5451</v>
      </c>
      <c r="AO254" s="106"/>
      <c r="AP254" s="99">
        <v>156</v>
      </c>
      <c r="AQ254" s="99">
        <v>43</v>
      </c>
      <c r="AR254" s="104" t="s">
        <v>4322</v>
      </c>
    </row>
    <row r="255" spans="2:44">
      <c r="B255" s="69" t="s">
        <v>4568</v>
      </c>
      <c r="C255" s="81">
        <v>252</v>
      </c>
      <c r="D255" s="82">
        <v>252610214</v>
      </c>
      <c r="E255" s="116" t="s">
        <v>1245</v>
      </c>
      <c r="F255" s="84" t="s">
        <v>1246</v>
      </c>
      <c r="G255" s="85" t="s">
        <v>4140</v>
      </c>
      <c r="H255" s="85" t="s">
        <v>5708</v>
      </c>
      <c r="I255" s="85" t="s">
        <v>1245</v>
      </c>
      <c r="J255" s="86" t="s">
        <v>1245</v>
      </c>
      <c r="K255" s="85" t="s">
        <v>90</v>
      </c>
      <c r="L255" s="85" t="s">
        <v>4343</v>
      </c>
      <c r="M255" s="87">
        <v>40168</v>
      </c>
      <c r="N255" s="85" t="s">
        <v>4307</v>
      </c>
      <c r="O255" s="85" t="s">
        <v>4308</v>
      </c>
      <c r="P255" s="99">
        <v>3</v>
      </c>
      <c r="Q255" s="99">
        <v>2</v>
      </c>
      <c r="R255" s="99">
        <v>0</v>
      </c>
      <c r="S255" s="99">
        <v>0</v>
      </c>
      <c r="T255" s="88">
        <f t="shared" si="3"/>
        <v>2</v>
      </c>
      <c r="U255" s="85" t="s">
        <v>4308</v>
      </c>
      <c r="V255" s="88" t="s">
        <v>4358</v>
      </c>
      <c r="W255" s="109" t="s">
        <v>5709</v>
      </c>
      <c r="X255" s="109" t="s">
        <v>4431</v>
      </c>
      <c r="Y255" s="109" t="s">
        <v>4606</v>
      </c>
      <c r="Z255" s="109" t="s">
        <v>4511</v>
      </c>
      <c r="AA255" s="109" t="s">
        <v>5710</v>
      </c>
      <c r="AB255" s="109" t="s">
        <v>4511</v>
      </c>
      <c r="AC255" s="109">
        <v>40215</v>
      </c>
      <c r="AD255" s="85" t="s">
        <v>5711</v>
      </c>
      <c r="AE255" s="88" t="s">
        <v>4333</v>
      </c>
      <c r="AF255" s="88" t="s">
        <v>5142</v>
      </c>
      <c r="AG255" s="85" t="s">
        <v>5712</v>
      </c>
      <c r="AH255" s="85" t="s">
        <v>5713</v>
      </c>
      <c r="AI255" s="85" t="s">
        <v>4370</v>
      </c>
      <c r="AJ255" s="85" t="s">
        <v>4370</v>
      </c>
      <c r="AK255" s="85" t="s">
        <v>4319</v>
      </c>
      <c r="AL255" s="90"/>
      <c r="AM255" s="85" t="s">
        <v>4372</v>
      </c>
      <c r="AN255" s="85" t="s">
        <v>5714</v>
      </c>
      <c r="AO255" s="90"/>
      <c r="AP255" s="88">
        <v>160</v>
      </c>
      <c r="AQ255" s="88">
        <v>50</v>
      </c>
      <c r="AR255" s="85" t="s">
        <v>4322</v>
      </c>
    </row>
    <row r="256" s="66" customFormat="1" spans="2:44">
      <c r="B256" s="91" t="s">
        <v>4373</v>
      </c>
      <c r="C256" s="92">
        <v>253</v>
      </c>
      <c r="D256" s="93">
        <v>252610498</v>
      </c>
      <c r="E256" s="115" t="s">
        <v>2010</v>
      </c>
      <c r="F256" s="95" t="s">
        <v>2011</v>
      </c>
      <c r="G256" s="96" t="s">
        <v>2011</v>
      </c>
      <c r="H256" s="97"/>
      <c r="I256" s="96" t="s">
        <v>2010</v>
      </c>
      <c r="J256" s="96" t="s">
        <v>2010</v>
      </c>
      <c r="K256" s="97"/>
      <c r="L256" s="97"/>
      <c r="M256" s="98"/>
      <c r="N256" s="97"/>
      <c r="O256" s="97"/>
      <c r="P256" s="88"/>
      <c r="Q256" s="96"/>
      <c r="R256" s="96"/>
      <c r="S256" s="96"/>
      <c r="T256" s="88">
        <f t="shared" si="3"/>
        <v>0</v>
      </c>
      <c r="U256" s="97"/>
      <c r="V256" s="100"/>
      <c r="W256" s="101"/>
      <c r="X256" s="101"/>
      <c r="Y256" s="101"/>
      <c r="Z256" s="101"/>
      <c r="AA256" s="101"/>
      <c r="AB256" s="101"/>
      <c r="AC256" s="101"/>
      <c r="AD256" s="97"/>
      <c r="AE256" s="100"/>
      <c r="AF256" s="100"/>
      <c r="AG256" s="97"/>
      <c r="AH256" s="97"/>
      <c r="AI256" s="97"/>
      <c r="AJ256" s="97"/>
      <c r="AK256" s="97"/>
      <c r="AL256" s="97"/>
      <c r="AM256" s="97"/>
      <c r="AN256" s="97"/>
      <c r="AO256" s="97"/>
      <c r="AP256" s="100"/>
      <c r="AQ256" s="100"/>
      <c r="AR256" s="97"/>
    </row>
    <row r="257" spans="2:44">
      <c r="B257" s="69" t="s">
        <v>4642</v>
      </c>
      <c r="C257" s="81">
        <v>254</v>
      </c>
      <c r="D257" s="82">
        <v>252610549</v>
      </c>
      <c r="E257" s="83" t="s">
        <v>1909</v>
      </c>
      <c r="F257" s="84" t="s">
        <v>1910</v>
      </c>
      <c r="G257" s="85" t="s">
        <v>1910</v>
      </c>
      <c r="H257" s="85" t="s">
        <v>5715</v>
      </c>
      <c r="I257" s="85" t="s">
        <v>1909</v>
      </c>
      <c r="J257" s="86" t="s">
        <v>1909</v>
      </c>
      <c r="K257" s="85" t="s">
        <v>89</v>
      </c>
      <c r="L257" s="85" t="s">
        <v>4343</v>
      </c>
      <c r="M257" s="87">
        <v>40234</v>
      </c>
      <c r="N257" s="85" t="s">
        <v>5716</v>
      </c>
      <c r="O257" s="85" t="s">
        <v>4344</v>
      </c>
      <c r="P257" s="99">
        <v>3</v>
      </c>
      <c r="Q257" s="99">
        <v>3</v>
      </c>
      <c r="R257" s="99">
        <v>0</v>
      </c>
      <c r="S257" s="99">
        <v>0</v>
      </c>
      <c r="T257" s="88">
        <f t="shared" si="3"/>
        <v>3</v>
      </c>
      <c r="U257" s="85" t="s">
        <v>4344</v>
      </c>
      <c r="V257" s="88" t="s">
        <v>4358</v>
      </c>
      <c r="W257" s="109" t="s">
        <v>5717</v>
      </c>
      <c r="X257" s="109">
        <v>4</v>
      </c>
      <c r="Y257" s="109">
        <v>11</v>
      </c>
      <c r="Z257" s="109" t="s">
        <v>4406</v>
      </c>
      <c r="AA257" s="109" t="s">
        <v>4363</v>
      </c>
      <c r="AB257" s="109" t="s">
        <v>4378</v>
      </c>
      <c r="AC257" s="109">
        <v>40534</v>
      </c>
      <c r="AD257" s="85" t="s">
        <v>5718</v>
      </c>
      <c r="AE257" s="88" t="s">
        <v>4436</v>
      </c>
      <c r="AF257" s="88" t="s">
        <v>4482</v>
      </c>
      <c r="AG257" s="85" t="s">
        <v>5719</v>
      </c>
      <c r="AH257" s="85" t="s">
        <v>5720</v>
      </c>
      <c r="AI257" s="85" t="s">
        <v>5721</v>
      </c>
      <c r="AJ257" s="85" t="s">
        <v>5721</v>
      </c>
      <c r="AK257" s="85" t="s">
        <v>4320</v>
      </c>
      <c r="AL257" s="85" t="s">
        <v>4406</v>
      </c>
      <c r="AM257" s="85" t="s">
        <v>4320</v>
      </c>
      <c r="AN257" s="85" t="s">
        <v>3124</v>
      </c>
      <c r="AO257" s="85" t="s">
        <v>4406</v>
      </c>
      <c r="AP257" s="88">
        <v>147</v>
      </c>
      <c r="AQ257" s="88">
        <v>57</v>
      </c>
      <c r="AR257" s="85" t="s">
        <v>4415</v>
      </c>
    </row>
    <row r="258" s="66" customFormat="1" spans="2:44">
      <c r="B258" s="91" t="s">
        <v>4341</v>
      </c>
      <c r="C258" s="92">
        <v>255</v>
      </c>
      <c r="D258" s="93">
        <v>252610308</v>
      </c>
      <c r="E258" s="94" t="s">
        <v>1716</v>
      </c>
      <c r="F258" s="95" t="s">
        <v>1717</v>
      </c>
      <c r="G258" s="96" t="s">
        <v>1717</v>
      </c>
      <c r="H258" s="97"/>
      <c r="I258" s="96" t="s">
        <v>1716</v>
      </c>
      <c r="J258" s="96" t="s">
        <v>1716</v>
      </c>
      <c r="K258" s="97"/>
      <c r="L258" s="97"/>
      <c r="M258" s="98"/>
      <c r="N258" s="97"/>
      <c r="O258" s="97"/>
      <c r="P258" s="88"/>
      <c r="Q258" s="96"/>
      <c r="R258" s="96"/>
      <c r="S258" s="96"/>
      <c r="T258" s="88">
        <f t="shared" si="3"/>
        <v>0</v>
      </c>
      <c r="U258" s="97"/>
      <c r="V258" s="100"/>
      <c r="W258" s="101"/>
      <c r="X258" s="101"/>
      <c r="Y258" s="101"/>
      <c r="Z258" s="101"/>
      <c r="AA258" s="101"/>
      <c r="AB258" s="101"/>
      <c r="AC258" s="101"/>
      <c r="AD258" s="97"/>
      <c r="AE258" s="100"/>
      <c r="AF258" s="100"/>
      <c r="AG258" s="97"/>
      <c r="AH258" s="97"/>
      <c r="AI258" s="97"/>
      <c r="AJ258" s="97"/>
      <c r="AK258" s="97"/>
      <c r="AL258" s="97"/>
      <c r="AM258" s="97"/>
      <c r="AN258" s="97"/>
      <c r="AO258" s="97"/>
      <c r="AP258" s="100"/>
      <c r="AQ258" s="100"/>
      <c r="AR258" s="97"/>
    </row>
    <row r="259" s="66" customFormat="1" spans="2:44">
      <c r="B259" s="91" t="s">
        <v>4325</v>
      </c>
      <c r="C259" s="92">
        <v>256</v>
      </c>
      <c r="D259" s="93">
        <v>252610026</v>
      </c>
      <c r="E259" s="118" t="s">
        <v>1526</v>
      </c>
      <c r="F259" s="119" t="s">
        <v>1527</v>
      </c>
      <c r="G259" s="96" t="s">
        <v>1527</v>
      </c>
      <c r="H259" s="97"/>
      <c r="I259" s="96" t="s">
        <v>1526</v>
      </c>
      <c r="J259" s="96" t="s">
        <v>1526</v>
      </c>
      <c r="K259" s="97"/>
      <c r="L259" s="97"/>
      <c r="M259" s="98"/>
      <c r="N259" s="97"/>
      <c r="O259" s="97"/>
      <c r="P259" s="99"/>
      <c r="Q259" s="96"/>
      <c r="R259" s="96"/>
      <c r="S259" s="96"/>
      <c r="T259" s="88">
        <f t="shared" si="3"/>
        <v>0</v>
      </c>
      <c r="U259" s="97"/>
      <c r="V259" s="100"/>
      <c r="W259" s="101"/>
      <c r="X259" s="101"/>
      <c r="Y259" s="101"/>
      <c r="Z259" s="101"/>
      <c r="AA259" s="101"/>
      <c r="AB259" s="101"/>
      <c r="AC259" s="101"/>
      <c r="AD259" s="97"/>
      <c r="AE259" s="100"/>
      <c r="AF259" s="100"/>
      <c r="AG259" s="97"/>
      <c r="AH259" s="97"/>
      <c r="AI259" s="97"/>
      <c r="AJ259" s="97"/>
      <c r="AK259" s="97"/>
      <c r="AL259" s="97"/>
      <c r="AM259" s="97"/>
      <c r="AN259" s="97"/>
      <c r="AO259" s="97"/>
      <c r="AP259" s="100"/>
      <c r="AQ259" s="100"/>
      <c r="AR259" s="97"/>
    </row>
    <row r="260" s="66" customFormat="1" spans="2:44">
      <c r="B260" s="91" t="s">
        <v>4323</v>
      </c>
      <c r="C260" s="92">
        <v>257</v>
      </c>
      <c r="D260" s="93">
        <v>252610262</v>
      </c>
      <c r="E260" s="115" t="s">
        <v>1831</v>
      </c>
      <c r="F260" s="95" t="s">
        <v>1832</v>
      </c>
      <c r="G260" s="96" t="s">
        <v>1832</v>
      </c>
      <c r="H260" s="97"/>
      <c r="I260" s="96" t="s">
        <v>1831</v>
      </c>
      <c r="J260" s="96" t="s">
        <v>1831</v>
      </c>
      <c r="K260" s="97"/>
      <c r="L260" s="97"/>
      <c r="M260" s="98"/>
      <c r="N260" s="97"/>
      <c r="O260" s="97"/>
      <c r="P260" s="132"/>
      <c r="Q260" s="96"/>
      <c r="R260" s="96"/>
      <c r="S260" s="96"/>
      <c r="T260" s="88">
        <f t="shared" ref="T260:T323" si="4">Q260+R260+S260</f>
        <v>0</v>
      </c>
      <c r="U260" s="97"/>
      <c r="V260" s="100"/>
      <c r="W260" s="101"/>
      <c r="X260" s="101"/>
      <c r="Y260" s="101"/>
      <c r="Z260" s="101"/>
      <c r="AA260" s="101"/>
      <c r="AB260" s="101"/>
      <c r="AC260" s="101"/>
      <c r="AD260" s="97"/>
      <c r="AE260" s="100"/>
      <c r="AF260" s="100"/>
      <c r="AG260" s="97"/>
      <c r="AH260" s="97"/>
      <c r="AI260" s="97"/>
      <c r="AJ260" s="97"/>
      <c r="AK260" s="97"/>
      <c r="AL260" s="97"/>
      <c r="AM260" s="97"/>
      <c r="AN260" s="97"/>
      <c r="AO260" s="97"/>
      <c r="AP260" s="100"/>
      <c r="AQ260" s="100"/>
      <c r="AR260" s="97"/>
    </row>
    <row r="261" s="67" customFormat="1" spans="2:44">
      <c r="B261" s="133" t="s">
        <v>4373</v>
      </c>
      <c r="C261" s="134">
        <v>258</v>
      </c>
      <c r="D261" s="135">
        <v>252610499</v>
      </c>
      <c r="E261" s="136" t="s">
        <v>1718</v>
      </c>
      <c r="F261" s="137" t="s">
        <v>1719</v>
      </c>
      <c r="G261" s="138"/>
      <c r="H261" s="139"/>
      <c r="I261" s="138"/>
      <c r="J261" s="138"/>
      <c r="K261" s="139"/>
      <c r="L261" s="139"/>
      <c r="M261" s="140"/>
      <c r="N261" s="139"/>
      <c r="O261" s="139"/>
      <c r="P261" s="141"/>
      <c r="Q261" s="138"/>
      <c r="R261" s="138"/>
      <c r="S261" s="138"/>
      <c r="T261" s="142">
        <f t="shared" si="4"/>
        <v>0</v>
      </c>
      <c r="U261" s="139"/>
      <c r="V261" s="142"/>
      <c r="W261" s="143"/>
      <c r="X261" s="143"/>
      <c r="Y261" s="143"/>
      <c r="Z261" s="143"/>
      <c r="AA261" s="143"/>
      <c r="AB261" s="143"/>
      <c r="AC261" s="143"/>
      <c r="AD261" s="139"/>
      <c r="AE261" s="142"/>
      <c r="AF261" s="142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42"/>
      <c r="AQ261" s="142"/>
      <c r="AR261" s="139"/>
    </row>
    <row r="262" spans="2:44">
      <c r="B262" s="65" t="s">
        <v>4386</v>
      </c>
      <c r="C262" s="81">
        <v>259</v>
      </c>
      <c r="D262" s="82">
        <v>252610358</v>
      </c>
      <c r="E262" s="83" t="s">
        <v>944</v>
      </c>
      <c r="F262" s="84" t="s">
        <v>945</v>
      </c>
      <c r="G262" s="86" t="s">
        <v>5722</v>
      </c>
      <c r="H262" s="86" t="s">
        <v>5723</v>
      </c>
      <c r="I262" s="86" t="s">
        <v>944</v>
      </c>
      <c r="J262" s="86" t="s">
        <v>944</v>
      </c>
      <c r="K262" s="86" t="s">
        <v>89</v>
      </c>
      <c r="L262" s="86" t="s">
        <v>4343</v>
      </c>
      <c r="M262" s="122">
        <v>39798</v>
      </c>
      <c r="N262" s="86" t="s">
        <v>4307</v>
      </c>
      <c r="O262" s="86" t="s">
        <v>4344</v>
      </c>
      <c r="P262" s="123">
        <v>3</v>
      </c>
      <c r="Q262" s="88">
        <v>2</v>
      </c>
      <c r="R262" s="88">
        <v>0</v>
      </c>
      <c r="S262" s="88">
        <v>0</v>
      </c>
      <c r="T262" s="88">
        <f t="shared" si="4"/>
        <v>2</v>
      </c>
      <c r="U262" s="86" t="s">
        <v>5724</v>
      </c>
      <c r="V262" s="123">
        <v>0</v>
      </c>
      <c r="W262" s="124" t="s">
        <v>4644</v>
      </c>
      <c r="X262" s="124">
        <v>1</v>
      </c>
      <c r="Y262" s="124">
        <v>12</v>
      </c>
      <c r="Z262" s="124" t="s">
        <v>5725</v>
      </c>
      <c r="AA262" s="124" t="s">
        <v>4466</v>
      </c>
      <c r="AB262" s="124" t="s">
        <v>4511</v>
      </c>
      <c r="AC262" s="124">
        <v>40216</v>
      </c>
      <c r="AD262" s="86" t="s">
        <v>5726</v>
      </c>
      <c r="AE262" s="123" t="s">
        <v>4422</v>
      </c>
      <c r="AF262" s="123" t="s">
        <v>5113</v>
      </c>
      <c r="AG262" s="86" t="s">
        <v>5727</v>
      </c>
      <c r="AH262" s="86" t="s">
        <v>5728</v>
      </c>
      <c r="AI262" s="86" t="s">
        <v>5179</v>
      </c>
      <c r="AJ262" s="86" t="s">
        <v>5179</v>
      </c>
      <c r="AK262" s="86" t="s">
        <v>4319</v>
      </c>
      <c r="AM262" s="86" t="s">
        <v>4372</v>
      </c>
      <c r="AN262" s="86" t="s">
        <v>5729</v>
      </c>
      <c r="AO262" s="86" t="s">
        <v>5730</v>
      </c>
      <c r="AP262" s="123">
        <v>159</v>
      </c>
      <c r="AQ262" s="123" t="s">
        <v>5731</v>
      </c>
      <c r="AR262" s="86" t="s">
        <v>4322</v>
      </c>
    </row>
    <row r="263" s="66" customFormat="1" spans="2:44">
      <c r="B263" s="91" t="s">
        <v>4323</v>
      </c>
      <c r="C263" s="92">
        <v>260</v>
      </c>
      <c r="D263" s="93">
        <v>252610263</v>
      </c>
      <c r="E263" s="94" t="s">
        <v>1429</v>
      </c>
      <c r="F263" s="95" t="s">
        <v>1430</v>
      </c>
      <c r="G263" s="96" t="s">
        <v>1430</v>
      </c>
      <c r="H263" s="97"/>
      <c r="I263" s="96" t="s">
        <v>1429</v>
      </c>
      <c r="J263" s="96" t="s">
        <v>1429</v>
      </c>
      <c r="K263" s="97"/>
      <c r="L263" s="97"/>
      <c r="M263" s="98"/>
      <c r="N263" s="97"/>
      <c r="O263" s="97"/>
      <c r="P263" s="99"/>
      <c r="Q263" s="96"/>
      <c r="R263" s="96"/>
      <c r="S263" s="96"/>
      <c r="T263" s="88">
        <f t="shared" si="4"/>
        <v>0</v>
      </c>
      <c r="U263" s="97"/>
      <c r="V263" s="100"/>
      <c r="W263" s="101"/>
      <c r="X263" s="101"/>
      <c r="Y263" s="101"/>
      <c r="Z263" s="101"/>
      <c r="AA263" s="101"/>
      <c r="AB263" s="101"/>
      <c r="AC263" s="101"/>
      <c r="AD263" s="97"/>
      <c r="AE263" s="100"/>
      <c r="AF263" s="100"/>
      <c r="AG263" s="97"/>
      <c r="AH263" s="97"/>
      <c r="AI263" s="97"/>
      <c r="AJ263" s="97"/>
      <c r="AK263" s="97"/>
      <c r="AL263" s="97"/>
      <c r="AM263" s="97"/>
      <c r="AN263" s="97"/>
      <c r="AO263" s="97"/>
      <c r="AP263" s="100"/>
      <c r="AQ263" s="100"/>
      <c r="AR263" s="97"/>
    </row>
    <row r="264" s="66" customFormat="1" spans="2:44">
      <c r="B264" s="91" t="s">
        <v>4568</v>
      </c>
      <c r="C264" s="92">
        <v>261</v>
      </c>
      <c r="D264" s="93">
        <v>252610215</v>
      </c>
      <c r="E264" s="118" t="s">
        <v>1431</v>
      </c>
      <c r="F264" s="119" t="s">
        <v>1432</v>
      </c>
      <c r="G264" s="96" t="s">
        <v>1432</v>
      </c>
      <c r="H264" s="97"/>
      <c r="I264" s="96" t="s">
        <v>1431</v>
      </c>
      <c r="J264" s="96" t="s">
        <v>1431</v>
      </c>
      <c r="K264" s="97"/>
      <c r="L264" s="97"/>
      <c r="M264" s="98"/>
      <c r="N264" s="97"/>
      <c r="O264" s="97"/>
      <c r="P264" s="88"/>
      <c r="Q264" s="96"/>
      <c r="R264" s="96"/>
      <c r="S264" s="96"/>
      <c r="T264" s="88">
        <f t="shared" si="4"/>
        <v>0</v>
      </c>
      <c r="U264" s="97"/>
      <c r="V264" s="100"/>
      <c r="W264" s="101"/>
      <c r="X264" s="101"/>
      <c r="Y264" s="101"/>
      <c r="Z264" s="101"/>
      <c r="AA264" s="101"/>
      <c r="AB264" s="101"/>
      <c r="AC264" s="101"/>
      <c r="AD264" s="97"/>
      <c r="AE264" s="100"/>
      <c r="AF264" s="100"/>
      <c r="AG264" s="97"/>
      <c r="AH264" s="97"/>
      <c r="AI264" s="97"/>
      <c r="AJ264" s="97"/>
      <c r="AK264" s="97"/>
      <c r="AL264" s="97"/>
      <c r="AM264" s="97"/>
      <c r="AN264" s="97"/>
      <c r="AO264" s="97"/>
      <c r="AP264" s="100"/>
      <c r="AQ264" s="100"/>
      <c r="AR264" s="97"/>
    </row>
    <row r="265" spans="2:44">
      <c r="B265" s="69" t="s">
        <v>4325</v>
      </c>
      <c r="C265" s="81">
        <v>262</v>
      </c>
      <c r="D265" s="82">
        <v>252610027</v>
      </c>
      <c r="E265" s="83" t="s">
        <v>946</v>
      </c>
      <c r="F265" s="84" t="s">
        <v>947</v>
      </c>
      <c r="G265" s="85" t="s">
        <v>947</v>
      </c>
      <c r="H265" s="85" t="s">
        <v>5732</v>
      </c>
      <c r="I265" s="85" t="s">
        <v>946</v>
      </c>
      <c r="J265" s="86" t="s">
        <v>946</v>
      </c>
      <c r="K265" s="85" t="s">
        <v>89</v>
      </c>
      <c r="L265" s="85" t="s">
        <v>4343</v>
      </c>
      <c r="M265" s="87">
        <v>40299</v>
      </c>
      <c r="N265" s="85" t="s">
        <v>4307</v>
      </c>
      <c r="O265" s="85" t="s">
        <v>4344</v>
      </c>
      <c r="P265" s="99">
        <v>3</v>
      </c>
      <c r="Q265" s="99">
        <v>4</v>
      </c>
      <c r="R265" s="99">
        <v>0</v>
      </c>
      <c r="S265" s="99">
        <v>0</v>
      </c>
      <c r="T265" s="88">
        <f t="shared" si="4"/>
        <v>4</v>
      </c>
      <c r="U265" s="85" t="s">
        <v>4344</v>
      </c>
      <c r="V265" s="88" t="s">
        <v>4310</v>
      </c>
      <c r="W265" s="109" t="s">
        <v>5733</v>
      </c>
      <c r="X265" s="109" t="s">
        <v>4392</v>
      </c>
      <c r="Y265" s="109" t="s">
        <v>5323</v>
      </c>
      <c r="Z265" s="109" t="s">
        <v>4645</v>
      </c>
      <c r="AA265" s="109" t="s">
        <v>4645</v>
      </c>
      <c r="AB265" s="109" t="s">
        <v>4420</v>
      </c>
      <c r="AC265" s="109">
        <v>40216</v>
      </c>
      <c r="AD265" s="85" t="s">
        <v>5734</v>
      </c>
      <c r="AE265" s="88" t="s">
        <v>4410</v>
      </c>
      <c r="AF265" s="88" t="s">
        <v>5735</v>
      </c>
      <c r="AG265" s="85" t="s">
        <v>5736</v>
      </c>
      <c r="AH265" s="85" t="s">
        <v>5737</v>
      </c>
      <c r="AI265" s="85" t="s">
        <v>4318</v>
      </c>
      <c r="AJ265" s="85" t="s">
        <v>4456</v>
      </c>
      <c r="AK265" s="85" t="s">
        <v>4337</v>
      </c>
      <c r="AL265" s="85" t="s">
        <v>4406</v>
      </c>
      <c r="AM265" s="85" t="s">
        <v>4372</v>
      </c>
      <c r="AN265" s="85" t="s">
        <v>4427</v>
      </c>
      <c r="AO265" s="85" t="s">
        <v>5738</v>
      </c>
      <c r="AP265" s="88">
        <v>164</v>
      </c>
      <c r="AQ265" s="88">
        <v>40</v>
      </c>
      <c r="AR265" s="85" t="s">
        <v>4428</v>
      </c>
    </row>
    <row r="266" s="66" customFormat="1" spans="2:44">
      <c r="B266" s="91" t="s">
        <v>4386</v>
      </c>
      <c r="C266" s="92">
        <v>263</v>
      </c>
      <c r="D266" s="93">
        <v>252610359</v>
      </c>
      <c r="E266" s="94" t="s">
        <v>1247</v>
      </c>
      <c r="F266" s="95" t="s">
        <v>1248</v>
      </c>
      <c r="G266" s="96" t="s">
        <v>1248</v>
      </c>
      <c r="H266" s="97"/>
      <c r="I266" s="96" t="s">
        <v>1247</v>
      </c>
      <c r="J266" s="96" t="s">
        <v>1247</v>
      </c>
      <c r="K266" s="97"/>
      <c r="L266" s="97"/>
      <c r="M266" s="98"/>
      <c r="N266" s="97"/>
      <c r="O266" s="97"/>
      <c r="P266" s="88"/>
      <c r="Q266" s="96"/>
      <c r="R266" s="96"/>
      <c r="S266" s="96"/>
      <c r="T266" s="88">
        <f t="shared" si="4"/>
        <v>0</v>
      </c>
      <c r="U266" s="97"/>
      <c r="V266" s="100"/>
      <c r="W266" s="101"/>
      <c r="X266" s="101"/>
      <c r="Y266" s="101"/>
      <c r="Z266" s="101"/>
      <c r="AA266" s="101"/>
      <c r="AB266" s="101"/>
      <c r="AC266" s="101"/>
      <c r="AD266" s="97"/>
      <c r="AE266" s="100"/>
      <c r="AF266" s="100"/>
      <c r="AG266" s="97"/>
      <c r="AH266" s="97"/>
      <c r="AI266" s="97"/>
      <c r="AJ266" s="97"/>
      <c r="AK266" s="97"/>
      <c r="AL266" s="97"/>
      <c r="AM266" s="97"/>
      <c r="AN266" s="97"/>
      <c r="AO266" s="97"/>
      <c r="AP266" s="100"/>
      <c r="AQ266" s="100"/>
      <c r="AR266" s="97"/>
    </row>
    <row r="267" s="66" customFormat="1" spans="2:44">
      <c r="B267" s="91" t="s">
        <v>4354</v>
      </c>
      <c r="C267" s="92">
        <v>264</v>
      </c>
      <c r="D267" s="93">
        <v>252610070</v>
      </c>
      <c r="E267" s="94" t="s">
        <v>1140</v>
      </c>
      <c r="F267" s="95" t="s">
        <v>1141</v>
      </c>
      <c r="G267" s="96" t="s">
        <v>1141</v>
      </c>
      <c r="H267" s="97"/>
      <c r="I267" s="96" t="s">
        <v>1140</v>
      </c>
      <c r="J267" s="96" t="s">
        <v>1140</v>
      </c>
      <c r="K267" s="97"/>
      <c r="L267" s="97"/>
      <c r="M267" s="98"/>
      <c r="N267" s="97"/>
      <c r="O267" s="97"/>
      <c r="P267" s="99"/>
      <c r="Q267" s="96"/>
      <c r="R267" s="96"/>
      <c r="S267" s="96"/>
      <c r="T267" s="88">
        <f t="shared" si="4"/>
        <v>0</v>
      </c>
      <c r="U267" s="97"/>
      <c r="V267" s="100"/>
      <c r="W267" s="101"/>
      <c r="X267" s="101"/>
      <c r="Y267" s="101"/>
      <c r="Z267" s="101"/>
      <c r="AA267" s="101"/>
      <c r="AB267" s="101"/>
      <c r="AC267" s="101"/>
      <c r="AD267" s="97"/>
      <c r="AE267" s="100"/>
      <c r="AF267" s="100"/>
      <c r="AG267" s="97"/>
      <c r="AH267" s="97"/>
      <c r="AI267" s="97"/>
      <c r="AJ267" s="97"/>
      <c r="AK267" s="97"/>
      <c r="AL267" s="97"/>
      <c r="AM267" s="97"/>
      <c r="AN267" s="97"/>
      <c r="AO267" s="97"/>
      <c r="AP267" s="100"/>
      <c r="AQ267" s="100"/>
      <c r="AR267" s="97"/>
    </row>
    <row r="268" s="66" customFormat="1" spans="2:44">
      <c r="B268" s="91" t="s">
        <v>4674</v>
      </c>
      <c r="C268" s="92">
        <v>265</v>
      </c>
      <c r="D268" s="93">
        <v>252610406</v>
      </c>
      <c r="E268" s="115" t="s">
        <v>1911</v>
      </c>
      <c r="F268" s="95" t="s">
        <v>1912</v>
      </c>
      <c r="G268" s="96" t="s">
        <v>1912</v>
      </c>
      <c r="H268" s="97"/>
      <c r="I268" s="96" t="s">
        <v>1911</v>
      </c>
      <c r="J268" s="96" t="s">
        <v>1911</v>
      </c>
      <c r="K268" s="97"/>
      <c r="L268" s="97"/>
      <c r="M268" s="98"/>
      <c r="N268" s="97"/>
      <c r="O268" s="97"/>
      <c r="P268" s="88"/>
      <c r="Q268" s="96"/>
      <c r="R268" s="96"/>
      <c r="S268" s="96"/>
      <c r="T268" s="88">
        <f t="shared" si="4"/>
        <v>0</v>
      </c>
      <c r="U268" s="97"/>
      <c r="V268" s="100"/>
      <c r="W268" s="101"/>
      <c r="X268" s="101"/>
      <c r="Y268" s="101"/>
      <c r="Z268" s="101"/>
      <c r="AA268" s="101"/>
      <c r="AB268" s="101"/>
      <c r="AC268" s="101"/>
      <c r="AD268" s="97"/>
      <c r="AE268" s="100"/>
      <c r="AF268" s="100"/>
      <c r="AG268" s="97"/>
      <c r="AH268" s="97"/>
      <c r="AI268" s="97"/>
      <c r="AJ268" s="97"/>
      <c r="AK268" s="97"/>
      <c r="AL268" s="97"/>
      <c r="AM268" s="97"/>
      <c r="AN268" s="97"/>
      <c r="AO268" s="97"/>
      <c r="AP268" s="100"/>
      <c r="AQ268" s="100"/>
      <c r="AR268" s="97"/>
    </row>
    <row r="269" spans="2:44">
      <c r="B269" s="69" t="s">
        <v>4323</v>
      </c>
      <c r="C269" s="81">
        <v>266</v>
      </c>
      <c r="D269" s="82">
        <v>252610264</v>
      </c>
      <c r="E269" s="83" t="s">
        <v>1249</v>
      </c>
      <c r="F269" s="84" t="s">
        <v>1250</v>
      </c>
      <c r="G269" s="85" t="s">
        <v>4145</v>
      </c>
      <c r="H269" s="85" t="s">
        <v>5739</v>
      </c>
      <c r="I269" s="85" t="s">
        <v>1249</v>
      </c>
      <c r="J269" s="86" t="s">
        <v>1249</v>
      </c>
      <c r="K269" s="85" t="s">
        <v>90</v>
      </c>
      <c r="L269" s="85" t="s">
        <v>4343</v>
      </c>
      <c r="M269" s="87">
        <v>40126</v>
      </c>
      <c r="N269" s="85" t="s">
        <v>4307</v>
      </c>
      <c r="O269" s="85" t="s">
        <v>4344</v>
      </c>
      <c r="P269" s="99">
        <v>1</v>
      </c>
      <c r="Q269" s="99">
        <v>0</v>
      </c>
      <c r="R269" s="99">
        <v>0</v>
      </c>
      <c r="S269" s="99">
        <v>0</v>
      </c>
      <c r="T269" s="88">
        <f t="shared" si="4"/>
        <v>0</v>
      </c>
      <c r="U269" s="85" t="s">
        <v>4344</v>
      </c>
      <c r="V269" s="88" t="s">
        <v>4310</v>
      </c>
      <c r="W269" s="109" t="s">
        <v>5740</v>
      </c>
      <c r="X269" s="109" t="s">
        <v>4714</v>
      </c>
      <c r="Y269" s="109" t="s">
        <v>4929</v>
      </c>
      <c r="Z269" s="112"/>
      <c r="AA269" s="109" t="s">
        <v>5623</v>
      </c>
      <c r="AB269" s="109" t="s">
        <v>4451</v>
      </c>
      <c r="AC269" s="109">
        <v>40535</v>
      </c>
      <c r="AD269" s="85" t="s">
        <v>5741</v>
      </c>
      <c r="AE269" s="88" t="s">
        <v>4313</v>
      </c>
      <c r="AF269" s="88" t="s">
        <v>5742</v>
      </c>
      <c r="AG269" s="85" t="s">
        <v>5743</v>
      </c>
      <c r="AH269" s="85" t="s">
        <v>5744</v>
      </c>
      <c r="AI269" s="85" t="s">
        <v>4699</v>
      </c>
      <c r="AJ269" s="85" t="s">
        <v>4626</v>
      </c>
      <c r="AK269" s="85" t="s">
        <v>4320</v>
      </c>
      <c r="AL269" s="90"/>
      <c r="AM269" s="85" t="s">
        <v>4337</v>
      </c>
      <c r="AN269" s="85" t="s">
        <v>4870</v>
      </c>
      <c r="AO269" s="90"/>
      <c r="AP269" s="88">
        <v>154</v>
      </c>
      <c r="AQ269" s="88">
        <v>60</v>
      </c>
      <c r="AR269" s="85" t="s">
        <v>4322</v>
      </c>
    </row>
    <row r="270" spans="2:44">
      <c r="B270" s="69" t="s">
        <v>4341</v>
      </c>
      <c r="C270" s="81">
        <v>267</v>
      </c>
      <c r="D270" s="82">
        <v>252610310</v>
      </c>
      <c r="E270" s="116" t="s">
        <v>1327</v>
      </c>
      <c r="F270" s="84" t="s">
        <v>1328</v>
      </c>
      <c r="G270" s="104" t="s">
        <v>1328</v>
      </c>
      <c r="H270" s="104" t="s">
        <v>5745</v>
      </c>
      <c r="I270" s="104" t="s">
        <v>1327</v>
      </c>
      <c r="J270" s="86" t="s">
        <v>1327</v>
      </c>
      <c r="K270" s="104" t="s">
        <v>90</v>
      </c>
      <c r="L270" s="104" t="s">
        <v>5746</v>
      </c>
      <c r="M270" s="105">
        <v>40349</v>
      </c>
      <c r="N270" s="104" t="s">
        <v>4307</v>
      </c>
      <c r="O270" s="104" t="s">
        <v>4344</v>
      </c>
      <c r="P270" s="88">
        <v>2</v>
      </c>
      <c r="Q270" s="88">
        <v>1</v>
      </c>
      <c r="R270" s="88">
        <v>0</v>
      </c>
      <c r="S270" s="88">
        <v>0</v>
      </c>
      <c r="T270" s="88">
        <f t="shared" si="4"/>
        <v>1</v>
      </c>
      <c r="U270" s="104" t="s">
        <v>4345</v>
      </c>
      <c r="V270" s="99">
        <v>0</v>
      </c>
      <c r="W270" s="108" t="s">
        <v>5747</v>
      </c>
      <c r="X270" s="108" t="s">
        <v>4606</v>
      </c>
      <c r="Y270" s="108" t="s">
        <v>4756</v>
      </c>
      <c r="Z270" s="108" t="s">
        <v>4936</v>
      </c>
      <c r="AA270" s="108" t="s">
        <v>4936</v>
      </c>
      <c r="AB270" s="108" t="s">
        <v>4511</v>
      </c>
      <c r="AC270" s="108">
        <v>40217</v>
      </c>
      <c r="AD270" s="104" t="s">
        <v>5748</v>
      </c>
      <c r="AE270" s="99" t="s">
        <v>4366</v>
      </c>
      <c r="AF270" s="99" t="s">
        <v>4750</v>
      </c>
      <c r="AG270" s="104" t="s">
        <v>5749</v>
      </c>
      <c r="AH270" s="104" t="s">
        <v>5750</v>
      </c>
      <c r="AI270" s="104" t="s">
        <v>5751</v>
      </c>
      <c r="AJ270" s="104" t="s">
        <v>5751</v>
      </c>
      <c r="AK270" s="104" t="s">
        <v>4320</v>
      </c>
      <c r="AL270" s="104" t="s">
        <v>4406</v>
      </c>
      <c r="AM270" s="104" t="s">
        <v>4320</v>
      </c>
      <c r="AN270" s="104" t="s">
        <v>4427</v>
      </c>
      <c r="AO270" s="104"/>
      <c r="AP270" s="99">
        <v>160</v>
      </c>
      <c r="AQ270" s="99">
        <v>50</v>
      </c>
      <c r="AR270" s="104" t="s">
        <v>4322</v>
      </c>
    </row>
    <row r="271" s="66" customFormat="1" spans="2:44">
      <c r="B271" s="91" t="s">
        <v>4304</v>
      </c>
      <c r="C271" s="92">
        <v>268</v>
      </c>
      <c r="D271" s="93">
        <v>252610453</v>
      </c>
      <c r="E271" s="94" t="s">
        <v>948</v>
      </c>
      <c r="F271" s="95" t="s">
        <v>949</v>
      </c>
      <c r="G271" s="96" t="s">
        <v>949</v>
      </c>
      <c r="H271" s="97"/>
      <c r="I271" s="96" t="s">
        <v>948</v>
      </c>
      <c r="J271" s="96" t="s">
        <v>948</v>
      </c>
      <c r="K271" s="97"/>
      <c r="L271" s="97"/>
      <c r="M271" s="98"/>
      <c r="N271" s="97"/>
      <c r="O271" s="97"/>
      <c r="P271" s="99"/>
      <c r="Q271" s="96"/>
      <c r="R271" s="96"/>
      <c r="S271" s="96"/>
      <c r="T271" s="88">
        <f t="shared" si="4"/>
        <v>0</v>
      </c>
      <c r="U271" s="97"/>
      <c r="V271" s="100"/>
      <c r="W271" s="101"/>
      <c r="X271" s="101"/>
      <c r="Y271" s="101"/>
      <c r="Z271" s="101"/>
      <c r="AA271" s="101"/>
      <c r="AB271" s="101"/>
      <c r="AC271" s="101"/>
      <c r="AD271" s="97"/>
      <c r="AE271" s="100"/>
      <c r="AF271" s="100"/>
      <c r="AG271" s="97"/>
      <c r="AH271" s="97"/>
      <c r="AI271" s="97"/>
      <c r="AJ271" s="97"/>
      <c r="AK271" s="97"/>
      <c r="AL271" s="97"/>
      <c r="AM271" s="97"/>
      <c r="AN271" s="97"/>
      <c r="AO271" s="97"/>
      <c r="AP271" s="100"/>
      <c r="AQ271" s="100"/>
      <c r="AR271" s="97"/>
    </row>
    <row r="272" spans="2:44">
      <c r="B272" s="69" t="s">
        <v>4674</v>
      </c>
      <c r="C272" s="81">
        <v>269</v>
      </c>
      <c r="D272" s="82">
        <v>252610407</v>
      </c>
      <c r="E272" s="83" t="s">
        <v>1251</v>
      </c>
      <c r="F272" s="84" t="s">
        <v>1252</v>
      </c>
      <c r="G272" s="104" t="s">
        <v>1252</v>
      </c>
      <c r="H272" s="104" t="s">
        <v>5752</v>
      </c>
      <c r="I272" s="104" t="s">
        <v>1251</v>
      </c>
      <c r="J272" s="86" t="s">
        <v>1251</v>
      </c>
      <c r="K272" s="104" t="s">
        <v>90</v>
      </c>
      <c r="L272" s="104" t="s">
        <v>4327</v>
      </c>
      <c r="M272" s="105">
        <v>39972</v>
      </c>
      <c r="N272" s="104" t="s">
        <v>4307</v>
      </c>
      <c r="O272" s="104" t="s">
        <v>4308</v>
      </c>
      <c r="P272" s="88">
        <v>1</v>
      </c>
      <c r="Q272" s="88">
        <v>0</v>
      </c>
      <c r="R272" s="88">
        <v>0</v>
      </c>
      <c r="S272" s="88">
        <v>0</v>
      </c>
      <c r="T272" s="88">
        <f t="shared" si="4"/>
        <v>0</v>
      </c>
      <c r="U272" s="104" t="s">
        <v>4675</v>
      </c>
      <c r="V272" s="99">
        <v>0</v>
      </c>
      <c r="W272" s="108" t="s">
        <v>5753</v>
      </c>
      <c r="X272" s="108" t="s">
        <v>4464</v>
      </c>
      <c r="Y272" s="108" t="s">
        <v>4361</v>
      </c>
      <c r="Z272" s="108" t="s">
        <v>5754</v>
      </c>
      <c r="AA272" s="108" t="s">
        <v>4574</v>
      </c>
      <c r="AB272" s="108" t="s">
        <v>4364</v>
      </c>
      <c r="AC272" s="108">
        <v>40535</v>
      </c>
      <c r="AD272" s="104" t="s">
        <v>5755</v>
      </c>
      <c r="AE272" s="99" t="s">
        <v>4481</v>
      </c>
      <c r="AF272" s="99" t="s">
        <v>4576</v>
      </c>
      <c r="AG272" s="104" t="s">
        <v>5756</v>
      </c>
      <c r="AH272" s="104" t="s">
        <v>5757</v>
      </c>
      <c r="AI272" s="104" t="s">
        <v>4352</v>
      </c>
      <c r="AJ272" s="104" t="s">
        <v>5758</v>
      </c>
      <c r="AK272" s="104" t="s">
        <v>4402</v>
      </c>
      <c r="AL272" s="104" t="s">
        <v>4406</v>
      </c>
      <c r="AM272" s="104" t="s">
        <v>4372</v>
      </c>
      <c r="AN272" s="104" t="s">
        <v>5759</v>
      </c>
      <c r="AO272" s="104"/>
      <c r="AP272" s="99">
        <v>155</v>
      </c>
      <c r="AQ272" s="99">
        <v>51</v>
      </c>
      <c r="AR272" s="104" t="s">
        <v>4428</v>
      </c>
    </row>
    <row r="273" spans="2:130">
      <c r="B273" s="69" t="s">
        <v>4642</v>
      </c>
      <c r="C273" s="81">
        <v>270</v>
      </c>
      <c r="D273" s="82">
        <v>252610551</v>
      </c>
      <c r="E273" s="83" t="s">
        <v>1329</v>
      </c>
      <c r="F273" s="84" t="s">
        <v>1330</v>
      </c>
      <c r="G273" s="85" t="s">
        <v>1330</v>
      </c>
      <c r="H273" s="85" t="s">
        <v>5760</v>
      </c>
      <c r="I273" s="85" t="s">
        <v>1329</v>
      </c>
      <c r="J273" s="86" t="s">
        <v>1329</v>
      </c>
      <c r="K273" s="85" t="s">
        <v>90</v>
      </c>
      <c r="L273" s="85" t="s">
        <v>4343</v>
      </c>
      <c r="M273" s="87">
        <v>40233</v>
      </c>
      <c r="N273" s="85" t="s">
        <v>5761</v>
      </c>
      <c r="O273" s="85" t="s">
        <v>4344</v>
      </c>
      <c r="P273" s="99">
        <v>1</v>
      </c>
      <c r="Q273" s="99">
        <v>2</v>
      </c>
      <c r="R273" s="99">
        <v>0</v>
      </c>
      <c r="S273" s="99">
        <v>0</v>
      </c>
      <c r="T273" s="88">
        <f t="shared" si="4"/>
        <v>2</v>
      </c>
      <c r="U273" s="85" t="s">
        <v>5228</v>
      </c>
      <c r="V273" s="88">
        <v>0</v>
      </c>
      <c r="W273" s="109" t="s">
        <v>5762</v>
      </c>
      <c r="X273" s="109" t="s">
        <v>4419</v>
      </c>
      <c r="Y273" s="109">
        <v>26</v>
      </c>
      <c r="Z273" s="109" t="s">
        <v>5568</v>
      </c>
      <c r="AA273" s="109" t="s">
        <v>5568</v>
      </c>
      <c r="AB273" s="109" t="s">
        <v>4451</v>
      </c>
      <c r="AC273" s="109">
        <v>40535</v>
      </c>
      <c r="AD273" s="85" t="s">
        <v>5763</v>
      </c>
      <c r="AE273" s="88" t="s">
        <v>5764</v>
      </c>
      <c r="AF273" s="88" t="s">
        <v>4742</v>
      </c>
      <c r="AG273" s="85" t="s">
        <v>5765</v>
      </c>
      <c r="AH273" s="85" t="s">
        <v>5766</v>
      </c>
      <c r="AI273" s="85" t="s">
        <v>5767</v>
      </c>
      <c r="AJ273" s="85" t="s">
        <v>4318</v>
      </c>
      <c r="AK273" s="85" t="s">
        <v>4372</v>
      </c>
      <c r="AL273" s="85" t="s">
        <v>5768</v>
      </c>
      <c r="AM273" s="85" t="s">
        <v>4553</v>
      </c>
      <c r="AN273" s="85" t="s">
        <v>3248</v>
      </c>
      <c r="AO273" s="90"/>
      <c r="AP273" s="88">
        <v>160</v>
      </c>
      <c r="AQ273" s="88">
        <v>50</v>
      </c>
      <c r="AR273" s="85" t="s">
        <v>5769</v>
      </c>
    </row>
    <row r="274" s="66" customFormat="1" spans="2:130">
      <c r="B274" s="91" t="s">
        <v>4324</v>
      </c>
      <c r="C274" s="92">
        <v>271</v>
      </c>
      <c r="D274" s="93">
        <v>252610119</v>
      </c>
      <c r="E274" s="94" t="s">
        <v>1624</v>
      </c>
      <c r="F274" s="95" t="s">
        <v>1625</v>
      </c>
      <c r="G274" s="96" t="s">
        <v>1625</v>
      </c>
      <c r="H274" s="97"/>
      <c r="I274" s="96" t="s">
        <v>1624</v>
      </c>
      <c r="J274" s="96" t="s">
        <v>1624</v>
      </c>
      <c r="K274" s="97"/>
      <c r="L274" s="97"/>
      <c r="M274" s="98"/>
      <c r="N274" s="97"/>
      <c r="O274" s="97"/>
      <c r="P274" s="88"/>
      <c r="Q274" s="96"/>
      <c r="R274" s="96"/>
      <c r="S274" s="96"/>
      <c r="T274" s="88">
        <f t="shared" si="4"/>
        <v>0</v>
      </c>
      <c r="U274" s="97"/>
      <c r="V274" s="100"/>
      <c r="W274" s="101"/>
      <c r="X274" s="101"/>
      <c r="Y274" s="101"/>
      <c r="Z274" s="101"/>
      <c r="AA274" s="101"/>
      <c r="AB274" s="101"/>
      <c r="AC274" s="101"/>
      <c r="AD274" s="97"/>
      <c r="AE274" s="100"/>
      <c r="AF274" s="100"/>
      <c r="AG274" s="97"/>
      <c r="AH274" s="97"/>
      <c r="AI274" s="97"/>
      <c r="AJ274" s="97"/>
      <c r="AK274" s="97"/>
      <c r="AL274" s="97"/>
      <c r="AM274" s="97"/>
      <c r="AN274" s="97"/>
      <c r="AO274" s="97"/>
      <c r="AP274" s="100"/>
      <c r="AQ274" s="100"/>
      <c r="AR274" s="97"/>
    </row>
    <row r="275" s="66" customFormat="1" spans="2:130">
      <c r="B275" s="91" t="s">
        <v>4355</v>
      </c>
      <c r="C275" s="92">
        <v>272</v>
      </c>
      <c r="D275" s="93">
        <v>252610168</v>
      </c>
      <c r="E275" s="94" t="s">
        <v>1528</v>
      </c>
      <c r="F275" s="95" t="s">
        <v>1529</v>
      </c>
      <c r="G275" s="96" t="s">
        <v>1529</v>
      </c>
      <c r="H275" s="97"/>
      <c r="I275" s="96" t="s">
        <v>1528</v>
      </c>
      <c r="J275" s="96" t="s">
        <v>1528</v>
      </c>
      <c r="K275" s="97"/>
      <c r="L275" s="97"/>
      <c r="M275" s="98"/>
      <c r="N275" s="97"/>
      <c r="O275" s="97"/>
      <c r="P275" s="99"/>
      <c r="Q275" s="96"/>
      <c r="R275" s="96"/>
      <c r="S275" s="96"/>
      <c r="T275" s="88">
        <f t="shared" si="4"/>
        <v>0</v>
      </c>
      <c r="U275" s="97"/>
      <c r="V275" s="100"/>
      <c r="W275" s="101"/>
      <c r="X275" s="101"/>
      <c r="Y275" s="101"/>
      <c r="Z275" s="101"/>
      <c r="AA275" s="101"/>
      <c r="AB275" s="101"/>
      <c r="AC275" s="101"/>
      <c r="AD275" s="97"/>
      <c r="AE275" s="100"/>
      <c r="AF275" s="100"/>
      <c r="AG275" s="97"/>
      <c r="AH275" s="97"/>
      <c r="AI275" s="97"/>
      <c r="AJ275" s="97"/>
      <c r="AK275" s="97"/>
      <c r="AL275" s="97"/>
      <c r="AM275" s="97"/>
      <c r="AN275" s="97"/>
      <c r="AO275" s="97"/>
      <c r="AP275" s="100"/>
      <c r="AQ275" s="100"/>
      <c r="AR275" s="97"/>
    </row>
    <row r="276" s="66" customFormat="1" spans="2:130">
      <c r="B276" s="91" t="s">
        <v>4341</v>
      </c>
      <c r="C276" s="92">
        <v>273</v>
      </c>
      <c r="D276" s="93">
        <v>252610311</v>
      </c>
      <c r="E276" s="94" t="s">
        <v>2012</v>
      </c>
      <c r="F276" s="95" t="s">
        <v>2013</v>
      </c>
      <c r="G276" s="96" t="s">
        <v>4146</v>
      </c>
      <c r="H276" s="97"/>
      <c r="I276" s="96" t="s">
        <v>2012</v>
      </c>
      <c r="J276" s="96" t="s">
        <v>2012</v>
      </c>
      <c r="K276" s="97"/>
      <c r="L276" s="97"/>
      <c r="M276" s="98"/>
      <c r="N276" s="97"/>
      <c r="O276" s="97"/>
      <c r="Q276" s="96"/>
      <c r="R276" s="96"/>
      <c r="S276" s="96"/>
      <c r="T276" s="88">
        <f t="shared" si="4"/>
        <v>0</v>
      </c>
      <c r="U276" s="97"/>
      <c r="V276" s="100"/>
      <c r="W276" s="101"/>
      <c r="X276" s="101"/>
      <c r="Y276" s="101"/>
      <c r="Z276" s="101"/>
      <c r="AA276" s="101"/>
      <c r="AB276" s="101"/>
      <c r="AC276" s="101"/>
      <c r="AD276" s="97"/>
      <c r="AE276" s="100"/>
      <c r="AF276" s="100"/>
      <c r="AG276" s="97"/>
      <c r="AH276" s="97"/>
      <c r="AI276" s="97"/>
      <c r="AJ276" s="97"/>
      <c r="AK276" s="97"/>
      <c r="AL276" s="97"/>
      <c r="AM276" s="97"/>
      <c r="AN276" s="97"/>
      <c r="AO276" s="97"/>
      <c r="AP276" s="100"/>
      <c r="AQ276" s="100">
        <v>54</v>
      </c>
      <c r="AR276" s="97" t="s">
        <v>4428</v>
      </c>
    </row>
    <row r="277" spans="2:130">
      <c r="B277" s="69" t="s">
        <v>4674</v>
      </c>
      <c r="C277" s="81">
        <v>274</v>
      </c>
      <c r="D277" s="82">
        <v>252610408</v>
      </c>
      <c r="E277" s="83" t="s">
        <v>1058</v>
      </c>
      <c r="F277" s="84" t="s">
        <v>1059</v>
      </c>
      <c r="G277" s="104" t="s">
        <v>1059</v>
      </c>
      <c r="H277" s="104" t="s">
        <v>5770</v>
      </c>
      <c r="I277" s="104" t="s">
        <v>1058</v>
      </c>
      <c r="J277" s="86" t="s">
        <v>1058</v>
      </c>
      <c r="K277" s="104" t="s">
        <v>89</v>
      </c>
      <c r="L277" s="104" t="s">
        <v>4343</v>
      </c>
      <c r="M277" s="105">
        <v>40162</v>
      </c>
      <c r="N277" s="104" t="s">
        <v>4307</v>
      </c>
      <c r="O277" s="104" t="s">
        <v>4462</v>
      </c>
      <c r="P277" s="88">
        <v>2</v>
      </c>
      <c r="Q277" s="88">
        <v>1</v>
      </c>
      <c r="R277" s="88">
        <v>0</v>
      </c>
      <c r="S277" s="88">
        <v>0</v>
      </c>
      <c r="T277" s="88">
        <f t="shared" si="4"/>
        <v>1</v>
      </c>
      <c r="U277" s="104" t="s">
        <v>4344</v>
      </c>
      <c r="V277" s="99" t="s">
        <v>4310</v>
      </c>
      <c r="W277" s="108" t="s">
        <v>5771</v>
      </c>
      <c r="X277" s="108" t="s">
        <v>4392</v>
      </c>
      <c r="Y277" s="108" t="s">
        <v>5772</v>
      </c>
      <c r="Z277" s="114"/>
      <c r="AA277" s="108" t="s">
        <v>4363</v>
      </c>
      <c r="AB277" s="108" t="s">
        <v>4479</v>
      </c>
      <c r="AC277" s="108">
        <v>40534</v>
      </c>
      <c r="AD277" s="104" t="s">
        <v>5773</v>
      </c>
      <c r="AE277" s="99" t="s">
        <v>4481</v>
      </c>
      <c r="AF277" s="99">
        <v>1</v>
      </c>
      <c r="AG277" s="104" t="s">
        <v>5774</v>
      </c>
      <c r="AH277" s="104" t="s">
        <v>5775</v>
      </c>
      <c r="AI277" s="104" t="s">
        <v>5328</v>
      </c>
      <c r="AJ277" s="104" t="s">
        <v>5328</v>
      </c>
      <c r="AK277" s="104" t="s">
        <v>4414</v>
      </c>
      <c r="AL277" s="106"/>
      <c r="AM277" s="104" t="s">
        <v>4414</v>
      </c>
      <c r="AN277" s="104" t="s">
        <v>4846</v>
      </c>
      <c r="AO277" s="106"/>
      <c r="AP277" s="99">
        <v>173</v>
      </c>
      <c r="AQ277" s="88">
        <v>51</v>
      </c>
      <c r="AR277" s="85" t="s">
        <v>4443</v>
      </c>
    </row>
    <row r="278" spans="2:130">
      <c r="B278" s="69" t="s">
        <v>4373</v>
      </c>
      <c r="C278" s="81">
        <v>275</v>
      </c>
      <c r="D278" s="82">
        <v>252610500</v>
      </c>
      <c r="E278" s="83" t="s">
        <v>1530</v>
      </c>
      <c r="F278" s="84" t="s">
        <v>1531</v>
      </c>
      <c r="G278" s="85" t="s">
        <v>1531</v>
      </c>
      <c r="H278" s="85" t="s">
        <v>5776</v>
      </c>
      <c r="I278" s="85" t="s">
        <v>1530</v>
      </c>
      <c r="J278" s="86" t="s">
        <v>1530</v>
      </c>
      <c r="K278" s="85" t="s">
        <v>89</v>
      </c>
      <c r="L278" s="85" t="s">
        <v>4357</v>
      </c>
      <c r="M278" s="87">
        <v>40195</v>
      </c>
      <c r="N278" s="85" t="s">
        <v>4307</v>
      </c>
      <c r="O278" s="85" t="s">
        <v>4619</v>
      </c>
      <c r="P278" s="99">
        <v>3</v>
      </c>
      <c r="Q278" s="99">
        <v>2</v>
      </c>
      <c r="R278" s="99">
        <v>0</v>
      </c>
      <c r="S278" s="99">
        <v>0</v>
      </c>
      <c r="T278" s="88">
        <f t="shared" si="4"/>
        <v>2</v>
      </c>
      <c r="U278" s="85" t="s">
        <v>4856</v>
      </c>
      <c r="V278" s="88" t="s">
        <v>4595</v>
      </c>
      <c r="W278" s="109" t="s">
        <v>5777</v>
      </c>
      <c r="X278" s="109" t="s">
        <v>4464</v>
      </c>
      <c r="Y278" s="109" t="s">
        <v>4360</v>
      </c>
      <c r="Z278" s="109" t="s">
        <v>5778</v>
      </c>
      <c r="AA278" s="109" t="s">
        <v>5779</v>
      </c>
      <c r="AB278" s="109" t="s">
        <v>5780</v>
      </c>
      <c r="AC278" s="109">
        <v>40522</v>
      </c>
      <c r="AD278" s="85" t="s">
        <v>5781</v>
      </c>
      <c r="AE278" s="88" t="s">
        <v>4669</v>
      </c>
      <c r="AF278" s="88" t="s">
        <v>4576</v>
      </c>
      <c r="AG278" s="85" t="s">
        <v>5782</v>
      </c>
      <c r="AH278" s="85" t="s">
        <v>5783</v>
      </c>
      <c r="AI278" s="85" t="s">
        <v>4318</v>
      </c>
      <c r="AJ278" s="85" t="s">
        <v>4318</v>
      </c>
      <c r="AK278" s="85" t="s">
        <v>4372</v>
      </c>
      <c r="AL278" s="90"/>
      <c r="AM278" s="85" t="s">
        <v>4338</v>
      </c>
      <c r="AN278" s="85" t="s">
        <v>5784</v>
      </c>
      <c r="AO278" s="90"/>
      <c r="AP278" s="88">
        <v>174</v>
      </c>
      <c r="AQ278" s="99"/>
      <c r="AR278" s="104"/>
    </row>
    <row r="279" spans="2:130">
      <c r="B279" s="69" t="s">
        <v>4354</v>
      </c>
      <c r="C279" s="81">
        <v>276</v>
      </c>
      <c r="D279" s="82">
        <v>252610071</v>
      </c>
      <c r="E279" s="83" t="s">
        <v>1913</v>
      </c>
      <c r="F279" s="84" t="s">
        <v>1914</v>
      </c>
      <c r="G279" s="85" t="s">
        <v>1914</v>
      </c>
      <c r="H279" s="85" t="s">
        <v>5785</v>
      </c>
      <c r="I279" s="85" t="s">
        <v>1913</v>
      </c>
      <c r="J279" s="86" t="s">
        <v>1913</v>
      </c>
      <c r="K279" s="85" t="s">
        <v>89</v>
      </c>
      <c r="L279" s="85" t="s">
        <v>4343</v>
      </c>
      <c r="M279" s="87">
        <v>40294</v>
      </c>
      <c r="N279" s="85" t="s">
        <v>4460</v>
      </c>
      <c r="O279" s="85" t="s">
        <v>4344</v>
      </c>
      <c r="P279" s="99">
        <v>1</v>
      </c>
      <c r="Q279" s="99">
        <v>3</v>
      </c>
      <c r="R279" s="99">
        <v>0</v>
      </c>
      <c r="S279" s="99">
        <v>0</v>
      </c>
      <c r="T279" s="88">
        <f t="shared" si="4"/>
        <v>3</v>
      </c>
      <c r="U279" s="85" t="s">
        <v>5786</v>
      </c>
      <c r="V279" s="88" t="s">
        <v>4595</v>
      </c>
      <c r="W279" s="109" t="s">
        <v>5787</v>
      </c>
      <c r="X279" s="109" t="s">
        <v>4391</v>
      </c>
      <c r="Y279" s="109" t="s">
        <v>4544</v>
      </c>
      <c r="Z279" s="109" t="s">
        <v>5788</v>
      </c>
      <c r="AA279" s="109" t="s">
        <v>4634</v>
      </c>
      <c r="AB279" s="109" t="s">
        <v>4988</v>
      </c>
      <c r="AC279" s="109">
        <v>40534</v>
      </c>
      <c r="AD279" s="85" t="s">
        <v>5789</v>
      </c>
      <c r="AE279" s="88" t="s">
        <v>4333</v>
      </c>
      <c r="AF279" s="88" t="s">
        <v>5487</v>
      </c>
      <c r="AG279" s="85" t="s">
        <v>5790</v>
      </c>
      <c r="AH279" s="85" t="s">
        <v>5791</v>
      </c>
      <c r="AI279" s="85" t="s">
        <v>5390</v>
      </c>
      <c r="AJ279" s="85" t="s">
        <v>5390</v>
      </c>
      <c r="AK279" s="85" t="s">
        <v>4553</v>
      </c>
      <c r="AL279" s="90"/>
      <c r="AM279" s="85" t="s">
        <v>4372</v>
      </c>
      <c r="AN279" s="85" t="s">
        <v>5792</v>
      </c>
      <c r="AO279" s="90"/>
      <c r="AP279" s="88">
        <v>157</v>
      </c>
    </row>
    <row r="280" spans="2:130">
      <c r="B280" s="69" t="s">
        <v>4355</v>
      </c>
      <c r="C280" s="81">
        <v>277</v>
      </c>
      <c r="D280" s="82">
        <v>252610169</v>
      </c>
      <c r="E280" s="83" t="s">
        <v>1331</v>
      </c>
      <c r="F280" s="84" t="s">
        <v>1332</v>
      </c>
      <c r="G280" s="104" t="s">
        <v>1332</v>
      </c>
      <c r="H280" s="104" t="s">
        <v>5793</v>
      </c>
      <c r="I280" s="104" t="s">
        <v>1331</v>
      </c>
      <c r="J280" s="86" t="s">
        <v>1331</v>
      </c>
      <c r="K280" s="104" t="s">
        <v>90</v>
      </c>
      <c r="L280" s="104" t="s">
        <v>4343</v>
      </c>
      <c r="M280" s="105">
        <v>39826</v>
      </c>
      <c r="N280" s="104" t="s">
        <v>4307</v>
      </c>
      <c r="O280" s="104" t="s">
        <v>4619</v>
      </c>
      <c r="P280" s="88">
        <v>2</v>
      </c>
      <c r="Q280" s="88">
        <v>1</v>
      </c>
      <c r="R280" s="88">
        <v>3</v>
      </c>
      <c r="S280" s="88">
        <v>0</v>
      </c>
      <c r="T280" s="88">
        <f t="shared" si="4"/>
        <v>4</v>
      </c>
      <c r="U280" s="104" t="s">
        <v>4344</v>
      </c>
      <c r="V280" s="99">
        <v>0</v>
      </c>
      <c r="W280" s="108" t="s">
        <v>5794</v>
      </c>
      <c r="X280" s="108" t="s">
        <v>4714</v>
      </c>
      <c r="Y280" s="108" t="s">
        <v>5397</v>
      </c>
      <c r="Z280" s="114"/>
      <c r="AA280" s="108" t="s">
        <v>4573</v>
      </c>
      <c r="AB280" s="108" t="s">
        <v>4479</v>
      </c>
      <c r="AC280" s="108">
        <v>40535</v>
      </c>
      <c r="AD280" s="104" t="s">
        <v>5795</v>
      </c>
      <c r="AE280" s="99" t="s">
        <v>5158</v>
      </c>
      <c r="AF280" s="99" t="s">
        <v>4367</v>
      </c>
      <c r="AG280" s="104" t="s">
        <v>5796</v>
      </c>
      <c r="AH280" s="104" t="s">
        <v>5797</v>
      </c>
      <c r="AI280" s="104" t="s">
        <v>4384</v>
      </c>
      <c r="AJ280" s="104" t="s">
        <v>4352</v>
      </c>
      <c r="AK280" s="104" t="s">
        <v>4553</v>
      </c>
      <c r="AL280" s="106"/>
      <c r="AM280" s="104" t="s">
        <v>4320</v>
      </c>
      <c r="AN280" s="104" t="s">
        <v>4846</v>
      </c>
      <c r="AO280" s="106"/>
      <c r="AP280" s="99">
        <v>158</v>
      </c>
      <c r="AQ280" s="99">
        <v>42</v>
      </c>
      <c r="AR280" s="104" t="s">
        <v>4443</v>
      </c>
    </row>
    <row r="281" s="66" customFormat="1" spans="2:130">
      <c r="B281" s="91" t="s">
        <v>4568</v>
      </c>
      <c r="C281" s="92">
        <v>278</v>
      </c>
      <c r="D281" s="93">
        <v>252610216</v>
      </c>
      <c r="E281" s="94" t="s">
        <v>1626</v>
      </c>
      <c r="F281" s="95" t="s">
        <v>1627</v>
      </c>
      <c r="G281" s="96" t="s">
        <v>1627</v>
      </c>
      <c r="H281" s="97"/>
      <c r="I281" s="96" t="s">
        <v>1626</v>
      </c>
      <c r="J281" s="96" t="s">
        <v>1626</v>
      </c>
      <c r="K281" s="97"/>
      <c r="L281" s="97"/>
      <c r="M281" s="98"/>
      <c r="N281" s="97"/>
      <c r="O281" s="97"/>
      <c r="P281" s="99"/>
      <c r="Q281" s="96"/>
      <c r="R281" s="96"/>
      <c r="S281" s="96"/>
      <c r="T281" s="88">
        <f t="shared" si="4"/>
        <v>0</v>
      </c>
      <c r="U281" s="97"/>
      <c r="V281" s="100"/>
      <c r="W281" s="101"/>
      <c r="X281" s="101"/>
      <c r="Y281" s="101"/>
      <c r="Z281" s="101"/>
      <c r="AA281" s="101"/>
      <c r="AB281" s="101"/>
      <c r="AC281" s="101"/>
      <c r="AD281" s="97"/>
      <c r="AE281" s="100"/>
      <c r="AF281" s="100"/>
      <c r="AG281" s="97"/>
      <c r="AH281" s="97"/>
      <c r="AI281" s="97"/>
      <c r="AJ281" s="97"/>
      <c r="AK281" s="97"/>
      <c r="AL281" s="97"/>
      <c r="AM281" s="97"/>
      <c r="AN281" s="97"/>
      <c r="AO281" s="97"/>
      <c r="AP281" s="100"/>
      <c r="AQ281" s="100"/>
      <c r="AR281" s="97"/>
    </row>
    <row r="282" s="66" customFormat="1" spans="2:130">
      <c r="B282" s="91" t="s">
        <v>4323</v>
      </c>
      <c r="C282" s="92">
        <v>279</v>
      </c>
      <c r="D282" s="93">
        <v>252610265</v>
      </c>
      <c r="E282" s="94" t="s">
        <v>1142</v>
      </c>
      <c r="F282" s="95" t="s">
        <v>1143</v>
      </c>
      <c r="G282" s="96" t="s">
        <v>1143</v>
      </c>
      <c r="H282" s="97"/>
      <c r="I282" s="96" t="s">
        <v>1142</v>
      </c>
      <c r="J282" s="96" t="s">
        <v>1142</v>
      </c>
      <c r="K282" s="97"/>
      <c r="L282" s="97"/>
      <c r="M282" s="98"/>
      <c r="N282" s="97"/>
      <c r="O282" s="97"/>
      <c r="P282" s="88"/>
      <c r="Q282" s="96"/>
      <c r="R282" s="96"/>
      <c r="S282" s="96"/>
      <c r="T282" s="88">
        <f t="shared" si="4"/>
        <v>0</v>
      </c>
      <c r="U282" s="97"/>
      <c r="V282" s="100"/>
      <c r="W282" s="101"/>
      <c r="X282" s="101"/>
      <c r="Y282" s="101"/>
      <c r="Z282" s="101"/>
      <c r="AA282" s="101"/>
      <c r="AB282" s="101"/>
      <c r="AC282" s="101"/>
      <c r="AD282" s="97"/>
      <c r="AE282" s="100"/>
      <c r="AF282" s="100"/>
      <c r="AG282" s="97"/>
      <c r="AH282" s="97"/>
      <c r="AI282" s="97"/>
      <c r="AJ282" s="97"/>
      <c r="AK282" s="97"/>
      <c r="AL282" s="97"/>
      <c r="AM282" s="97"/>
      <c r="AN282" s="97"/>
      <c r="AO282" s="97"/>
      <c r="AP282" s="100"/>
      <c r="AQ282" s="100"/>
      <c r="AR282" s="97"/>
    </row>
    <row r="283" spans="2:130">
      <c r="B283" s="69" t="s">
        <v>4324</v>
      </c>
      <c r="C283" s="81">
        <v>280</v>
      </c>
      <c r="D283" s="82">
        <v>252610120</v>
      </c>
      <c r="E283" s="83" t="s">
        <v>1720</v>
      </c>
      <c r="F283" s="84" t="s">
        <v>1721</v>
      </c>
      <c r="G283" s="104" t="s">
        <v>1721</v>
      </c>
      <c r="H283" s="104" t="s">
        <v>5798</v>
      </c>
      <c r="I283" s="104" t="s">
        <v>1720</v>
      </c>
      <c r="J283" s="86" t="s">
        <v>1720</v>
      </c>
      <c r="K283" s="104" t="s">
        <v>89</v>
      </c>
      <c r="L283" s="104" t="s">
        <v>4343</v>
      </c>
      <c r="M283" s="105">
        <v>40023</v>
      </c>
      <c r="N283" s="104" t="s">
        <v>4307</v>
      </c>
      <c r="O283" s="104" t="s">
        <v>4344</v>
      </c>
      <c r="P283" s="88">
        <v>3</v>
      </c>
      <c r="Q283" s="88">
        <v>2</v>
      </c>
      <c r="R283" s="88">
        <v>0</v>
      </c>
      <c r="S283" s="88">
        <v>0</v>
      </c>
      <c r="T283" s="88">
        <f t="shared" si="4"/>
        <v>2</v>
      </c>
      <c r="U283" s="104" t="s">
        <v>4344</v>
      </c>
      <c r="V283" s="99" t="s">
        <v>4310</v>
      </c>
      <c r="W283" s="108" t="s">
        <v>5799</v>
      </c>
      <c r="X283" s="108" t="s">
        <v>4793</v>
      </c>
      <c r="Y283" s="108" t="s">
        <v>4419</v>
      </c>
      <c r="Z283" s="108" t="s">
        <v>5800</v>
      </c>
      <c r="AA283" s="108" t="s">
        <v>4363</v>
      </c>
      <c r="AB283" s="108" t="s">
        <v>4378</v>
      </c>
      <c r="AC283" s="108">
        <v>40534</v>
      </c>
      <c r="AD283" s="104" t="s">
        <v>5801</v>
      </c>
      <c r="AE283" s="99" t="s">
        <v>4380</v>
      </c>
      <c r="AF283" s="99" t="s">
        <v>4381</v>
      </c>
      <c r="AG283" s="104" t="s">
        <v>5802</v>
      </c>
      <c r="AH283" s="104" t="s">
        <v>5803</v>
      </c>
      <c r="AI283" s="104" t="s">
        <v>4384</v>
      </c>
      <c r="AJ283" s="104" t="s">
        <v>4384</v>
      </c>
      <c r="AK283" s="104" t="s">
        <v>4337</v>
      </c>
      <c r="AL283" s="106"/>
      <c r="AM283" s="104" t="s">
        <v>4338</v>
      </c>
      <c r="AN283" s="104" t="s">
        <v>4846</v>
      </c>
      <c r="AO283" s="104" t="s">
        <v>5804</v>
      </c>
      <c r="AP283" s="99">
        <v>172</v>
      </c>
      <c r="AQ283" s="99">
        <v>57</v>
      </c>
      <c r="AR283" s="104" t="s">
        <v>4428</v>
      </c>
    </row>
    <row r="284" spans="2:130">
      <c r="B284" s="69" t="s">
        <v>4355</v>
      </c>
      <c r="C284" s="81">
        <v>281</v>
      </c>
      <c r="D284" s="82">
        <v>252610170</v>
      </c>
      <c r="E284" s="83" t="s">
        <v>1915</v>
      </c>
      <c r="F284" s="84" t="s">
        <v>1916</v>
      </c>
      <c r="G284" s="85" t="s">
        <v>1916</v>
      </c>
      <c r="H284" s="85" t="s">
        <v>5805</v>
      </c>
      <c r="I284" s="85" t="s">
        <v>1915</v>
      </c>
      <c r="J284" s="86" t="s">
        <v>1915</v>
      </c>
      <c r="K284" s="85" t="s">
        <v>89</v>
      </c>
      <c r="L284" s="85" t="s">
        <v>4357</v>
      </c>
      <c r="M284" s="87">
        <v>40126</v>
      </c>
      <c r="N284" s="85" t="s">
        <v>4307</v>
      </c>
      <c r="O284" s="85" t="s">
        <v>4308</v>
      </c>
      <c r="P284" s="99">
        <v>2</v>
      </c>
      <c r="Q284" s="99">
        <v>4</v>
      </c>
      <c r="R284" s="99">
        <v>0</v>
      </c>
      <c r="S284" s="99">
        <v>0</v>
      </c>
      <c r="T284" s="88">
        <f t="shared" si="4"/>
        <v>4</v>
      </c>
      <c r="U284" s="85" t="s">
        <v>4309</v>
      </c>
      <c r="V284" s="88" t="s">
        <v>4358</v>
      </c>
      <c r="W284" s="109" t="s">
        <v>5806</v>
      </c>
      <c r="X284" s="109" t="s">
        <v>4419</v>
      </c>
      <c r="Y284" s="109" t="s">
        <v>4793</v>
      </c>
      <c r="Z284" s="109" t="s">
        <v>5807</v>
      </c>
      <c r="AA284" s="109" t="s">
        <v>4363</v>
      </c>
      <c r="AB284" s="109" t="s">
        <v>4922</v>
      </c>
      <c r="AC284" s="109">
        <v>40534</v>
      </c>
      <c r="AD284" s="85" t="s">
        <v>5808</v>
      </c>
      <c r="AE284" s="88" t="s">
        <v>4815</v>
      </c>
      <c r="AF284" s="88" t="s">
        <v>5681</v>
      </c>
      <c r="AG284" s="85" t="s">
        <v>5809</v>
      </c>
      <c r="AH284" s="85" t="s">
        <v>5810</v>
      </c>
      <c r="AI284" s="85" t="s">
        <v>5811</v>
      </c>
      <c r="AJ284" s="85" t="s">
        <v>5811</v>
      </c>
      <c r="AK284" s="85" t="s">
        <v>4372</v>
      </c>
      <c r="AL284" s="85" t="s">
        <v>5812</v>
      </c>
      <c r="AM284" s="85" t="s">
        <v>4553</v>
      </c>
      <c r="AN284" s="85" t="s">
        <v>5813</v>
      </c>
      <c r="AO284" s="85">
        <v>69983221</v>
      </c>
      <c r="AP284" s="88">
        <v>167</v>
      </c>
      <c r="AQ284" s="88">
        <v>56</v>
      </c>
      <c r="AR284" s="85" t="s">
        <v>4428</v>
      </c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</row>
    <row r="285" s="68" customFormat="1" spans="2:130">
      <c r="B285" s="144" t="s">
        <v>4642</v>
      </c>
      <c r="C285" s="81">
        <v>282</v>
      </c>
      <c r="D285" s="145">
        <v>252610550</v>
      </c>
      <c r="E285" s="146" t="s">
        <v>1427</v>
      </c>
      <c r="F285" s="147" t="s">
        <v>4144</v>
      </c>
      <c r="G285" s="148" t="s">
        <v>4144</v>
      </c>
      <c r="H285" s="148" t="s">
        <v>5814</v>
      </c>
      <c r="I285" s="149" t="s">
        <v>1427</v>
      </c>
      <c r="J285" s="149" t="s">
        <v>4147</v>
      </c>
      <c r="K285" s="148" t="s">
        <v>89</v>
      </c>
      <c r="L285" s="148" t="s">
        <v>4343</v>
      </c>
      <c r="M285" s="150">
        <v>40182</v>
      </c>
      <c r="N285" s="148" t="s">
        <v>4307</v>
      </c>
      <c r="O285" s="148" t="s">
        <v>4344</v>
      </c>
      <c r="P285" s="88">
        <v>4</v>
      </c>
      <c r="Q285" s="88">
        <v>2</v>
      </c>
      <c r="R285" s="88">
        <v>2</v>
      </c>
      <c r="S285" s="88">
        <v>0</v>
      </c>
      <c r="T285" s="88">
        <f t="shared" si="4"/>
        <v>4</v>
      </c>
      <c r="U285" s="148" t="s">
        <v>5815</v>
      </c>
      <c r="V285" s="151">
        <v>0</v>
      </c>
      <c r="W285" s="152" t="s">
        <v>5816</v>
      </c>
      <c r="X285" s="152" t="s">
        <v>4606</v>
      </c>
      <c r="Y285" s="152" t="s">
        <v>4431</v>
      </c>
      <c r="Z285" s="152" t="s">
        <v>5817</v>
      </c>
      <c r="AA285" s="152" t="s">
        <v>5818</v>
      </c>
      <c r="AB285" s="152" t="s">
        <v>5819</v>
      </c>
      <c r="AC285" s="152">
        <v>40561</v>
      </c>
      <c r="AD285" s="148" t="s">
        <v>5820</v>
      </c>
      <c r="AE285" s="151" t="s">
        <v>4422</v>
      </c>
      <c r="AF285" s="151" t="s">
        <v>5487</v>
      </c>
      <c r="AG285" s="148" t="s">
        <v>5821</v>
      </c>
      <c r="AH285" s="148" t="s">
        <v>5822</v>
      </c>
      <c r="AI285" s="148" t="s">
        <v>4351</v>
      </c>
      <c r="AJ285" s="148" t="s">
        <v>4318</v>
      </c>
      <c r="AK285" s="148" t="s">
        <v>4651</v>
      </c>
      <c r="AL285" s="153"/>
      <c r="AM285" s="148" t="s">
        <v>4651</v>
      </c>
      <c r="AN285" s="148" t="s">
        <v>5823</v>
      </c>
      <c r="AO285" s="148" t="s">
        <v>5824</v>
      </c>
      <c r="AP285" s="151">
        <v>173</v>
      </c>
      <c r="AQ285" s="151">
        <v>61</v>
      </c>
      <c r="AR285" s="148" t="s">
        <v>4443</v>
      </c>
    </row>
    <row r="286" s="66" customFormat="1" spans="2:130">
      <c r="B286" s="91" t="s">
        <v>4341</v>
      </c>
      <c r="C286" s="92">
        <v>283</v>
      </c>
      <c r="D286" s="93">
        <v>252610312</v>
      </c>
      <c r="E286" s="94" t="s">
        <v>1333</v>
      </c>
      <c r="F286" s="95" t="s">
        <v>1334</v>
      </c>
      <c r="G286" s="96" t="s">
        <v>1334</v>
      </c>
      <c r="H286" s="97"/>
      <c r="I286" s="96" t="s">
        <v>1333</v>
      </c>
      <c r="J286" s="96" t="s">
        <v>1333</v>
      </c>
      <c r="K286" s="97"/>
      <c r="L286" s="97"/>
      <c r="M286" s="98"/>
      <c r="N286" s="97"/>
      <c r="O286" s="97"/>
      <c r="P286" s="88"/>
      <c r="Q286" s="96"/>
      <c r="R286" s="96"/>
      <c r="S286" s="96"/>
      <c r="T286" s="88">
        <f t="shared" si="4"/>
        <v>0</v>
      </c>
      <c r="U286" s="97"/>
      <c r="V286" s="100"/>
      <c r="W286" s="101"/>
      <c r="X286" s="101"/>
      <c r="Y286" s="101"/>
      <c r="Z286" s="101"/>
      <c r="AA286" s="101"/>
      <c r="AB286" s="101"/>
      <c r="AC286" s="101"/>
      <c r="AD286" s="97"/>
      <c r="AE286" s="100"/>
      <c r="AF286" s="100"/>
      <c r="AG286" s="97"/>
      <c r="AH286" s="97"/>
      <c r="AI286" s="97"/>
      <c r="AJ286" s="97"/>
      <c r="AK286" s="97"/>
      <c r="AL286" s="97"/>
      <c r="AM286" s="97"/>
      <c r="AN286" s="97"/>
      <c r="AO286" s="97"/>
      <c r="AP286" s="100"/>
      <c r="AQ286" s="100"/>
      <c r="AR286" s="97"/>
    </row>
    <row r="287" spans="2:130">
      <c r="B287" s="69" t="s">
        <v>4642</v>
      </c>
      <c r="C287" s="81">
        <v>284</v>
      </c>
      <c r="D287" s="82">
        <v>252610552</v>
      </c>
      <c r="E287" s="83" t="s">
        <v>1253</v>
      </c>
      <c r="F287" s="84" t="s">
        <v>1254</v>
      </c>
      <c r="G287" s="104" t="s">
        <v>1254</v>
      </c>
      <c r="H287" s="104" t="s">
        <v>5197</v>
      </c>
      <c r="I287" s="104" t="s">
        <v>1253</v>
      </c>
      <c r="J287" s="86" t="s">
        <v>1253</v>
      </c>
      <c r="K287" s="104" t="s">
        <v>89</v>
      </c>
      <c r="L287" s="104" t="s">
        <v>4357</v>
      </c>
      <c r="M287" s="105">
        <v>40241</v>
      </c>
      <c r="N287" s="104" t="s">
        <v>4307</v>
      </c>
      <c r="O287" s="104" t="s">
        <v>4344</v>
      </c>
      <c r="P287" s="88">
        <v>1</v>
      </c>
      <c r="Q287" s="88">
        <v>2</v>
      </c>
      <c r="R287" s="88">
        <v>0</v>
      </c>
      <c r="S287" s="88">
        <v>0</v>
      </c>
      <c r="T287" s="88">
        <f t="shared" si="4"/>
        <v>2</v>
      </c>
      <c r="U287" s="104" t="s">
        <v>5825</v>
      </c>
      <c r="V287" s="99" t="s">
        <v>4358</v>
      </c>
      <c r="W287" s="108" t="s">
        <v>5826</v>
      </c>
      <c r="X287" s="108">
        <v>3</v>
      </c>
      <c r="Y287" s="108">
        <v>18</v>
      </c>
      <c r="Z287" s="108" t="s">
        <v>5366</v>
      </c>
      <c r="AA287" s="108" t="s">
        <v>4667</v>
      </c>
      <c r="AB287" s="108" t="s">
        <v>4378</v>
      </c>
      <c r="AC287" s="108">
        <v>40534</v>
      </c>
      <c r="AD287" s="104" t="s">
        <v>5827</v>
      </c>
      <c r="AE287" s="99" t="s">
        <v>4496</v>
      </c>
      <c r="AF287" s="99" t="s">
        <v>4658</v>
      </c>
      <c r="AG287" s="104" t="s">
        <v>5828</v>
      </c>
      <c r="AH287" s="104" t="s">
        <v>5829</v>
      </c>
      <c r="AI287" s="104" t="s">
        <v>5179</v>
      </c>
      <c r="AJ287" s="104" t="s">
        <v>5830</v>
      </c>
      <c r="AK287" s="104" t="s">
        <v>4441</v>
      </c>
      <c r="AL287" s="106"/>
      <c r="AM287" s="104" t="s">
        <v>4338</v>
      </c>
      <c r="AN287" s="104" t="s">
        <v>3124</v>
      </c>
      <c r="AO287" s="104" t="s">
        <v>4555</v>
      </c>
      <c r="AP287" s="99">
        <v>165</v>
      </c>
      <c r="AQ287" s="99">
        <v>55</v>
      </c>
      <c r="AR287" s="104" t="s">
        <v>4443</v>
      </c>
    </row>
    <row r="288" spans="2:130">
      <c r="B288" s="69" t="s">
        <v>4386</v>
      </c>
      <c r="C288" s="81">
        <v>285</v>
      </c>
      <c r="D288" s="82">
        <v>252610360</v>
      </c>
      <c r="E288" s="83" t="s">
        <v>1335</v>
      </c>
      <c r="F288" s="129" t="s">
        <v>1336</v>
      </c>
      <c r="G288" s="130" t="s">
        <v>5831</v>
      </c>
      <c r="H288" s="104" t="s">
        <v>5832</v>
      </c>
      <c r="I288" s="104" t="s">
        <v>1335</v>
      </c>
      <c r="J288" s="86" t="s">
        <v>1335</v>
      </c>
      <c r="K288" s="104" t="s">
        <v>89</v>
      </c>
      <c r="L288" s="104" t="s">
        <v>4357</v>
      </c>
      <c r="M288" s="105">
        <v>40023</v>
      </c>
      <c r="N288" s="104" t="s">
        <v>4307</v>
      </c>
      <c r="O288" s="104" t="s">
        <v>4344</v>
      </c>
      <c r="P288" s="88">
        <v>1</v>
      </c>
      <c r="Q288" s="88">
        <v>1</v>
      </c>
      <c r="R288" s="88">
        <v>0</v>
      </c>
      <c r="S288" s="88">
        <v>0</v>
      </c>
      <c r="T288" s="88">
        <f t="shared" si="4"/>
        <v>1</v>
      </c>
      <c r="U288" s="104" t="s">
        <v>4309</v>
      </c>
      <c r="V288" s="99">
        <v>0</v>
      </c>
      <c r="W288" s="108" t="s">
        <v>5833</v>
      </c>
      <c r="X288" s="108" t="s">
        <v>4477</v>
      </c>
      <c r="Y288" s="108" t="s">
        <v>4361</v>
      </c>
      <c r="Z288" s="108" t="s">
        <v>5834</v>
      </c>
      <c r="AA288" s="108" t="s">
        <v>4667</v>
      </c>
      <c r="AB288" s="108" t="s">
        <v>4364</v>
      </c>
      <c r="AC288" s="108">
        <v>40534</v>
      </c>
      <c r="AD288" s="104" t="s">
        <v>5835</v>
      </c>
      <c r="AE288" s="99" t="s">
        <v>4436</v>
      </c>
      <c r="AF288" s="99" t="s">
        <v>4334</v>
      </c>
      <c r="AG288" s="104" t="s">
        <v>5836</v>
      </c>
      <c r="AH288" s="104" t="s">
        <v>5837</v>
      </c>
      <c r="AI288" s="104" t="s">
        <v>5563</v>
      </c>
      <c r="AJ288" s="104" t="s">
        <v>4683</v>
      </c>
      <c r="AK288" s="104" t="s">
        <v>4337</v>
      </c>
      <c r="AL288" s="106"/>
      <c r="AM288" s="104" t="s">
        <v>4372</v>
      </c>
      <c r="AN288" s="104" t="s">
        <v>4846</v>
      </c>
      <c r="AO288" s="104" t="s">
        <v>4555</v>
      </c>
      <c r="AP288" s="99">
        <v>170</v>
      </c>
      <c r="AQ288" s="99">
        <v>50</v>
      </c>
      <c r="AR288" s="104" t="s">
        <v>4340</v>
      </c>
    </row>
    <row r="289" spans="2:44">
      <c r="B289" s="69" t="s">
        <v>4386</v>
      </c>
      <c r="C289" s="81">
        <v>286</v>
      </c>
      <c r="D289" s="82">
        <v>252610361</v>
      </c>
      <c r="E289" s="83" t="s">
        <v>1433</v>
      </c>
      <c r="F289" s="84" t="s">
        <v>1434</v>
      </c>
      <c r="G289" s="85" t="s">
        <v>1434</v>
      </c>
      <c r="H289" s="85" t="s">
        <v>5838</v>
      </c>
      <c r="I289" s="85" t="s">
        <v>1433</v>
      </c>
      <c r="J289" s="86" t="s">
        <v>1433</v>
      </c>
      <c r="K289" s="85" t="s">
        <v>89</v>
      </c>
      <c r="L289" s="85" t="s">
        <v>4343</v>
      </c>
      <c r="M289" s="87">
        <v>40237</v>
      </c>
      <c r="N289" s="85" t="s">
        <v>4307</v>
      </c>
      <c r="O289" s="85" t="s">
        <v>4344</v>
      </c>
      <c r="P289" s="99">
        <v>1</v>
      </c>
      <c r="Q289" s="99">
        <v>2</v>
      </c>
      <c r="R289" s="99">
        <v>0</v>
      </c>
      <c r="S289" s="99">
        <v>0</v>
      </c>
      <c r="T289" s="88">
        <f t="shared" si="4"/>
        <v>2</v>
      </c>
      <c r="U289" s="85" t="s">
        <v>4309</v>
      </c>
      <c r="V289" s="88" t="s">
        <v>4358</v>
      </c>
      <c r="W289" s="109" t="s">
        <v>5839</v>
      </c>
      <c r="X289" s="109" t="s">
        <v>4606</v>
      </c>
      <c r="Y289" s="109" t="s">
        <v>4391</v>
      </c>
      <c r="Z289" s="109" t="s">
        <v>5840</v>
      </c>
      <c r="AA289" s="109" t="s">
        <v>4532</v>
      </c>
      <c r="AB289" s="109" t="s">
        <v>4395</v>
      </c>
      <c r="AC289" s="109">
        <v>40212</v>
      </c>
      <c r="AD289" s="85" t="s">
        <v>5841</v>
      </c>
      <c r="AE289" s="88" t="s">
        <v>4669</v>
      </c>
      <c r="AF289" s="113">
        <v>1018</v>
      </c>
      <c r="AG289" s="85" t="s">
        <v>5842</v>
      </c>
      <c r="AH289" s="85" t="s">
        <v>5843</v>
      </c>
      <c r="AI289" s="85" t="s">
        <v>4439</v>
      </c>
      <c r="AJ289" s="85" t="s">
        <v>4401</v>
      </c>
      <c r="AK289" s="85" t="s">
        <v>4319</v>
      </c>
      <c r="AL289" s="90"/>
      <c r="AM289" s="85" t="s">
        <v>4338</v>
      </c>
      <c r="AN289" s="85" t="s">
        <v>3195</v>
      </c>
      <c r="AO289" s="90"/>
      <c r="AP289" s="88">
        <v>171</v>
      </c>
      <c r="AQ289" s="88">
        <v>87</v>
      </c>
      <c r="AR289" s="85" t="s">
        <v>4538</v>
      </c>
    </row>
    <row r="290" spans="2:44">
      <c r="B290" s="69" t="s">
        <v>4568</v>
      </c>
      <c r="C290" s="81">
        <v>287</v>
      </c>
      <c r="D290" s="82">
        <v>252610217</v>
      </c>
      <c r="E290" s="83" t="s">
        <v>1722</v>
      </c>
      <c r="F290" s="84" t="s">
        <v>1723</v>
      </c>
      <c r="G290" s="84" t="s">
        <v>1723</v>
      </c>
      <c r="H290" s="104" t="s">
        <v>5844</v>
      </c>
      <c r="I290" s="104" t="s">
        <v>4087</v>
      </c>
      <c r="J290" s="104" t="s">
        <v>4087</v>
      </c>
      <c r="K290" s="104" t="s">
        <v>89</v>
      </c>
      <c r="L290" s="104"/>
      <c r="M290" s="105">
        <v>40126</v>
      </c>
      <c r="N290" s="104" t="s">
        <v>4307</v>
      </c>
      <c r="O290" s="104" t="s">
        <v>4344</v>
      </c>
      <c r="P290" s="88">
        <v>1</v>
      </c>
      <c r="Q290" s="125"/>
      <c r="R290" s="125"/>
      <c r="S290" s="125"/>
      <c r="T290" s="88">
        <f t="shared" si="4"/>
        <v>0</v>
      </c>
      <c r="U290" s="99">
        <v>0</v>
      </c>
      <c r="V290" s="108" t="s">
        <v>5845</v>
      </c>
      <c r="W290" s="108" t="s">
        <v>5846</v>
      </c>
      <c r="X290" s="108" t="s">
        <v>4477</v>
      </c>
      <c r="Y290" s="108" t="s">
        <v>5847</v>
      </c>
      <c r="Z290" s="108" t="s">
        <v>4511</v>
      </c>
      <c r="AA290" s="108" t="s">
        <v>4511</v>
      </c>
      <c r="AB290" s="108">
        <v>40215</v>
      </c>
      <c r="AC290" s="104" t="s">
        <v>5848</v>
      </c>
      <c r="AD290" s="99" t="s">
        <v>5849</v>
      </c>
      <c r="AE290" s="99" t="s">
        <v>5850</v>
      </c>
      <c r="AF290" s="104" t="s">
        <v>5851</v>
      </c>
      <c r="AG290" s="104" t="s">
        <v>5852</v>
      </c>
      <c r="AH290" s="104" t="s">
        <v>4638</v>
      </c>
      <c r="AI290" s="104" t="s">
        <v>4638</v>
      </c>
      <c r="AJ290" s="104" t="s">
        <v>4337</v>
      </c>
      <c r="AK290" s="104" t="s">
        <v>5853</v>
      </c>
      <c r="AL290" s="104" t="s">
        <v>4337</v>
      </c>
      <c r="AM290" s="104" t="s">
        <v>5854</v>
      </c>
      <c r="AO290" s="104" t="s">
        <v>5855</v>
      </c>
      <c r="AP290" s="99">
        <v>47</v>
      </c>
      <c r="AQ290" s="104" t="s">
        <v>4428</v>
      </c>
      <c r="AR290" s="85"/>
    </row>
    <row r="291" spans="2:44">
      <c r="B291" s="69" t="s">
        <v>4674</v>
      </c>
      <c r="C291" s="81">
        <v>288</v>
      </c>
      <c r="D291" s="82">
        <v>252610409</v>
      </c>
      <c r="E291" s="83" t="s">
        <v>950</v>
      </c>
      <c r="F291" s="84" t="s">
        <v>951</v>
      </c>
      <c r="G291" s="104" t="s">
        <v>951</v>
      </c>
      <c r="H291" s="104" t="s">
        <v>5856</v>
      </c>
      <c r="I291" s="104" t="s">
        <v>950</v>
      </c>
      <c r="J291" s="86" t="s">
        <v>950</v>
      </c>
      <c r="K291" s="104" t="s">
        <v>89</v>
      </c>
      <c r="L291" s="104" t="s">
        <v>5857</v>
      </c>
      <c r="M291" s="105">
        <v>40075</v>
      </c>
      <c r="N291" s="104" t="s">
        <v>4460</v>
      </c>
      <c r="O291" s="104" t="s">
        <v>5858</v>
      </c>
      <c r="P291" s="88">
        <v>2</v>
      </c>
      <c r="Q291" s="88">
        <v>3</v>
      </c>
      <c r="R291" s="88">
        <v>0</v>
      </c>
      <c r="S291" s="88">
        <v>0</v>
      </c>
      <c r="T291" s="88">
        <f t="shared" si="4"/>
        <v>3</v>
      </c>
      <c r="U291" s="104" t="s">
        <v>5274</v>
      </c>
      <c r="V291" s="99" t="s">
        <v>4358</v>
      </c>
      <c r="W291" s="108" t="s">
        <v>5859</v>
      </c>
      <c r="X291" s="108" t="s">
        <v>4448</v>
      </c>
      <c r="Y291" s="108" t="s">
        <v>4714</v>
      </c>
      <c r="Z291" s="108" t="s">
        <v>4494</v>
      </c>
      <c r="AA291" s="108" t="s">
        <v>4494</v>
      </c>
      <c r="AB291" s="108" t="s">
        <v>4451</v>
      </c>
      <c r="AC291" s="108">
        <v>40534</v>
      </c>
      <c r="AD291" s="104" t="s">
        <v>5860</v>
      </c>
      <c r="AE291" s="99" t="s">
        <v>4410</v>
      </c>
      <c r="AF291" s="99" t="s">
        <v>4482</v>
      </c>
      <c r="AG291" s="104" t="s">
        <v>5861</v>
      </c>
      <c r="AH291" s="104" t="s">
        <v>5862</v>
      </c>
      <c r="AI291" s="104" t="s">
        <v>4318</v>
      </c>
      <c r="AJ291" s="104" t="s">
        <v>4318</v>
      </c>
      <c r="AK291" s="104" t="s">
        <v>4319</v>
      </c>
      <c r="AL291" s="104" t="s">
        <v>4406</v>
      </c>
      <c r="AM291" s="104" t="s">
        <v>4372</v>
      </c>
      <c r="AN291" s="104" t="s">
        <v>4846</v>
      </c>
      <c r="AO291" s="104" t="s">
        <v>5863</v>
      </c>
      <c r="AP291" s="99">
        <v>168</v>
      </c>
      <c r="AQ291" s="99">
        <v>55</v>
      </c>
      <c r="AR291" s="104" t="s">
        <v>4415</v>
      </c>
    </row>
    <row r="292" spans="2:44">
      <c r="B292" s="69" t="s">
        <v>4674</v>
      </c>
      <c r="C292" s="81">
        <v>289</v>
      </c>
      <c r="D292" s="121">
        <v>252610410</v>
      </c>
      <c r="E292" s="83" t="s">
        <v>1724</v>
      </c>
      <c r="F292" s="84" t="s">
        <v>1725</v>
      </c>
      <c r="G292" s="104" t="s">
        <v>4149</v>
      </c>
      <c r="H292" s="104" t="s">
        <v>5864</v>
      </c>
      <c r="I292" s="104" t="s">
        <v>1724</v>
      </c>
      <c r="J292" s="86" t="s">
        <v>1724</v>
      </c>
      <c r="K292" s="104" t="s">
        <v>89</v>
      </c>
      <c r="L292" s="104" t="s">
        <v>4357</v>
      </c>
      <c r="M292" s="105">
        <v>40190</v>
      </c>
      <c r="N292" s="104" t="s">
        <v>4307</v>
      </c>
      <c r="O292" s="104" t="s">
        <v>4344</v>
      </c>
      <c r="P292" s="99">
        <v>1</v>
      </c>
      <c r="Q292" s="104"/>
      <c r="R292" s="104"/>
      <c r="S292" s="104"/>
      <c r="T292" s="88">
        <f t="shared" si="4"/>
        <v>0</v>
      </c>
      <c r="U292" s="104" t="s">
        <v>5865</v>
      </c>
      <c r="V292" s="99" t="s">
        <v>4595</v>
      </c>
      <c r="W292" s="108" t="s">
        <v>5866</v>
      </c>
      <c r="X292" s="108" t="s">
        <v>4492</v>
      </c>
      <c r="Y292" s="108" t="s">
        <v>4360</v>
      </c>
      <c r="Z292" s="108" t="s">
        <v>5867</v>
      </c>
      <c r="AA292" s="108" t="s">
        <v>4363</v>
      </c>
      <c r="AB292" s="108" t="s">
        <v>4479</v>
      </c>
      <c r="AC292" s="108">
        <v>40534</v>
      </c>
      <c r="AD292" s="104" t="s">
        <v>5868</v>
      </c>
      <c r="AE292" s="99" t="s">
        <v>4481</v>
      </c>
      <c r="AF292" s="99" t="s">
        <v>5487</v>
      </c>
      <c r="AG292" s="104" t="s">
        <v>5869</v>
      </c>
      <c r="AH292" s="104" t="s">
        <v>5870</v>
      </c>
      <c r="AI292" s="104" t="s">
        <v>5871</v>
      </c>
      <c r="AJ292" s="104" t="s">
        <v>5872</v>
      </c>
      <c r="AK292" s="104" t="s">
        <v>4338</v>
      </c>
      <c r="AL292" s="104" t="s">
        <v>5873</v>
      </c>
      <c r="AM292" s="104" t="s">
        <v>4372</v>
      </c>
      <c r="AN292" s="104" t="s">
        <v>5874</v>
      </c>
      <c r="AO292" s="106"/>
      <c r="AP292" s="99">
        <v>165</v>
      </c>
      <c r="AQ292" s="99">
        <v>40</v>
      </c>
      <c r="AR292" s="104" t="s">
        <v>4340</v>
      </c>
    </row>
    <row r="293" spans="2:44">
      <c r="B293" s="69" t="s">
        <v>4304</v>
      </c>
      <c r="C293" s="81">
        <v>290</v>
      </c>
      <c r="D293" s="82">
        <v>252610454</v>
      </c>
      <c r="E293" s="116" t="s">
        <v>1060</v>
      </c>
      <c r="F293" s="84" t="s">
        <v>1061</v>
      </c>
      <c r="G293" s="85" t="s">
        <v>1061</v>
      </c>
      <c r="H293" s="85" t="s">
        <v>5875</v>
      </c>
      <c r="I293" s="85" t="s">
        <v>1060</v>
      </c>
      <c r="J293" s="86" t="s">
        <v>1060</v>
      </c>
      <c r="K293" s="85" t="s">
        <v>89</v>
      </c>
      <c r="L293" s="85" t="s">
        <v>4327</v>
      </c>
      <c r="M293" s="87">
        <v>39953</v>
      </c>
      <c r="N293" s="85" t="s">
        <v>4307</v>
      </c>
      <c r="O293" s="85" t="s">
        <v>4308</v>
      </c>
      <c r="P293" s="99">
        <v>1</v>
      </c>
      <c r="Q293" s="99">
        <v>2</v>
      </c>
      <c r="R293" s="99">
        <v>0</v>
      </c>
      <c r="S293" s="99">
        <v>0</v>
      </c>
      <c r="T293" s="88">
        <f t="shared" si="4"/>
        <v>2</v>
      </c>
      <c r="U293" s="85" t="s">
        <v>4344</v>
      </c>
      <c r="V293" s="88" t="s">
        <v>4595</v>
      </c>
      <c r="W293" s="109" t="s">
        <v>5876</v>
      </c>
      <c r="X293" s="109" t="s">
        <v>4793</v>
      </c>
      <c r="Y293" s="109">
        <v>29</v>
      </c>
      <c r="Z293" s="109" t="s">
        <v>4406</v>
      </c>
      <c r="AA293" s="109" t="s">
        <v>4494</v>
      </c>
      <c r="AB293" s="109" t="s">
        <v>4451</v>
      </c>
      <c r="AC293" s="109">
        <v>40534</v>
      </c>
      <c r="AD293" s="85" t="s">
        <v>5877</v>
      </c>
      <c r="AE293" s="88" t="s">
        <v>4422</v>
      </c>
      <c r="AF293" s="88" t="s">
        <v>5035</v>
      </c>
      <c r="AG293" s="85" t="s">
        <v>5878</v>
      </c>
      <c r="AH293" s="85" t="s">
        <v>5879</v>
      </c>
      <c r="AI293" s="85" t="s">
        <v>4351</v>
      </c>
      <c r="AJ293" s="85" t="s">
        <v>4352</v>
      </c>
      <c r="AK293" s="85" t="s">
        <v>4338</v>
      </c>
      <c r="AL293" s="85" t="s">
        <v>5880</v>
      </c>
      <c r="AM293" s="85" t="s">
        <v>4372</v>
      </c>
      <c r="AN293" s="85" t="s">
        <v>5105</v>
      </c>
      <c r="AO293" s="85"/>
      <c r="AP293" s="88">
        <v>179</v>
      </c>
      <c r="AQ293" s="88">
        <v>65</v>
      </c>
      <c r="AR293" s="85" t="s">
        <v>4322</v>
      </c>
    </row>
    <row r="294" spans="2:44">
      <c r="B294" s="69" t="s">
        <v>4304</v>
      </c>
      <c r="C294" s="81">
        <v>291</v>
      </c>
      <c r="D294" s="82">
        <v>252610455</v>
      </c>
      <c r="E294" s="83" t="s">
        <v>2014</v>
      </c>
      <c r="F294" s="84" t="s">
        <v>2015</v>
      </c>
      <c r="G294" s="104" t="s">
        <v>4150</v>
      </c>
      <c r="H294" s="104" t="s">
        <v>4507</v>
      </c>
      <c r="I294" s="104" t="s">
        <v>2014</v>
      </c>
      <c r="J294" s="86" t="s">
        <v>2014</v>
      </c>
      <c r="K294" s="104" t="s">
        <v>89</v>
      </c>
      <c r="L294" s="104" t="s">
        <v>5137</v>
      </c>
      <c r="M294" s="105">
        <v>40170</v>
      </c>
      <c r="N294" s="104" t="s">
        <v>4460</v>
      </c>
      <c r="O294" s="104" t="s">
        <v>4308</v>
      </c>
      <c r="P294" s="88">
        <v>3</v>
      </c>
      <c r="Q294" s="88">
        <v>3</v>
      </c>
      <c r="R294" s="88">
        <v>0</v>
      </c>
      <c r="S294" s="88">
        <v>0</v>
      </c>
      <c r="T294" s="88">
        <f t="shared" si="4"/>
        <v>3</v>
      </c>
      <c r="U294" s="104" t="s">
        <v>5881</v>
      </c>
      <c r="V294" s="99" t="s">
        <v>4310</v>
      </c>
      <c r="W294" s="108" t="s">
        <v>5882</v>
      </c>
      <c r="X294" s="108">
        <v>1</v>
      </c>
      <c r="Y294" s="108">
        <v>10</v>
      </c>
      <c r="Z294" s="108" t="s">
        <v>5883</v>
      </c>
      <c r="AA294" s="108" t="s">
        <v>5510</v>
      </c>
      <c r="AB294" s="108" t="s">
        <v>5137</v>
      </c>
      <c r="AC294" s="108">
        <v>40534</v>
      </c>
      <c r="AD294" s="104" t="s">
        <v>5884</v>
      </c>
      <c r="AE294" s="99" t="s">
        <v>4917</v>
      </c>
      <c r="AF294" s="99" t="s">
        <v>4411</v>
      </c>
      <c r="AG294" s="104" t="s">
        <v>5885</v>
      </c>
      <c r="AH294" s="104" t="s">
        <v>5886</v>
      </c>
      <c r="AI294" s="104" t="s">
        <v>4318</v>
      </c>
      <c r="AJ294" s="104" t="s">
        <v>4473</v>
      </c>
      <c r="AK294" s="104" t="s">
        <v>4651</v>
      </c>
      <c r="AL294" s="106"/>
      <c r="AM294" s="104" t="s">
        <v>4372</v>
      </c>
      <c r="AN294" s="104" t="s">
        <v>5887</v>
      </c>
      <c r="AO294" s="106"/>
      <c r="AP294" s="99">
        <v>179</v>
      </c>
      <c r="AQ294" s="99">
        <v>46</v>
      </c>
      <c r="AR294" s="104" t="s">
        <v>4415</v>
      </c>
    </row>
    <row r="295" spans="2:44">
      <c r="B295" s="69" t="s">
        <v>4373</v>
      </c>
      <c r="C295" s="81">
        <v>292</v>
      </c>
      <c r="D295" s="82">
        <v>252610501</v>
      </c>
      <c r="E295" s="83" t="s">
        <v>952</v>
      </c>
      <c r="F295" s="84" t="s">
        <v>953</v>
      </c>
      <c r="G295" s="85" t="s">
        <v>953</v>
      </c>
      <c r="H295" s="85" t="s">
        <v>4507</v>
      </c>
      <c r="I295" s="85" t="s">
        <v>952</v>
      </c>
      <c r="J295" s="86" t="s">
        <v>4152</v>
      </c>
      <c r="K295" s="85" t="s">
        <v>89</v>
      </c>
      <c r="L295" s="85" t="s">
        <v>4557</v>
      </c>
      <c r="M295" s="87">
        <v>40181</v>
      </c>
      <c r="N295" s="85" t="s">
        <v>4307</v>
      </c>
      <c r="O295" s="85" t="s">
        <v>4489</v>
      </c>
      <c r="P295" s="99">
        <v>2</v>
      </c>
      <c r="Q295" s="99">
        <v>1</v>
      </c>
      <c r="R295" s="99">
        <v>0</v>
      </c>
      <c r="S295" s="99">
        <v>0</v>
      </c>
      <c r="T295" s="88">
        <f t="shared" si="4"/>
        <v>1</v>
      </c>
      <c r="U295" s="85" t="s">
        <v>4344</v>
      </c>
      <c r="V295" s="88" t="s">
        <v>4358</v>
      </c>
      <c r="W295" s="109" t="s">
        <v>5888</v>
      </c>
      <c r="X295" s="109" t="s">
        <v>4544</v>
      </c>
      <c r="Y295" s="109" t="s">
        <v>4825</v>
      </c>
      <c r="Z295" s="109" t="s">
        <v>4826</v>
      </c>
      <c r="AA295" s="109" t="s">
        <v>4826</v>
      </c>
      <c r="AB295" s="109" t="s">
        <v>4562</v>
      </c>
      <c r="AC295" s="109">
        <v>40214</v>
      </c>
      <c r="AD295" s="85" t="s">
        <v>5889</v>
      </c>
      <c r="AE295" s="88" t="s">
        <v>4669</v>
      </c>
      <c r="AF295" s="88" t="s">
        <v>4367</v>
      </c>
      <c r="AG295" s="85" t="s">
        <v>5890</v>
      </c>
      <c r="AH295" s="85" t="s">
        <v>5891</v>
      </c>
      <c r="AI295" s="85" t="s">
        <v>4401</v>
      </c>
      <c r="AJ295" s="85" t="s">
        <v>4401</v>
      </c>
      <c r="AK295" s="85" t="s">
        <v>4320</v>
      </c>
      <c r="AL295" s="85" t="s">
        <v>4406</v>
      </c>
      <c r="AM295" s="85" t="s">
        <v>4338</v>
      </c>
      <c r="AN295" s="85" t="s">
        <v>5892</v>
      </c>
      <c r="AO295" s="90"/>
      <c r="AP295" s="88">
        <v>162</v>
      </c>
      <c r="AQ295" s="88">
        <v>61</v>
      </c>
      <c r="AR295" s="85" t="s">
        <v>4322</v>
      </c>
    </row>
    <row r="296" s="66" customFormat="1" spans="2:44">
      <c r="B296" s="91" t="s">
        <v>4304</v>
      </c>
      <c r="C296" s="92">
        <v>293</v>
      </c>
      <c r="D296" s="93">
        <v>252610456</v>
      </c>
      <c r="E296" s="94" t="s">
        <v>1628</v>
      </c>
      <c r="F296" s="95" t="s">
        <v>1629</v>
      </c>
      <c r="G296" s="96" t="s">
        <v>4151</v>
      </c>
      <c r="H296" s="97"/>
      <c r="I296" s="96" t="s">
        <v>1628</v>
      </c>
      <c r="J296" s="96" t="s">
        <v>1628</v>
      </c>
      <c r="K296" s="97"/>
      <c r="L296" s="97"/>
      <c r="M296" s="98"/>
      <c r="N296" s="97"/>
      <c r="O296" s="97"/>
      <c r="P296" s="99"/>
      <c r="Q296" s="96"/>
      <c r="R296" s="96"/>
      <c r="S296" s="96"/>
      <c r="T296" s="88">
        <f t="shared" si="4"/>
        <v>0</v>
      </c>
      <c r="U296" s="97"/>
      <c r="V296" s="100"/>
      <c r="W296" s="101"/>
      <c r="X296" s="101"/>
      <c r="Y296" s="101"/>
      <c r="Z296" s="101"/>
      <c r="AA296" s="101"/>
      <c r="AB296" s="101"/>
      <c r="AC296" s="101"/>
      <c r="AD296" s="97"/>
      <c r="AE296" s="100"/>
      <c r="AF296" s="100"/>
      <c r="AG296" s="97"/>
      <c r="AH296" s="97"/>
      <c r="AI296" s="97"/>
      <c r="AJ296" s="97"/>
      <c r="AK296" s="97"/>
      <c r="AL296" s="97"/>
      <c r="AM296" s="97"/>
      <c r="AN296" s="97"/>
      <c r="AO296" s="97"/>
      <c r="AP296" s="100"/>
      <c r="AQ296" s="100"/>
      <c r="AR296" s="97"/>
    </row>
    <row r="297" spans="2:44">
      <c r="B297" s="69" t="s">
        <v>4341</v>
      </c>
      <c r="C297" s="81">
        <v>294</v>
      </c>
      <c r="D297" s="82">
        <v>252610309</v>
      </c>
      <c r="E297" s="83" t="s">
        <v>1144</v>
      </c>
      <c r="F297" s="154" t="s">
        <v>1145</v>
      </c>
      <c r="G297" s="155" t="s">
        <v>4142</v>
      </c>
      <c r="H297" s="104" t="s">
        <v>5893</v>
      </c>
      <c r="I297" s="156" t="s">
        <v>1144</v>
      </c>
      <c r="J297" s="157" t="s">
        <v>1144</v>
      </c>
      <c r="K297" s="104" t="s">
        <v>89</v>
      </c>
      <c r="L297" s="104" t="s">
        <v>4343</v>
      </c>
      <c r="M297" s="105">
        <v>40231</v>
      </c>
      <c r="N297" s="104" t="s">
        <v>4307</v>
      </c>
      <c r="O297" s="104" t="s">
        <v>4344</v>
      </c>
      <c r="P297" s="88">
        <v>1</v>
      </c>
      <c r="Q297" s="88">
        <v>1</v>
      </c>
      <c r="R297" s="88">
        <v>0</v>
      </c>
      <c r="S297" s="88">
        <v>0</v>
      </c>
      <c r="T297" s="88">
        <f t="shared" si="4"/>
        <v>1</v>
      </c>
      <c r="U297" s="104" t="s">
        <v>5894</v>
      </c>
      <c r="V297" s="99" t="s">
        <v>4310</v>
      </c>
      <c r="W297" s="108" t="s">
        <v>5895</v>
      </c>
      <c r="X297" s="108" t="s">
        <v>4793</v>
      </c>
      <c r="Y297" s="108" t="s">
        <v>4376</v>
      </c>
      <c r="Z297" s="108" t="s">
        <v>5896</v>
      </c>
      <c r="AA297" s="108" t="s">
        <v>4936</v>
      </c>
      <c r="AB297" s="108" t="s">
        <v>4511</v>
      </c>
      <c r="AC297" s="108">
        <v>40217</v>
      </c>
      <c r="AD297" s="104" t="s">
        <v>5897</v>
      </c>
      <c r="AE297" s="99" t="s">
        <v>4436</v>
      </c>
      <c r="AF297" s="99" t="s">
        <v>5898</v>
      </c>
      <c r="AG297" s="104" t="s">
        <v>5899</v>
      </c>
      <c r="AH297" s="104" t="s">
        <v>5900</v>
      </c>
      <c r="AI297" s="104" t="s">
        <v>4515</v>
      </c>
      <c r="AJ297" s="104" t="s">
        <v>4370</v>
      </c>
      <c r="AK297" s="104" t="s">
        <v>4337</v>
      </c>
      <c r="AL297" s="104" t="s">
        <v>4406</v>
      </c>
      <c r="AM297" s="104" t="s">
        <v>4372</v>
      </c>
      <c r="AN297" s="104" t="s">
        <v>5901</v>
      </c>
      <c r="AO297" s="104"/>
      <c r="AP297" s="99">
        <v>160</v>
      </c>
      <c r="AQ297" s="99">
        <v>58</v>
      </c>
      <c r="AR297" s="104" t="s">
        <v>4322</v>
      </c>
    </row>
    <row r="298" s="66" customFormat="1" spans="2:44">
      <c r="B298" s="91" t="s">
        <v>4373</v>
      </c>
      <c r="C298" s="92">
        <v>295</v>
      </c>
      <c r="D298" s="93">
        <v>252610502</v>
      </c>
      <c r="E298" s="115" t="s">
        <v>2016</v>
      </c>
      <c r="F298" s="95" t="s">
        <v>2017</v>
      </c>
      <c r="G298" s="96" t="s">
        <v>2017</v>
      </c>
      <c r="H298" s="97"/>
      <c r="I298" s="96" t="s">
        <v>2016</v>
      </c>
      <c r="J298" s="96" t="s">
        <v>2016</v>
      </c>
      <c r="K298" s="97"/>
      <c r="L298" s="97"/>
      <c r="M298" s="98"/>
      <c r="N298" s="97"/>
      <c r="O298" s="97"/>
      <c r="P298" s="99"/>
      <c r="Q298" s="96"/>
      <c r="R298" s="96"/>
      <c r="S298" s="96"/>
      <c r="T298" s="88">
        <f t="shared" si="4"/>
        <v>0</v>
      </c>
      <c r="U298" s="97"/>
      <c r="V298" s="100"/>
      <c r="W298" s="101"/>
      <c r="X298" s="101"/>
      <c r="Y298" s="101"/>
      <c r="Z298" s="101"/>
      <c r="AA298" s="101"/>
      <c r="AB298" s="101"/>
      <c r="AC298" s="101"/>
      <c r="AD298" s="97"/>
      <c r="AE298" s="100"/>
      <c r="AF298" s="100"/>
      <c r="AG298" s="97"/>
      <c r="AH298" s="97"/>
      <c r="AI298" s="97"/>
      <c r="AJ298" s="97"/>
      <c r="AK298" s="97"/>
      <c r="AL298" s="97"/>
      <c r="AM298" s="97"/>
      <c r="AN298" s="97"/>
      <c r="AO298" s="97"/>
      <c r="AP298" s="100"/>
      <c r="AQ298" s="100"/>
      <c r="AR298" s="97"/>
    </row>
    <row r="299" spans="2:44">
      <c r="B299" s="69" t="s">
        <v>4373</v>
      </c>
      <c r="C299" s="81">
        <v>296</v>
      </c>
      <c r="D299" s="82">
        <v>252610503</v>
      </c>
      <c r="E299" s="83" t="s">
        <v>1147</v>
      </c>
      <c r="F299" s="84" t="s">
        <v>1148</v>
      </c>
      <c r="G299" s="104" t="s">
        <v>1148</v>
      </c>
      <c r="H299" s="104" t="s">
        <v>5902</v>
      </c>
      <c r="I299" s="104" t="s">
        <v>1147</v>
      </c>
      <c r="J299" s="86" t="s">
        <v>1147</v>
      </c>
      <c r="K299" s="104" t="s">
        <v>89</v>
      </c>
      <c r="L299" s="104" t="s">
        <v>4327</v>
      </c>
      <c r="M299" s="105">
        <v>40167</v>
      </c>
      <c r="N299" s="104" t="s">
        <v>4307</v>
      </c>
      <c r="O299" s="104" t="s">
        <v>4308</v>
      </c>
      <c r="P299" s="88">
        <v>2</v>
      </c>
      <c r="Q299" s="88">
        <v>1</v>
      </c>
      <c r="R299" s="88">
        <v>0</v>
      </c>
      <c r="S299" s="88">
        <v>0</v>
      </c>
      <c r="T299" s="88">
        <f t="shared" si="4"/>
        <v>1</v>
      </c>
      <c r="U299" s="104" t="s">
        <v>4675</v>
      </c>
      <c r="V299" s="99" t="s">
        <v>4310</v>
      </c>
      <c r="W299" s="108" t="s">
        <v>5903</v>
      </c>
      <c r="X299" s="108" t="s">
        <v>4419</v>
      </c>
      <c r="Y299" s="108" t="s">
        <v>4793</v>
      </c>
      <c r="Z299" s="108" t="s">
        <v>4478</v>
      </c>
      <c r="AA299" s="108" t="s">
        <v>4765</v>
      </c>
      <c r="AB299" s="108" t="s">
        <v>4775</v>
      </c>
      <c r="AC299" s="108">
        <v>40213</v>
      </c>
      <c r="AD299" s="104" t="s">
        <v>5904</v>
      </c>
      <c r="AE299" s="99" t="s">
        <v>5905</v>
      </c>
      <c r="AF299" s="99" t="s">
        <v>4411</v>
      </c>
      <c r="AG299" s="104" t="s">
        <v>5906</v>
      </c>
      <c r="AH299" s="104" t="s">
        <v>5907</v>
      </c>
      <c r="AI299" s="104" t="s">
        <v>5908</v>
      </c>
      <c r="AJ299" s="104" t="s">
        <v>4352</v>
      </c>
      <c r="AK299" s="104" t="s">
        <v>4338</v>
      </c>
      <c r="AL299" s="104" t="s">
        <v>5909</v>
      </c>
      <c r="AM299" s="104" t="s">
        <v>4338</v>
      </c>
      <c r="AN299" s="104" t="s">
        <v>5445</v>
      </c>
      <c r="AO299" s="104" t="s">
        <v>5910</v>
      </c>
      <c r="AP299" s="99">
        <v>170</v>
      </c>
      <c r="AQ299" s="99">
        <v>49</v>
      </c>
      <c r="AR299" s="104" t="s">
        <v>4538</v>
      </c>
    </row>
    <row r="300" spans="2:44">
      <c r="B300" s="69" t="s">
        <v>4323</v>
      </c>
      <c r="C300" s="81">
        <v>297</v>
      </c>
      <c r="D300" s="82">
        <v>252610266</v>
      </c>
      <c r="E300" s="83" t="s">
        <v>1917</v>
      </c>
      <c r="F300" s="84" t="s">
        <v>1918</v>
      </c>
      <c r="G300" s="85" t="s">
        <v>4153</v>
      </c>
      <c r="H300" s="85" t="s">
        <v>5911</v>
      </c>
      <c r="I300" s="85" t="s">
        <v>1917</v>
      </c>
      <c r="J300" s="86" t="s">
        <v>1917</v>
      </c>
      <c r="K300" s="85" t="s">
        <v>89</v>
      </c>
      <c r="L300" s="85" t="s">
        <v>4343</v>
      </c>
      <c r="M300" s="87">
        <v>39799</v>
      </c>
      <c r="N300" s="85" t="s">
        <v>4307</v>
      </c>
      <c r="O300" s="85" t="s">
        <v>4344</v>
      </c>
      <c r="P300" s="99">
        <v>1</v>
      </c>
      <c r="Q300" s="99">
        <v>2</v>
      </c>
      <c r="R300" s="99">
        <v>0</v>
      </c>
      <c r="S300" s="99">
        <v>0</v>
      </c>
      <c r="T300" s="88">
        <f t="shared" si="4"/>
        <v>2</v>
      </c>
      <c r="U300" s="85" t="s">
        <v>4309</v>
      </c>
      <c r="V300" s="88" t="s">
        <v>4310</v>
      </c>
      <c r="W300" s="109" t="s">
        <v>5912</v>
      </c>
      <c r="X300" s="109" t="s">
        <v>4431</v>
      </c>
      <c r="Y300" s="109" t="s">
        <v>4756</v>
      </c>
      <c r="Z300" s="112"/>
      <c r="AA300" s="109" t="s">
        <v>4645</v>
      </c>
      <c r="AB300" s="109" t="s">
        <v>4420</v>
      </c>
      <c r="AC300" s="109">
        <v>40216</v>
      </c>
      <c r="AD300" s="85" t="s">
        <v>5913</v>
      </c>
      <c r="AE300" s="88" t="s">
        <v>4366</v>
      </c>
      <c r="AF300" s="88" t="s">
        <v>5914</v>
      </c>
      <c r="AG300" s="85" t="s">
        <v>5915</v>
      </c>
      <c r="AH300" s="85" t="s">
        <v>5916</v>
      </c>
      <c r="AI300" s="85" t="s">
        <v>5917</v>
      </c>
      <c r="AJ300" s="85" t="s">
        <v>5917</v>
      </c>
      <c r="AK300" s="85" t="s">
        <v>4553</v>
      </c>
      <c r="AL300" s="90"/>
      <c r="AM300" s="85" t="s">
        <v>4338</v>
      </c>
      <c r="AN300" s="85" t="s">
        <v>3421</v>
      </c>
      <c r="AO300" s="90"/>
      <c r="AP300" s="88">
        <v>172</v>
      </c>
      <c r="AQ300" s="88" t="s">
        <v>5918</v>
      </c>
      <c r="AR300" s="85" t="s">
        <v>4340</v>
      </c>
    </row>
    <row r="301" s="66" customFormat="1" spans="2:44">
      <c r="B301" s="91" t="s">
        <v>4642</v>
      </c>
      <c r="C301" s="92">
        <v>298</v>
      </c>
      <c r="D301" s="93">
        <v>252610553</v>
      </c>
      <c r="E301" s="94" t="s">
        <v>1630</v>
      </c>
      <c r="F301" s="95" t="s">
        <v>1631</v>
      </c>
      <c r="G301" s="96" t="s">
        <v>1631</v>
      </c>
      <c r="H301" s="97"/>
      <c r="I301" s="96" t="s">
        <v>1630</v>
      </c>
      <c r="J301" s="96" t="s">
        <v>1630</v>
      </c>
      <c r="K301" s="97"/>
      <c r="L301" s="97"/>
      <c r="M301" s="98"/>
      <c r="N301" s="97"/>
      <c r="O301" s="97"/>
      <c r="P301" s="132"/>
      <c r="Q301" s="96"/>
      <c r="R301" s="96"/>
      <c r="S301" s="96"/>
      <c r="T301" s="88">
        <f t="shared" si="4"/>
        <v>0</v>
      </c>
      <c r="U301" s="97"/>
      <c r="V301" s="100"/>
      <c r="W301" s="101"/>
      <c r="X301" s="101"/>
      <c r="Y301" s="101"/>
      <c r="Z301" s="101"/>
      <c r="AA301" s="101"/>
      <c r="AB301" s="101"/>
      <c r="AC301" s="101"/>
      <c r="AD301" s="97"/>
      <c r="AE301" s="100"/>
      <c r="AF301" s="100"/>
      <c r="AG301" s="97"/>
      <c r="AH301" s="97"/>
      <c r="AI301" s="97"/>
      <c r="AJ301" s="97"/>
      <c r="AK301" s="97"/>
      <c r="AL301" s="97"/>
      <c r="AM301" s="97"/>
      <c r="AN301" s="97"/>
      <c r="AO301" s="97"/>
      <c r="AP301" s="100"/>
      <c r="AQ301" s="100"/>
      <c r="AR301" s="97"/>
    </row>
    <row r="302" spans="2:44">
      <c r="B302" s="69" t="s">
        <v>4642</v>
      </c>
      <c r="C302" s="81">
        <v>299</v>
      </c>
      <c r="D302" s="82">
        <v>252610554</v>
      </c>
      <c r="E302" s="83" t="s">
        <v>1255</v>
      </c>
      <c r="F302" s="84" t="s">
        <v>1256</v>
      </c>
      <c r="G302" s="104" t="s">
        <v>4154</v>
      </c>
      <c r="H302" s="104" t="s">
        <v>4711</v>
      </c>
      <c r="I302" s="104" t="s">
        <v>1255</v>
      </c>
      <c r="J302" s="86" t="s">
        <v>1255</v>
      </c>
      <c r="K302" s="104" t="s">
        <v>89</v>
      </c>
      <c r="L302" s="104" t="s">
        <v>4343</v>
      </c>
      <c r="M302" s="105">
        <v>40061</v>
      </c>
      <c r="N302" s="104" t="s">
        <v>4460</v>
      </c>
      <c r="O302" s="104" t="s">
        <v>4308</v>
      </c>
      <c r="P302" s="99"/>
      <c r="Q302" s="104"/>
      <c r="R302" s="104"/>
      <c r="S302" s="104"/>
      <c r="T302" s="88">
        <f t="shared" si="4"/>
        <v>0</v>
      </c>
      <c r="U302" s="104" t="s">
        <v>4344</v>
      </c>
      <c r="V302" s="99" t="s">
        <v>4595</v>
      </c>
      <c r="W302" s="108" t="s">
        <v>5919</v>
      </c>
      <c r="X302" s="108">
        <v>10</v>
      </c>
      <c r="Y302" s="108" t="s">
        <v>4492</v>
      </c>
      <c r="Z302" s="108" t="s">
        <v>4406</v>
      </c>
      <c r="AA302" s="108" t="s">
        <v>5920</v>
      </c>
      <c r="AB302" s="108" t="s">
        <v>5921</v>
      </c>
      <c r="AC302" s="108">
        <v>40231</v>
      </c>
      <c r="AD302" s="104" t="s">
        <v>5922</v>
      </c>
      <c r="AE302" s="99" t="s">
        <v>4422</v>
      </c>
      <c r="AF302" s="99">
        <v>1</v>
      </c>
      <c r="AG302" s="104" t="s">
        <v>5923</v>
      </c>
      <c r="AH302" s="104" t="s">
        <v>5924</v>
      </c>
      <c r="AI302" s="104" t="s">
        <v>4370</v>
      </c>
      <c r="AJ302" s="104" t="s">
        <v>4370</v>
      </c>
      <c r="AK302" s="104" t="s">
        <v>4320</v>
      </c>
      <c r="AL302" s="104" t="s">
        <v>4406</v>
      </c>
      <c r="AM302" s="104" t="s">
        <v>4338</v>
      </c>
      <c r="AN302" s="104" t="s">
        <v>5925</v>
      </c>
      <c r="AO302" s="104" t="s">
        <v>5926</v>
      </c>
      <c r="AP302" s="99">
        <v>170</v>
      </c>
      <c r="AQ302" s="99">
        <v>52</v>
      </c>
      <c r="AR302" s="104" t="s">
        <v>4322</v>
      </c>
    </row>
    <row r="303" spans="2:44">
      <c r="B303" s="69" t="s">
        <v>4341</v>
      </c>
      <c r="C303" s="81">
        <v>300</v>
      </c>
      <c r="D303" s="82">
        <v>252610313</v>
      </c>
      <c r="E303" s="83" t="s">
        <v>1632</v>
      </c>
      <c r="F303" s="84" t="s">
        <v>1633</v>
      </c>
      <c r="G303" s="85" t="s">
        <v>1633</v>
      </c>
      <c r="H303" s="85" t="s">
        <v>5927</v>
      </c>
      <c r="I303" s="85" t="s">
        <v>1632</v>
      </c>
      <c r="J303" s="86" t="s">
        <v>1632</v>
      </c>
      <c r="K303" s="85" t="s">
        <v>89</v>
      </c>
      <c r="L303" s="85" t="s">
        <v>4343</v>
      </c>
      <c r="M303" s="87">
        <v>39828</v>
      </c>
      <c r="N303" s="85" t="s">
        <v>4307</v>
      </c>
      <c r="O303" s="85" t="s">
        <v>4344</v>
      </c>
      <c r="P303" s="99">
        <v>1</v>
      </c>
      <c r="Q303" s="99">
        <v>2</v>
      </c>
      <c r="R303" s="99">
        <v>0</v>
      </c>
      <c r="S303" s="99">
        <v>0</v>
      </c>
      <c r="T303" s="88">
        <f t="shared" si="4"/>
        <v>2</v>
      </c>
      <c r="U303" s="85" t="s">
        <v>4309</v>
      </c>
      <c r="V303" s="88">
        <v>0</v>
      </c>
      <c r="W303" s="109" t="s">
        <v>5928</v>
      </c>
      <c r="X303" s="109" t="s">
        <v>4606</v>
      </c>
      <c r="Y303" s="109" t="s">
        <v>4621</v>
      </c>
      <c r="Z303" s="109" t="s">
        <v>5929</v>
      </c>
      <c r="AA303" s="109" t="s">
        <v>4494</v>
      </c>
      <c r="AB303" s="109" t="s">
        <v>4451</v>
      </c>
      <c r="AC303" s="109">
        <v>40534</v>
      </c>
      <c r="AD303" s="85" t="s">
        <v>5930</v>
      </c>
      <c r="AE303" s="88" t="s">
        <v>4669</v>
      </c>
      <c r="AF303" s="88" t="s">
        <v>5931</v>
      </c>
      <c r="AG303" s="85" t="s">
        <v>5932</v>
      </c>
      <c r="AH303" s="85" t="s">
        <v>5933</v>
      </c>
      <c r="AI303" s="85" t="s">
        <v>4672</v>
      </c>
      <c r="AJ303" s="85" t="s">
        <v>4318</v>
      </c>
      <c r="AK303" s="85" t="s">
        <v>4319</v>
      </c>
      <c r="AL303" s="90"/>
      <c r="AM303" s="85" t="s">
        <v>4372</v>
      </c>
      <c r="AN303" s="85" t="s">
        <v>4385</v>
      </c>
      <c r="AO303" s="85" t="s">
        <v>5934</v>
      </c>
      <c r="AP303" s="88">
        <v>164</v>
      </c>
      <c r="AQ303" s="88">
        <v>53</v>
      </c>
      <c r="AR303" s="85" t="s">
        <v>4428</v>
      </c>
    </row>
    <row r="304" s="66" customFormat="1" spans="2:44">
      <c r="B304" s="91" t="s">
        <v>4642</v>
      </c>
      <c r="C304" s="92">
        <v>301</v>
      </c>
      <c r="D304" s="93">
        <v>252610555</v>
      </c>
      <c r="E304" s="94" t="s">
        <v>1919</v>
      </c>
      <c r="F304" s="95" t="s">
        <v>1920</v>
      </c>
      <c r="G304" s="96" t="s">
        <v>1920</v>
      </c>
      <c r="H304" s="97"/>
      <c r="I304" s="96" t="s">
        <v>1919</v>
      </c>
      <c r="J304" s="96" t="s">
        <v>1919</v>
      </c>
      <c r="K304" s="97"/>
      <c r="L304" s="97"/>
      <c r="M304" s="98"/>
      <c r="N304" s="97"/>
      <c r="O304" s="97"/>
      <c r="P304" s="99"/>
      <c r="Q304" s="96"/>
      <c r="R304" s="96"/>
      <c r="S304" s="96"/>
      <c r="T304" s="88">
        <f t="shared" si="4"/>
        <v>0</v>
      </c>
      <c r="U304" s="97"/>
      <c r="V304" s="100"/>
      <c r="W304" s="101"/>
      <c r="X304" s="101"/>
      <c r="Y304" s="101"/>
      <c r="Z304" s="101"/>
      <c r="AA304" s="101"/>
      <c r="AB304" s="101"/>
      <c r="AC304" s="101"/>
      <c r="AD304" s="97"/>
      <c r="AE304" s="100"/>
      <c r="AF304" s="100"/>
      <c r="AG304" s="97"/>
      <c r="AH304" s="97"/>
      <c r="AI304" s="97"/>
      <c r="AJ304" s="97"/>
      <c r="AK304" s="97"/>
      <c r="AL304" s="97"/>
      <c r="AM304" s="97"/>
      <c r="AN304" s="97"/>
      <c r="AO304" s="97"/>
      <c r="AP304" s="100"/>
      <c r="AQ304" s="100"/>
      <c r="AR304" s="97"/>
    </row>
    <row r="305" spans="2:44">
      <c r="B305" s="69" t="s">
        <v>4325</v>
      </c>
      <c r="C305" s="81">
        <v>302</v>
      </c>
      <c r="D305" s="82">
        <v>252610028</v>
      </c>
      <c r="E305" s="102" t="s">
        <v>1726</v>
      </c>
      <c r="F305" s="158" t="s">
        <v>1727</v>
      </c>
      <c r="G305" s="85" t="s">
        <v>1727</v>
      </c>
      <c r="H305" s="85" t="s">
        <v>5770</v>
      </c>
      <c r="I305" s="85" t="s">
        <v>1726</v>
      </c>
      <c r="J305" s="86" t="s">
        <v>1726</v>
      </c>
      <c r="K305" s="85" t="s">
        <v>89</v>
      </c>
      <c r="L305" s="85" t="s">
        <v>4343</v>
      </c>
      <c r="M305" s="87">
        <v>40156</v>
      </c>
      <c r="N305" s="85" t="s">
        <v>4307</v>
      </c>
      <c r="O305" s="85" t="s">
        <v>4344</v>
      </c>
      <c r="P305" s="99">
        <v>1</v>
      </c>
      <c r="Q305" s="99">
        <v>4</v>
      </c>
      <c r="R305" s="99">
        <v>0</v>
      </c>
      <c r="S305" s="99">
        <v>0</v>
      </c>
      <c r="T305" s="88">
        <f t="shared" si="4"/>
        <v>4</v>
      </c>
      <c r="U305" s="85" t="s">
        <v>4344</v>
      </c>
      <c r="V305" s="88" t="s">
        <v>4358</v>
      </c>
      <c r="W305" s="109" t="s">
        <v>5935</v>
      </c>
      <c r="X305" s="109" t="s">
        <v>4477</v>
      </c>
      <c r="Y305" s="109" t="s">
        <v>4477</v>
      </c>
      <c r="Z305" s="109" t="s">
        <v>5936</v>
      </c>
      <c r="AA305" s="109" t="s">
        <v>4478</v>
      </c>
      <c r="AB305" s="109" t="s">
        <v>4395</v>
      </c>
      <c r="AC305" s="109">
        <v>40213</v>
      </c>
      <c r="AD305" s="85" t="s">
        <v>5937</v>
      </c>
      <c r="AE305" s="88" t="s">
        <v>4669</v>
      </c>
      <c r="AF305" s="88" t="s">
        <v>4334</v>
      </c>
      <c r="AG305" s="85" t="s">
        <v>5938</v>
      </c>
      <c r="AH305" s="85" t="s">
        <v>5939</v>
      </c>
      <c r="AI305" s="85" t="s">
        <v>4401</v>
      </c>
      <c r="AJ305" s="85" t="s">
        <v>4352</v>
      </c>
      <c r="AK305" s="85" t="s">
        <v>4319</v>
      </c>
      <c r="AL305" s="85" t="s">
        <v>5223</v>
      </c>
      <c r="AM305" s="85" t="s">
        <v>4372</v>
      </c>
      <c r="AN305" s="85" t="s">
        <v>5940</v>
      </c>
      <c r="AO305" s="90"/>
      <c r="AP305" s="88">
        <v>170</v>
      </c>
      <c r="AQ305" s="88">
        <v>98</v>
      </c>
      <c r="AR305" s="85" t="s">
        <v>4538</v>
      </c>
    </row>
    <row r="306" spans="2:44">
      <c r="B306" s="69" t="s">
        <v>4354</v>
      </c>
      <c r="C306" s="81">
        <v>303</v>
      </c>
      <c r="D306" s="82">
        <v>252610072</v>
      </c>
      <c r="E306" s="83" t="s">
        <v>1532</v>
      </c>
      <c r="F306" s="84" t="s">
        <v>1533</v>
      </c>
      <c r="G306" s="104" t="s">
        <v>4157</v>
      </c>
      <c r="H306" s="104" t="s">
        <v>5941</v>
      </c>
      <c r="I306" s="104" t="s">
        <v>1532</v>
      </c>
      <c r="J306" s="86" t="s">
        <v>1532</v>
      </c>
      <c r="K306" s="104" t="s">
        <v>89</v>
      </c>
      <c r="L306" s="104" t="s">
        <v>4557</v>
      </c>
      <c r="M306" s="105">
        <v>40021</v>
      </c>
      <c r="N306" s="104" t="s">
        <v>4307</v>
      </c>
      <c r="O306" s="104" t="s">
        <v>4619</v>
      </c>
      <c r="P306" s="88">
        <v>4</v>
      </c>
      <c r="Q306" s="88">
        <v>4</v>
      </c>
      <c r="R306" s="88">
        <v>0</v>
      </c>
      <c r="S306" s="88">
        <v>0</v>
      </c>
      <c r="T306" s="88">
        <f t="shared" si="4"/>
        <v>4</v>
      </c>
      <c r="U306" s="104" t="s">
        <v>5942</v>
      </c>
      <c r="V306" s="99" t="s">
        <v>4310</v>
      </c>
      <c r="W306" s="108" t="s">
        <v>5943</v>
      </c>
      <c r="X306" s="108" t="s">
        <v>4392</v>
      </c>
      <c r="Y306" s="108" t="s">
        <v>4714</v>
      </c>
      <c r="Z306" s="114"/>
      <c r="AA306" s="108" t="s">
        <v>5068</v>
      </c>
      <c r="AB306" s="108" t="s">
        <v>4562</v>
      </c>
      <c r="AC306" s="108">
        <v>40213</v>
      </c>
      <c r="AD306" s="104" t="s">
        <v>5944</v>
      </c>
      <c r="AE306" s="99" t="s">
        <v>4669</v>
      </c>
      <c r="AF306" s="99" t="s">
        <v>5945</v>
      </c>
      <c r="AG306" s="104" t="s">
        <v>5946</v>
      </c>
      <c r="AH306" s="104" t="s">
        <v>5947</v>
      </c>
      <c r="AI306" s="104" t="s">
        <v>4351</v>
      </c>
      <c r="AJ306" s="104" t="s">
        <v>4352</v>
      </c>
      <c r="AK306" s="104" t="s">
        <v>4441</v>
      </c>
      <c r="AL306" s="106"/>
      <c r="AM306" s="104" t="s">
        <v>4441</v>
      </c>
      <c r="AN306" s="104" t="s">
        <v>3124</v>
      </c>
      <c r="AO306" s="104" t="s">
        <v>5948</v>
      </c>
      <c r="AP306" s="99">
        <v>166</v>
      </c>
      <c r="AQ306" s="99">
        <v>50</v>
      </c>
      <c r="AR306" s="104" t="s">
        <v>4415</v>
      </c>
    </row>
    <row r="307" s="66" customFormat="1" spans="2:44">
      <c r="B307" s="91" t="s">
        <v>4325</v>
      </c>
      <c r="C307" s="92">
        <v>304</v>
      </c>
      <c r="D307" s="93">
        <v>252610029</v>
      </c>
      <c r="E307" s="118" t="s">
        <v>2018</v>
      </c>
      <c r="F307" s="119" t="s">
        <v>2019</v>
      </c>
      <c r="G307" s="96" t="s">
        <v>2019</v>
      </c>
      <c r="H307" s="97"/>
      <c r="I307" s="96" t="s">
        <v>2018</v>
      </c>
      <c r="J307" s="96" t="s">
        <v>2018</v>
      </c>
      <c r="K307" s="97"/>
      <c r="L307" s="97"/>
      <c r="M307" s="98"/>
      <c r="N307" s="97"/>
      <c r="O307" s="97"/>
      <c r="P307" s="88"/>
      <c r="Q307" s="96"/>
      <c r="R307" s="96"/>
      <c r="S307" s="96"/>
      <c r="T307" s="88">
        <f t="shared" si="4"/>
        <v>0</v>
      </c>
      <c r="U307" s="97"/>
      <c r="V307" s="100"/>
      <c r="W307" s="101"/>
      <c r="X307" s="101"/>
      <c r="Y307" s="101"/>
      <c r="Z307" s="101"/>
      <c r="AA307" s="101"/>
      <c r="AB307" s="101"/>
      <c r="AC307" s="101"/>
      <c r="AD307" s="97"/>
      <c r="AE307" s="100"/>
      <c r="AF307" s="100"/>
      <c r="AG307" s="97"/>
      <c r="AH307" s="97"/>
      <c r="AI307" s="97"/>
      <c r="AJ307" s="97"/>
      <c r="AK307" s="97"/>
      <c r="AL307" s="97"/>
      <c r="AM307" s="97"/>
      <c r="AN307" s="97"/>
      <c r="AO307" s="97"/>
      <c r="AP307" s="100"/>
      <c r="AQ307" s="100"/>
      <c r="AR307" s="97"/>
    </row>
    <row r="308" spans="2:44">
      <c r="B308" s="69" t="s">
        <v>4386</v>
      </c>
      <c r="C308" s="81">
        <v>305</v>
      </c>
      <c r="D308" s="82">
        <v>252610362</v>
      </c>
      <c r="E308" s="83" t="s">
        <v>1534</v>
      </c>
      <c r="F308" s="84" t="s">
        <v>1535</v>
      </c>
      <c r="G308" s="104" t="s">
        <v>4158</v>
      </c>
      <c r="H308" s="104" t="s">
        <v>5949</v>
      </c>
      <c r="I308" s="104" t="s">
        <v>1534</v>
      </c>
      <c r="J308" s="86" t="s">
        <v>1534</v>
      </c>
      <c r="K308" s="104" t="s">
        <v>89</v>
      </c>
      <c r="L308" s="104" t="s">
        <v>4540</v>
      </c>
      <c r="M308" s="105">
        <v>39973</v>
      </c>
      <c r="N308" s="104" t="s">
        <v>4307</v>
      </c>
      <c r="O308" s="104" t="s">
        <v>4308</v>
      </c>
      <c r="P308" s="88">
        <v>2</v>
      </c>
      <c r="Q308" s="88">
        <v>2</v>
      </c>
      <c r="R308" s="88">
        <v>0</v>
      </c>
      <c r="S308" s="88">
        <v>0</v>
      </c>
      <c r="T308" s="88">
        <f t="shared" si="4"/>
        <v>2</v>
      </c>
      <c r="U308" s="104" t="s">
        <v>4308</v>
      </c>
      <c r="V308" s="99">
        <v>0</v>
      </c>
      <c r="W308" s="108" t="s">
        <v>5950</v>
      </c>
      <c r="X308" s="108" t="s">
        <v>4492</v>
      </c>
      <c r="Y308" s="108">
        <v>14</v>
      </c>
      <c r="Z308" s="108" t="s">
        <v>4667</v>
      </c>
      <c r="AA308" s="108" t="s">
        <v>4363</v>
      </c>
      <c r="AB308" s="108" t="s">
        <v>4364</v>
      </c>
      <c r="AC308" s="108">
        <v>40534</v>
      </c>
      <c r="AD308" s="104" t="s">
        <v>5951</v>
      </c>
      <c r="AE308" s="99" t="s">
        <v>4422</v>
      </c>
      <c r="AF308" s="117">
        <v>152</v>
      </c>
      <c r="AG308" s="104" t="s">
        <v>5952</v>
      </c>
      <c r="AH308" s="104" t="s">
        <v>5953</v>
      </c>
      <c r="AI308" s="104" t="s">
        <v>4318</v>
      </c>
      <c r="AJ308" s="104" t="s">
        <v>4318</v>
      </c>
      <c r="AK308" s="104" t="s">
        <v>4320</v>
      </c>
      <c r="AL308" s="104" t="s">
        <v>4406</v>
      </c>
      <c r="AM308" s="104" t="s">
        <v>4372</v>
      </c>
      <c r="AN308" s="104" t="s">
        <v>5009</v>
      </c>
      <c r="AO308" s="104" t="s">
        <v>5954</v>
      </c>
      <c r="AP308" s="99">
        <v>170</v>
      </c>
      <c r="AQ308" s="99">
        <v>59</v>
      </c>
      <c r="AR308" s="104" t="s">
        <v>4428</v>
      </c>
    </row>
    <row r="309" s="66" customFormat="1" spans="2:44">
      <c r="B309" s="91" t="s">
        <v>4324</v>
      </c>
      <c r="C309" s="92">
        <v>306</v>
      </c>
      <c r="D309" s="93">
        <v>252610121</v>
      </c>
      <c r="E309" s="94" t="s">
        <v>2020</v>
      </c>
      <c r="F309" s="95" t="s">
        <v>2021</v>
      </c>
      <c r="G309" s="96" t="s">
        <v>4159</v>
      </c>
      <c r="H309" s="97"/>
      <c r="I309" s="96" t="s">
        <v>2020</v>
      </c>
      <c r="J309" s="96" t="s">
        <v>2020</v>
      </c>
      <c r="K309" s="97"/>
      <c r="L309" s="97"/>
      <c r="M309" s="98"/>
      <c r="N309" s="97"/>
      <c r="O309" s="97"/>
      <c r="P309" s="132"/>
      <c r="Q309" s="96"/>
      <c r="R309" s="96"/>
      <c r="S309" s="96"/>
      <c r="T309" s="88">
        <f t="shared" si="4"/>
        <v>0</v>
      </c>
      <c r="U309" s="97"/>
      <c r="V309" s="100"/>
      <c r="W309" s="101"/>
      <c r="X309" s="101"/>
      <c r="Y309" s="101"/>
      <c r="Z309" s="101"/>
      <c r="AA309" s="101"/>
      <c r="AB309" s="101"/>
      <c r="AC309" s="101"/>
      <c r="AD309" s="97"/>
      <c r="AE309" s="100"/>
      <c r="AF309" s="100"/>
      <c r="AG309" s="97"/>
      <c r="AH309" s="97"/>
      <c r="AI309" s="97"/>
      <c r="AJ309" s="97"/>
      <c r="AK309" s="97"/>
      <c r="AL309" s="97"/>
      <c r="AM309" s="97"/>
      <c r="AN309" s="97"/>
      <c r="AO309" s="97"/>
      <c r="AP309" s="100"/>
      <c r="AQ309" s="100"/>
      <c r="AR309" s="97"/>
    </row>
    <row r="310" spans="2:44">
      <c r="B310" s="69" t="s">
        <v>4304</v>
      </c>
      <c r="C310" s="81">
        <v>307</v>
      </c>
      <c r="D310" s="82">
        <v>252610457</v>
      </c>
      <c r="E310" s="83" t="s">
        <v>1337</v>
      </c>
      <c r="F310" s="84" t="s">
        <v>1338</v>
      </c>
      <c r="G310" s="104" t="s">
        <v>1338</v>
      </c>
      <c r="H310" s="104" t="s">
        <v>5955</v>
      </c>
      <c r="I310" s="104" t="s">
        <v>1337</v>
      </c>
      <c r="J310" s="86" t="s">
        <v>1337</v>
      </c>
      <c r="K310" s="104" t="s">
        <v>89</v>
      </c>
      <c r="L310" s="104" t="s">
        <v>4557</v>
      </c>
      <c r="M310" s="105">
        <v>40208</v>
      </c>
      <c r="N310" s="104" t="s">
        <v>4307</v>
      </c>
      <c r="O310" s="104" t="s">
        <v>4489</v>
      </c>
      <c r="P310" s="88">
        <v>1</v>
      </c>
      <c r="Q310" s="88">
        <v>1</v>
      </c>
      <c r="R310" s="88">
        <v>0</v>
      </c>
      <c r="S310" s="88">
        <v>0</v>
      </c>
      <c r="T310" s="88">
        <f t="shared" si="4"/>
        <v>1</v>
      </c>
      <c r="U310" s="104" t="s">
        <v>4309</v>
      </c>
      <c r="V310" s="99">
        <v>0</v>
      </c>
      <c r="W310" s="108" t="s">
        <v>5956</v>
      </c>
      <c r="X310" s="108" t="s">
        <v>4544</v>
      </c>
      <c r="Y310" s="108" t="s">
        <v>4392</v>
      </c>
      <c r="Z310" s="108" t="s">
        <v>4521</v>
      </c>
      <c r="AA310" s="108" t="s">
        <v>4521</v>
      </c>
      <c r="AB310" s="108" t="s">
        <v>4395</v>
      </c>
      <c r="AC310" s="108">
        <v>40214</v>
      </c>
      <c r="AD310" s="104" t="s">
        <v>5957</v>
      </c>
      <c r="AE310" s="99" t="s">
        <v>5958</v>
      </c>
      <c r="AF310" s="117">
        <v>1180</v>
      </c>
      <c r="AG310" s="104" t="s">
        <v>5959</v>
      </c>
      <c r="AH310" s="104" t="s">
        <v>5960</v>
      </c>
      <c r="AI310" s="104" t="s">
        <v>4370</v>
      </c>
      <c r="AJ310" s="104" t="s">
        <v>4370</v>
      </c>
      <c r="AK310" s="104" t="s">
        <v>4338</v>
      </c>
      <c r="AL310" s="104" t="s">
        <v>5961</v>
      </c>
      <c r="AM310" s="104" t="s">
        <v>4372</v>
      </c>
      <c r="AN310" s="104" t="s">
        <v>5962</v>
      </c>
      <c r="AO310" s="106"/>
      <c r="AP310" s="99">
        <v>163</v>
      </c>
      <c r="AQ310" s="99">
        <v>55</v>
      </c>
      <c r="AR310" s="104" t="s">
        <v>4428</v>
      </c>
    </row>
    <row r="311" spans="2:44">
      <c r="B311" s="69" t="s">
        <v>4373</v>
      </c>
      <c r="C311" s="81">
        <v>308</v>
      </c>
      <c r="D311" s="82">
        <v>252610504</v>
      </c>
      <c r="E311" s="83" t="s">
        <v>1833</v>
      </c>
      <c r="F311" s="84" t="s">
        <v>1834</v>
      </c>
      <c r="G311" s="85" t="s">
        <v>1834</v>
      </c>
      <c r="H311" s="85" t="s">
        <v>5963</v>
      </c>
      <c r="I311" s="85" t="s">
        <v>1833</v>
      </c>
      <c r="J311" s="86" t="s">
        <v>1833</v>
      </c>
      <c r="K311" s="85" t="s">
        <v>89</v>
      </c>
      <c r="L311" s="85" t="s">
        <v>5137</v>
      </c>
      <c r="M311" s="87">
        <v>39865</v>
      </c>
      <c r="N311" s="85" t="s">
        <v>4328</v>
      </c>
      <c r="O311" s="85" t="s">
        <v>4489</v>
      </c>
      <c r="P311" s="99">
        <v>2</v>
      </c>
      <c r="Q311" s="99">
        <v>2</v>
      </c>
      <c r="R311" s="99">
        <v>1</v>
      </c>
      <c r="S311" s="99">
        <v>0</v>
      </c>
      <c r="T311" s="88">
        <f t="shared" si="4"/>
        <v>3</v>
      </c>
      <c r="U311" s="85" t="s">
        <v>5031</v>
      </c>
      <c r="V311" s="88">
        <v>0</v>
      </c>
      <c r="W311" s="109" t="s">
        <v>5964</v>
      </c>
      <c r="X311" s="109" t="s">
        <v>4360</v>
      </c>
      <c r="Y311" s="109" t="s">
        <v>4793</v>
      </c>
      <c r="Z311" s="109" t="s">
        <v>4494</v>
      </c>
      <c r="AA311" s="109" t="s">
        <v>4494</v>
      </c>
      <c r="AB311" s="109" t="s">
        <v>4451</v>
      </c>
      <c r="AC311" s="109">
        <v>40534</v>
      </c>
      <c r="AD311" s="85" t="s">
        <v>5965</v>
      </c>
      <c r="AE311" s="88" t="s">
        <v>5966</v>
      </c>
      <c r="AF311" s="113">
        <v>600</v>
      </c>
      <c r="AG311" s="85" t="s">
        <v>5967</v>
      </c>
      <c r="AH311" s="85" t="s">
        <v>5968</v>
      </c>
      <c r="AI311" s="85" t="s">
        <v>4370</v>
      </c>
      <c r="AJ311" s="85" t="s">
        <v>5969</v>
      </c>
      <c r="AK311" s="85" t="s">
        <v>4337</v>
      </c>
      <c r="AL311" s="90"/>
      <c r="AM311" s="85" t="s">
        <v>4372</v>
      </c>
      <c r="AN311" s="85" t="s">
        <v>5970</v>
      </c>
      <c r="AO311" s="85" t="s">
        <v>5971</v>
      </c>
      <c r="AP311" s="88">
        <v>170</v>
      </c>
      <c r="AQ311" s="88">
        <v>60</v>
      </c>
      <c r="AR311" s="85" t="s">
        <v>4428</v>
      </c>
    </row>
    <row r="312" s="66" customFormat="1" spans="2:44">
      <c r="B312" s="91" t="s">
        <v>4324</v>
      </c>
      <c r="C312" s="92">
        <v>309</v>
      </c>
      <c r="D312" s="93">
        <v>252610122</v>
      </c>
      <c r="E312" s="94" t="s">
        <v>1339</v>
      </c>
      <c r="F312" s="95" t="s">
        <v>1340</v>
      </c>
      <c r="G312" s="96" t="s">
        <v>1340</v>
      </c>
      <c r="H312" s="97"/>
      <c r="I312" s="96" t="s">
        <v>1339</v>
      </c>
      <c r="J312" s="96" t="s">
        <v>1339</v>
      </c>
      <c r="K312" s="97"/>
      <c r="L312" s="97"/>
      <c r="M312" s="98"/>
      <c r="N312" s="97"/>
      <c r="O312" s="97"/>
      <c r="P312" s="99"/>
      <c r="Q312" s="96"/>
      <c r="R312" s="96"/>
      <c r="S312" s="96"/>
      <c r="T312" s="88">
        <f t="shared" si="4"/>
        <v>0</v>
      </c>
      <c r="U312" s="97"/>
      <c r="V312" s="100"/>
      <c r="W312" s="101"/>
      <c r="X312" s="101"/>
      <c r="Y312" s="101"/>
      <c r="Z312" s="101"/>
      <c r="AA312" s="101"/>
      <c r="AB312" s="101"/>
      <c r="AC312" s="101"/>
      <c r="AD312" s="97"/>
      <c r="AE312" s="100"/>
      <c r="AF312" s="100"/>
      <c r="AG312" s="97"/>
      <c r="AH312" s="97"/>
      <c r="AI312" s="97"/>
      <c r="AJ312" s="97"/>
      <c r="AK312" s="97"/>
      <c r="AL312" s="97"/>
      <c r="AM312" s="97"/>
      <c r="AN312" s="97"/>
      <c r="AO312" s="97"/>
      <c r="AP312" s="100"/>
      <c r="AQ312" s="100"/>
      <c r="AR312" s="97"/>
    </row>
    <row r="313" spans="2:44">
      <c r="B313" s="69" t="s">
        <v>4355</v>
      </c>
      <c r="C313" s="81">
        <v>310</v>
      </c>
      <c r="D313" s="82">
        <v>252610171</v>
      </c>
      <c r="E313" s="83" t="s">
        <v>1062</v>
      </c>
      <c r="F313" s="84" t="s">
        <v>1063</v>
      </c>
      <c r="G313" s="85" t="s">
        <v>4162</v>
      </c>
      <c r="H313" s="85" t="s">
        <v>5972</v>
      </c>
      <c r="I313" s="85" t="s">
        <v>1062</v>
      </c>
      <c r="J313" s="86" t="s">
        <v>1062</v>
      </c>
      <c r="K313" s="85" t="s">
        <v>89</v>
      </c>
      <c r="L313" s="85" t="s">
        <v>4343</v>
      </c>
      <c r="M313" s="87">
        <v>40141</v>
      </c>
      <c r="N313" s="85" t="s">
        <v>4307</v>
      </c>
      <c r="O313" s="85" t="s">
        <v>4308</v>
      </c>
      <c r="P313" s="99">
        <v>1</v>
      </c>
      <c r="Q313" s="99">
        <v>1</v>
      </c>
      <c r="R313" s="99">
        <v>0</v>
      </c>
      <c r="S313" s="99">
        <v>0</v>
      </c>
      <c r="T313" s="88">
        <f t="shared" si="4"/>
        <v>1</v>
      </c>
      <c r="U313" s="85" t="s">
        <v>4873</v>
      </c>
      <c r="V313" s="88" t="s">
        <v>4595</v>
      </c>
      <c r="W313" s="109" t="s">
        <v>5973</v>
      </c>
      <c r="X313" s="109" t="s">
        <v>4714</v>
      </c>
      <c r="Y313" s="109" t="s">
        <v>4703</v>
      </c>
      <c r="Z313" s="109" t="s">
        <v>5974</v>
      </c>
      <c r="AA313" s="109" t="s">
        <v>5260</v>
      </c>
      <c r="AB313" s="109" t="s">
        <v>4562</v>
      </c>
      <c r="AC313" s="109">
        <v>40213</v>
      </c>
      <c r="AD313" s="85" t="s">
        <v>5975</v>
      </c>
      <c r="AE313" s="88" t="s">
        <v>4422</v>
      </c>
      <c r="AF313" s="113">
        <v>935</v>
      </c>
      <c r="AG313" s="85" t="s">
        <v>5976</v>
      </c>
      <c r="AH313" s="85" t="s">
        <v>5977</v>
      </c>
      <c r="AI313" s="85" t="s">
        <v>4456</v>
      </c>
      <c r="AJ313" s="85" t="s">
        <v>4456</v>
      </c>
      <c r="AK313" s="85" t="s">
        <v>4320</v>
      </c>
      <c r="AL313" s="90"/>
      <c r="AM313" s="85" t="s">
        <v>4372</v>
      </c>
      <c r="AN313" s="85" t="s">
        <v>5874</v>
      </c>
      <c r="AO313" s="90"/>
      <c r="AP313" s="88">
        <v>165</v>
      </c>
      <c r="AQ313" s="88">
        <v>60</v>
      </c>
      <c r="AR313" s="85" t="s">
        <v>4538</v>
      </c>
    </row>
    <row r="314" spans="2:44">
      <c r="B314" s="69" t="s">
        <v>4568</v>
      </c>
      <c r="C314" s="81">
        <v>311</v>
      </c>
      <c r="D314" s="82">
        <v>252610218</v>
      </c>
      <c r="E314" s="83" t="s">
        <v>2022</v>
      </c>
      <c r="F314" s="84" t="s">
        <v>2023</v>
      </c>
      <c r="G314" s="159" t="s">
        <v>5978</v>
      </c>
      <c r="H314" s="85" t="s">
        <v>5979</v>
      </c>
      <c r="I314" s="159" t="s">
        <v>5980</v>
      </c>
      <c r="J314" s="157" t="s">
        <v>2022</v>
      </c>
      <c r="K314" s="85" t="s">
        <v>89</v>
      </c>
      <c r="L314" s="85" t="s">
        <v>5137</v>
      </c>
      <c r="M314" s="87">
        <v>39994</v>
      </c>
      <c r="N314" s="85" t="s">
        <v>4460</v>
      </c>
      <c r="O314" s="85" t="s">
        <v>4344</v>
      </c>
      <c r="P314" s="99">
        <v>1</v>
      </c>
      <c r="Q314" s="99">
        <v>0</v>
      </c>
      <c r="R314" s="99">
        <v>0</v>
      </c>
      <c r="S314" s="99">
        <v>0</v>
      </c>
      <c r="T314" s="88">
        <f t="shared" si="4"/>
        <v>0</v>
      </c>
      <c r="U314" s="85" t="s">
        <v>4791</v>
      </c>
      <c r="V314" s="88" t="s">
        <v>4358</v>
      </c>
      <c r="W314" s="109" t="s">
        <v>5981</v>
      </c>
      <c r="X314" s="109" t="s">
        <v>4477</v>
      </c>
      <c r="Y314" s="109" t="s">
        <v>4419</v>
      </c>
      <c r="Z314" s="109" t="s">
        <v>5982</v>
      </c>
      <c r="AA314" s="109" t="s">
        <v>4634</v>
      </c>
      <c r="AB314" s="109" t="s">
        <v>4479</v>
      </c>
      <c r="AC314" s="109">
        <v>40534</v>
      </c>
      <c r="AD314" s="85" t="s">
        <v>5983</v>
      </c>
      <c r="AE314" s="88" t="s">
        <v>4380</v>
      </c>
      <c r="AF314" s="88" t="s">
        <v>4348</v>
      </c>
      <c r="AG314" s="85" t="s">
        <v>5984</v>
      </c>
      <c r="AH314" s="85" t="s">
        <v>5985</v>
      </c>
      <c r="AI314" s="85" t="s">
        <v>5008</v>
      </c>
      <c r="AJ314" s="85" t="s">
        <v>5008</v>
      </c>
      <c r="AK314" s="85" t="s">
        <v>4337</v>
      </c>
      <c r="AL314" s="85" t="s">
        <v>4406</v>
      </c>
      <c r="AM314" s="85" t="s">
        <v>4372</v>
      </c>
      <c r="AN314" s="85" t="s">
        <v>5986</v>
      </c>
      <c r="AO314" s="85" t="s">
        <v>5987</v>
      </c>
      <c r="AP314" s="88">
        <v>165</v>
      </c>
      <c r="AQ314" s="88">
        <v>45</v>
      </c>
      <c r="AR314" s="85" t="s">
        <v>4415</v>
      </c>
    </row>
    <row r="315" s="66" customFormat="1" spans="2:44">
      <c r="B315" s="91" t="s">
        <v>4323</v>
      </c>
      <c r="C315" s="92">
        <v>312</v>
      </c>
      <c r="D315" s="93">
        <v>252610267</v>
      </c>
      <c r="E315" s="94" t="s">
        <v>1921</v>
      </c>
      <c r="F315" s="95" t="s">
        <v>1922</v>
      </c>
      <c r="G315" s="160" t="s">
        <v>1922</v>
      </c>
      <c r="H315" s="97"/>
      <c r="I315" s="160" t="s">
        <v>1921</v>
      </c>
      <c r="J315" s="160" t="s">
        <v>1921</v>
      </c>
      <c r="K315" s="97"/>
      <c r="L315" s="97"/>
      <c r="M315" s="98"/>
      <c r="N315" s="97"/>
      <c r="O315" s="97"/>
      <c r="P315" s="88"/>
      <c r="Q315" s="96"/>
      <c r="R315" s="96"/>
      <c r="S315" s="96"/>
      <c r="T315" s="88">
        <f t="shared" si="4"/>
        <v>0</v>
      </c>
      <c r="U315" s="97"/>
      <c r="V315" s="100"/>
      <c r="W315" s="101"/>
      <c r="X315" s="101"/>
      <c r="Y315" s="101"/>
      <c r="Z315" s="101"/>
      <c r="AA315" s="101"/>
      <c r="AB315" s="101"/>
      <c r="AC315" s="101"/>
      <c r="AD315" s="97"/>
      <c r="AE315" s="100"/>
      <c r="AF315" s="100"/>
      <c r="AG315" s="97"/>
      <c r="AH315" s="97"/>
      <c r="AI315" s="97"/>
      <c r="AJ315" s="97"/>
      <c r="AK315" s="97"/>
      <c r="AL315" s="97"/>
      <c r="AM315" s="97"/>
      <c r="AN315" s="97"/>
      <c r="AO315" s="97"/>
      <c r="AP315" s="100"/>
      <c r="AQ315" s="100"/>
      <c r="AR315" s="97"/>
    </row>
    <row r="316" s="66" customFormat="1" spans="2:44">
      <c r="B316" s="91" t="s">
        <v>4354</v>
      </c>
      <c r="C316" s="92">
        <v>313</v>
      </c>
      <c r="D316" s="93">
        <v>252610073</v>
      </c>
      <c r="E316" s="94" t="s">
        <v>2024</v>
      </c>
      <c r="F316" s="95" t="s">
        <v>2025</v>
      </c>
      <c r="G316" s="161" t="s">
        <v>4163</v>
      </c>
      <c r="H316" s="97"/>
      <c r="I316" s="161" t="s">
        <v>2024</v>
      </c>
      <c r="J316" s="161" t="s">
        <v>2024</v>
      </c>
      <c r="K316" s="97"/>
      <c r="L316" s="97"/>
      <c r="M316" s="98"/>
      <c r="N316" s="97"/>
      <c r="O316" s="97"/>
      <c r="P316" s="99"/>
      <c r="Q316" s="96"/>
      <c r="R316" s="96"/>
      <c r="S316" s="96"/>
      <c r="T316" s="88">
        <f t="shared" si="4"/>
        <v>0</v>
      </c>
      <c r="U316" s="97"/>
      <c r="V316" s="100"/>
      <c r="W316" s="101"/>
      <c r="X316" s="101"/>
      <c r="Y316" s="101"/>
      <c r="Z316" s="101"/>
      <c r="AA316" s="101"/>
      <c r="AB316" s="101"/>
      <c r="AC316" s="101"/>
      <c r="AD316" s="97"/>
      <c r="AE316" s="100"/>
      <c r="AF316" s="100"/>
      <c r="AG316" s="97"/>
      <c r="AH316" s="97"/>
      <c r="AI316" s="97"/>
      <c r="AJ316" s="97"/>
      <c r="AK316" s="97"/>
      <c r="AL316" s="97"/>
      <c r="AM316" s="97"/>
      <c r="AN316" s="97"/>
      <c r="AO316" s="97"/>
      <c r="AP316" s="100"/>
      <c r="AQ316" s="100"/>
      <c r="AR316" s="97"/>
    </row>
    <row r="317" spans="2:44">
      <c r="B317" s="69" t="s">
        <v>4325</v>
      </c>
      <c r="C317" s="81">
        <v>314</v>
      </c>
      <c r="D317" s="82">
        <v>252610030</v>
      </c>
      <c r="E317" s="102" t="s">
        <v>1341</v>
      </c>
      <c r="F317" s="103" t="s">
        <v>1342</v>
      </c>
      <c r="G317" s="156" t="s">
        <v>4164</v>
      </c>
      <c r="H317" s="104" t="s">
        <v>5988</v>
      </c>
      <c r="I317" s="156" t="s">
        <v>1341</v>
      </c>
      <c r="J317" s="157" t="s">
        <v>1341</v>
      </c>
      <c r="K317" s="104" t="s">
        <v>89</v>
      </c>
      <c r="L317" s="104" t="s">
        <v>5989</v>
      </c>
      <c r="M317" s="105">
        <v>40141</v>
      </c>
      <c r="N317" s="104" t="s">
        <v>4541</v>
      </c>
      <c r="O317" s="104" t="s">
        <v>5545</v>
      </c>
      <c r="P317" s="88">
        <v>1</v>
      </c>
      <c r="Q317" s="88">
        <v>1</v>
      </c>
      <c r="R317" s="88">
        <v>0</v>
      </c>
      <c r="S317" s="88">
        <v>0</v>
      </c>
      <c r="T317" s="88">
        <f t="shared" si="4"/>
        <v>1</v>
      </c>
      <c r="U317" s="104" t="s">
        <v>4805</v>
      </c>
      <c r="V317" s="99" t="s">
        <v>4310</v>
      </c>
      <c r="W317" s="108" t="s">
        <v>5990</v>
      </c>
      <c r="X317" s="108" t="s">
        <v>4376</v>
      </c>
      <c r="Y317" s="108" t="s">
        <v>4376</v>
      </c>
      <c r="Z317" s="108" t="s">
        <v>4634</v>
      </c>
      <c r="AA317" s="108" t="s">
        <v>5991</v>
      </c>
      <c r="AB317" s="108" t="s">
        <v>4364</v>
      </c>
      <c r="AC317" s="108">
        <v>40534</v>
      </c>
      <c r="AD317" s="104" t="s">
        <v>5992</v>
      </c>
      <c r="AE317" s="99" t="s">
        <v>4333</v>
      </c>
      <c r="AF317" s="99" t="s">
        <v>4750</v>
      </c>
      <c r="AG317" s="104" t="s">
        <v>5993</v>
      </c>
      <c r="AH317" s="104" t="s">
        <v>5994</v>
      </c>
      <c r="AI317" s="104" t="s">
        <v>4456</v>
      </c>
      <c r="AJ317" s="104" t="s">
        <v>5390</v>
      </c>
      <c r="AK317" s="104" t="s">
        <v>4320</v>
      </c>
      <c r="AL317" s="104" t="s">
        <v>4406</v>
      </c>
      <c r="AM317" s="104" t="s">
        <v>4372</v>
      </c>
      <c r="AN317" s="104" t="s">
        <v>5105</v>
      </c>
      <c r="AO317" s="104" t="s">
        <v>4555</v>
      </c>
      <c r="AP317" s="99">
        <v>168</v>
      </c>
      <c r="AQ317" s="99">
        <v>52</v>
      </c>
      <c r="AR317" s="104" t="s">
        <v>4443</v>
      </c>
    </row>
    <row r="318" s="66" customFormat="1" spans="2:44">
      <c r="B318" s="91" t="s">
        <v>4341</v>
      </c>
      <c r="C318" s="92">
        <v>315</v>
      </c>
      <c r="D318" s="93">
        <v>252610314</v>
      </c>
      <c r="E318" s="94" t="s">
        <v>1435</v>
      </c>
      <c r="F318" s="95" t="s">
        <v>1436</v>
      </c>
      <c r="G318" s="160" t="s">
        <v>1436</v>
      </c>
      <c r="H318" s="97"/>
      <c r="I318" s="160" t="s">
        <v>1435</v>
      </c>
      <c r="J318" s="160" t="s">
        <v>1435</v>
      </c>
      <c r="K318" s="97"/>
      <c r="L318" s="97"/>
      <c r="M318" s="98"/>
      <c r="N318" s="97"/>
      <c r="O318" s="97"/>
      <c r="P318" s="99"/>
      <c r="Q318" s="96"/>
      <c r="R318" s="96"/>
      <c r="S318" s="96"/>
      <c r="T318" s="88">
        <f t="shared" si="4"/>
        <v>0</v>
      </c>
      <c r="U318" s="97"/>
      <c r="V318" s="100"/>
      <c r="W318" s="101"/>
      <c r="X318" s="101"/>
      <c r="Y318" s="101"/>
      <c r="Z318" s="101"/>
      <c r="AA318" s="101"/>
      <c r="AB318" s="101"/>
      <c r="AC318" s="101"/>
      <c r="AD318" s="97"/>
      <c r="AE318" s="100"/>
      <c r="AF318" s="100"/>
      <c r="AG318" s="97"/>
      <c r="AH318" s="97"/>
      <c r="AI318" s="97"/>
      <c r="AJ318" s="97"/>
      <c r="AK318" s="97"/>
      <c r="AL318" s="97"/>
      <c r="AM318" s="97"/>
      <c r="AN318" s="97"/>
      <c r="AO318" s="97"/>
      <c r="AP318" s="100"/>
      <c r="AQ318" s="100"/>
      <c r="AR318" s="97"/>
    </row>
    <row r="319" spans="2:44">
      <c r="B319" s="69" t="s">
        <v>4642</v>
      </c>
      <c r="C319" s="81">
        <v>316</v>
      </c>
      <c r="D319" s="82">
        <v>252610556</v>
      </c>
      <c r="E319" s="83" t="s">
        <v>1728</v>
      </c>
      <c r="F319" s="84" t="s">
        <v>1729</v>
      </c>
      <c r="G319" s="156" t="s">
        <v>4165</v>
      </c>
      <c r="H319" s="104" t="s">
        <v>5995</v>
      </c>
      <c r="I319" s="156" t="s">
        <v>1728</v>
      </c>
      <c r="J319" s="157" t="s">
        <v>1728</v>
      </c>
      <c r="K319" s="104" t="s">
        <v>89</v>
      </c>
      <c r="L319" s="104" t="s">
        <v>5996</v>
      </c>
      <c r="M319" s="105">
        <v>39850</v>
      </c>
      <c r="N319" s="104" t="s">
        <v>4307</v>
      </c>
      <c r="O319" s="104" t="s">
        <v>4308</v>
      </c>
      <c r="P319" s="88">
        <v>2</v>
      </c>
      <c r="Q319" s="88">
        <v>1</v>
      </c>
      <c r="R319" s="88">
        <v>0</v>
      </c>
      <c r="S319" s="88">
        <v>0</v>
      </c>
      <c r="T319" s="88">
        <f t="shared" si="4"/>
        <v>1</v>
      </c>
      <c r="U319" s="104" t="s">
        <v>4308</v>
      </c>
      <c r="V319" s="99" t="s">
        <v>4330</v>
      </c>
      <c r="W319" s="108" t="s">
        <v>5997</v>
      </c>
      <c r="X319" s="108">
        <v>4</v>
      </c>
      <c r="Y319" s="108">
        <v>4</v>
      </c>
      <c r="Z319" s="108" t="s">
        <v>5998</v>
      </c>
      <c r="AA319" s="108" t="s">
        <v>4876</v>
      </c>
      <c r="AB319" s="108" t="s">
        <v>5529</v>
      </c>
      <c r="AC319" s="108">
        <v>40163</v>
      </c>
      <c r="AD319" s="104" t="s">
        <v>5999</v>
      </c>
      <c r="AE319" s="99" t="s">
        <v>4422</v>
      </c>
      <c r="AF319" s="99" t="s">
        <v>6000</v>
      </c>
      <c r="AG319" s="104" t="s">
        <v>6001</v>
      </c>
      <c r="AH319" s="104" t="s">
        <v>6002</v>
      </c>
      <c r="AI319" s="104" t="s">
        <v>4615</v>
      </c>
      <c r="AJ319" s="104" t="s">
        <v>6003</v>
      </c>
      <c r="AK319" s="104" t="s">
        <v>4338</v>
      </c>
      <c r="AL319" s="104" t="s">
        <v>6004</v>
      </c>
      <c r="AM319" s="104" t="s">
        <v>4402</v>
      </c>
      <c r="AN319" s="104" t="s">
        <v>6005</v>
      </c>
      <c r="AO319" s="104" t="s">
        <v>6006</v>
      </c>
      <c r="AP319" s="99">
        <v>160</v>
      </c>
      <c r="AQ319" s="99">
        <v>55</v>
      </c>
      <c r="AR319" s="104" t="s">
        <v>4428</v>
      </c>
    </row>
    <row r="320" spans="2:44">
      <c r="B320" s="69" t="s">
        <v>4386</v>
      </c>
      <c r="C320" s="81">
        <v>317</v>
      </c>
      <c r="D320" s="82">
        <v>252610363</v>
      </c>
      <c r="E320" s="83" t="s">
        <v>1536</v>
      </c>
      <c r="F320" s="84" t="s">
        <v>1537</v>
      </c>
      <c r="G320" s="162" t="s">
        <v>4166</v>
      </c>
      <c r="H320" s="85" t="s">
        <v>6007</v>
      </c>
      <c r="I320" s="162" t="s">
        <v>1536</v>
      </c>
      <c r="J320" s="163" t="s">
        <v>1536</v>
      </c>
      <c r="K320" s="85" t="s">
        <v>89</v>
      </c>
      <c r="L320" s="85" t="s">
        <v>4343</v>
      </c>
      <c r="M320" s="87">
        <v>40091</v>
      </c>
      <c r="N320" s="85" t="s">
        <v>4307</v>
      </c>
      <c r="O320" s="85" t="s">
        <v>4619</v>
      </c>
      <c r="P320" s="99">
        <v>3</v>
      </c>
      <c r="Q320" s="99">
        <v>2</v>
      </c>
      <c r="R320" s="99">
        <v>0</v>
      </c>
      <c r="S320" s="99">
        <v>0</v>
      </c>
      <c r="T320" s="88">
        <f t="shared" si="4"/>
        <v>2</v>
      </c>
      <c r="U320" s="85" t="s">
        <v>4675</v>
      </c>
      <c r="V320" s="88">
        <v>0</v>
      </c>
      <c r="W320" s="109" t="s">
        <v>6008</v>
      </c>
      <c r="X320" s="109" t="s">
        <v>6009</v>
      </c>
      <c r="Y320" s="109" t="s">
        <v>6010</v>
      </c>
      <c r="Z320" s="109" t="s">
        <v>4406</v>
      </c>
      <c r="AA320" s="109" t="s">
        <v>4765</v>
      </c>
      <c r="AB320" s="109" t="s">
        <v>4656</v>
      </c>
      <c r="AC320" s="109">
        <v>40213</v>
      </c>
      <c r="AD320" s="85" t="s">
        <v>6011</v>
      </c>
      <c r="AE320" s="88" t="s">
        <v>4669</v>
      </c>
      <c r="AF320" s="88" t="s">
        <v>6012</v>
      </c>
      <c r="AG320" s="85" t="s">
        <v>6013</v>
      </c>
      <c r="AH320" s="85" t="s">
        <v>6014</v>
      </c>
      <c r="AI320" s="85" t="s">
        <v>4317</v>
      </c>
      <c r="AJ320" s="85" t="s">
        <v>4317</v>
      </c>
      <c r="AK320" s="85" t="s">
        <v>4320</v>
      </c>
      <c r="AL320" s="90"/>
      <c r="AM320" s="85" t="s">
        <v>4372</v>
      </c>
      <c r="AN320" s="85" t="s">
        <v>6015</v>
      </c>
      <c r="AO320" s="85"/>
      <c r="AP320" s="88">
        <v>152</v>
      </c>
      <c r="AQ320" s="88">
        <v>43</v>
      </c>
      <c r="AR320" s="85" t="s">
        <v>4415</v>
      </c>
    </row>
    <row r="321" spans="2:44">
      <c r="B321" s="69" t="s">
        <v>4674</v>
      </c>
      <c r="C321" s="81">
        <v>318</v>
      </c>
      <c r="D321" s="82">
        <v>252610411</v>
      </c>
      <c r="E321" s="83" t="s">
        <v>1835</v>
      </c>
      <c r="F321" s="84" t="s">
        <v>1836</v>
      </c>
      <c r="G321" s="156" t="s">
        <v>1836</v>
      </c>
      <c r="H321" s="104" t="s">
        <v>6016</v>
      </c>
      <c r="I321" s="156" t="s">
        <v>1835</v>
      </c>
      <c r="J321" s="157" t="s">
        <v>1835</v>
      </c>
      <c r="K321" s="104" t="s">
        <v>89</v>
      </c>
      <c r="L321" s="104" t="s">
        <v>4343</v>
      </c>
      <c r="M321" s="105">
        <v>39910</v>
      </c>
      <c r="N321" s="104" t="s">
        <v>4307</v>
      </c>
      <c r="O321" s="104" t="s">
        <v>4308</v>
      </c>
      <c r="P321" s="88">
        <v>2</v>
      </c>
      <c r="Q321" s="88">
        <v>3</v>
      </c>
      <c r="R321" s="88">
        <v>0</v>
      </c>
      <c r="S321" s="88">
        <v>0</v>
      </c>
      <c r="T321" s="88">
        <f t="shared" si="4"/>
        <v>3</v>
      </c>
      <c r="U321" s="104" t="s">
        <v>4308</v>
      </c>
      <c r="V321" s="99">
        <v>0</v>
      </c>
      <c r="W321" s="108" t="s">
        <v>6017</v>
      </c>
      <c r="X321" s="108" t="s">
        <v>4391</v>
      </c>
      <c r="Y321" s="108" t="s">
        <v>4448</v>
      </c>
      <c r="Z321" s="108" t="s">
        <v>4478</v>
      </c>
      <c r="AA321" s="108" t="s">
        <v>5643</v>
      </c>
      <c r="AB321" s="108" t="s">
        <v>6018</v>
      </c>
      <c r="AC321" s="108">
        <v>40534</v>
      </c>
      <c r="AD321" s="104" t="s">
        <v>6019</v>
      </c>
      <c r="AE321" s="99" t="s">
        <v>6020</v>
      </c>
      <c r="AF321" s="99" t="s">
        <v>4348</v>
      </c>
      <c r="AG321" s="104" t="s">
        <v>6021</v>
      </c>
      <c r="AH321" s="104" t="s">
        <v>6022</v>
      </c>
      <c r="AI321" s="104" t="s">
        <v>4615</v>
      </c>
      <c r="AJ321" s="104" t="s">
        <v>4351</v>
      </c>
      <c r="AK321" s="104" t="s">
        <v>4402</v>
      </c>
      <c r="AL321" s="104" t="s">
        <v>6023</v>
      </c>
      <c r="AM321" s="104" t="s">
        <v>4337</v>
      </c>
      <c r="AN321" s="104" t="s">
        <v>6024</v>
      </c>
      <c r="AO321" s="104" t="s">
        <v>4994</v>
      </c>
      <c r="AP321" s="99">
        <v>167</v>
      </c>
      <c r="AQ321" s="99">
        <v>50</v>
      </c>
      <c r="AR321" s="104" t="s">
        <v>4415</v>
      </c>
    </row>
    <row r="322" spans="2:44">
      <c r="B322" s="69" t="s">
        <v>4325</v>
      </c>
      <c r="C322" s="81">
        <v>319</v>
      </c>
      <c r="D322" s="82">
        <v>252610031</v>
      </c>
      <c r="E322" s="102" t="s">
        <v>1923</v>
      </c>
      <c r="F322" s="103" t="s">
        <v>1924</v>
      </c>
      <c r="G322" s="159" t="s">
        <v>1924</v>
      </c>
      <c r="H322" s="85" t="s">
        <v>6025</v>
      </c>
      <c r="I322" s="159" t="s">
        <v>1923</v>
      </c>
      <c r="J322" s="157" t="s">
        <v>1923</v>
      </c>
      <c r="K322" s="85" t="s">
        <v>89</v>
      </c>
      <c r="L322" s="85" t="s">
        <v>4343</v>
      </c>
      <c r="M322" s="87">
        <v>40307</v>
      </c>
      <c r="N322" s="85" t="s">
        <v>4307</v>
      </c>
      <c r="O322" s="85" t="s">
        <v>4344</v>
      </c>
      <c r="P322" s="99">
        <v>1</v>
      </c>
      <c r="Q322" s="99">
        <v>1</v>
      </c>
      <c r="R322" s="99">
        <v>0</v>
      </c>
      <c r="S322" s="99">
        <v>0</v>
      </c>
      <c r="T322" s="88">
        <f t="shared" si="4"/>
        <v>1</v>
      </c>
      <c r="U322" s="85" t="s">
        <v>4344</v>
      </c>
      <c r="V322" s="88">
        <v>0</v>
      </c>
      <c r="W322" s="109" t="s">
        <v>6026</v>
      </c>
      <c r="X322" s="109" t="s">
        <v>4360</v>
      </c>
      <c r="Y322" s="109" t="s">
        <v>4419</v>
      </c>
      <c r="Z322" s="109" t="s">
        <v>6027</v>
      </c>
      <c r="AA322" s="109" t="s">
        <v>4363</v>
      </c>
      <c r="AB322" s="109" t="s">
        <v>4378</v>
      </c>
      <c r="AC322" s="109">
        <v>40534</v>
      </c>
      <c r="AD322" s="85" t="s">
        <v>6028</v>
      </c>
      <c r="AE322" s="88" t="s">
        <v>4422</v>
      </c>
      <c r="AF322" s="88" t="s">
        <v>4502</v>
      </c>
      <c r="AG322" s="85" t="s">
        <v>6029</v>
      </c>
      <c r="AH322" s="85" t="s">
        <v>6030</v>
      </c>
      <c r="AI322" s="85" t="s">
        <v>4318</v>
      </c>
      <c r="AJ322" s="85" t="s">
        <v>4318</v>
      </c>
      <c r="AK322" s="85" t="s">
        <v>4320</v>
      </c>
      <c r="AL322" s="90"/>
      <c r="AM322" s="85" t="s">
        <v>4372</v>
      </c>
      <c r="AN322" s="85" t="s">
        <v>5497</v>
      </c>
      <c r="AO322" s="85" t="s">
        <v>6031</v>
      </c>
      <c r="AP322" s="88">
        <v>177</v>
      </c>
      <c r="AQ322" s="88">
        <v>48</v>
      </c>
      <c r="AR322" s="85" t="s">
        <v>4428</v>
      </c>
    </row>
    <row r="323" spans="2:44">
      <c r="B323" s="69" t="s">
        <v>4304</v>
      </c>
      <c r="C323" s="81">
        <v>320</v>
      </c>
      <c r="D323" s="82">
        <v>252610458</v>
      </c>
      <c r="E323" s="83" t="s">
        <v>1538</v>
      </c>
      <c r="F323" s="84" t="s">
        <v>1539</v>
      </c>
      <c r="G323" s="162" t="s">
        <v>1539</v>
      </c>
      <c r="H323" s="85" t="s">
        <v>6032</v>
      </c>
      <c r="I323" s="162">
        <v>3109423529</v>
      </c>
      <c r="J323" s="163">
        <v>3109423529</v>
      </c>
      <c r="K323" s="85" t="s">
        <v>89</v>
      </c>
      <c r="L323" s="85" t="s">
        <v>4540</v>
      </c>
      <c r="M323" s="87">
        <v>40206</v>
      </c>
      <c r="N323" s="85" t="s">
        <v>4307</v>
      </c>
      <c r="O323" s="85" t="s">
        <v>4308</v>
      </c>
      <c r="P323" s="99">
        <v>3</v>
      </c>
      <c r="Q323" s="99">
        <v>2</v>
      </c>
      <c r="R323" s="99">
        <v>0</v>
      </c>
      <c r="S323" s="99">
        <v>0</v>
      </c>
      <c r="T323" s="88">
        <f t="shared" si="4"/>
        <v>2</v>
      </c>
      <c r="U323" s="85" t="s">
        <v>4308</v>
      </c>
      <c r="V323" s="88" t="s">
        <v>4358</v>
      </c>
      <c r="W323" s="109" t="s">
        <v>6033</v>
      </c>
      <c r="X323" s="109" t="s">
        <v>4714</v>
      </c>
      <c r="Y323" s="109" t="s">
        <v>4714</v>
      </c>
      <c r="Z323" s="109" t="s">
        <v>4478</v>
      </c>
      <c r="AA323" s="109" t="s">
        <v>5260</v>
      </c>
      <c r="AB323" s="109" t="s">
        <v>4705</v>
      </c>
      <c r="AC323" s="109">
        <v>40213</v>
      </c>
      <c r="AD323" s="85" t="s">
        <v>6034</v>
      </c>
      <c r="AE323" s="88" t="s">
        <v>4422</v>
      </c>
      <c r="AF323" s="88" t="s">
        <v>4482</v>
      </c>
      <c r="AG323" s="85" t="s">
        <v>6035</v>
      </c>
      <c r="AH323" s="85" t="s">
        <v>6036</v>
      </c>
      <c r="AI323" s="85" t="s">
        <v>6037</v>
      </c>
      <c r="AJ323" s="85" t="s">
        <v>4406</v>
      </c>
      <c r="AK323" s="85" t="s">
        <v>4319</v>
      </c>
      <c r="AL323" s="90"/>
      <c r="AM323" s="85" t="s">
        <v>4402</v>
      </c>
      <c r="AN323" s="85" t="s">
        <v>4592</v>
      </c>
      <c r="AO323" s="85"/>
      <c r="AP323" s="88">
        <v>159</v>
      </c>
      <c r="AQ323" s="88">
        <v>67</v>
      </c>
      <c r="AR323" s="85" t="s">
        <v>4415</v>
      </c>
    </row>
    <row r="324" spans="2:44">
      <c r="B324" s="69" t="s">
        <v>4354</v>
      </c>
      <c r="C324" s="81">
        <v>321</v>
      </c>
      <c r="D324" s="82">
        <v>252610074</v>
      </c>
      <c r="E324" s="83" t="s">
        <v>1437</v>
      </c>
      <c r="F324" s="84" t="s">
        <v>1438</v>
      </c>
      <c r="G324" s="156" t="s">
        <v>1438</v>
      </c>
      <c r="H324" s="104" t="s">
        <v>6038</v>
      </c>
      <c r="I324" s="156">
        <v>3096412917</v>
      </c>
      <c r="J324" s="157">
        <v>3096412917</v>
      </c>
      <c r="K324" s="104" t="s">
        <v>89</v>
      </c>
      <c r="L324" s="104" t="s">
        <v>4357</v>
      </c>
      <c r="M324" s="105">
        <v>40017</v>
      </c>
      <c r="N324" s="104" t="s">
        <v>4307</v>
      </c>
      <c r="O324" s="104" t="s">
        <v>4308</v>
      </c>
      <c r="P324" s="88">
        <v>3</v>
      </c>
      <c r="Q324" s="88">
        <v>3</v>
      </c>
      <c r="R324" s="88">
        <v>0</v>
      </c>
      <c r="S324" s="88">
        <v>0</v>
      </c>
      <c r="T324" s="88">
        <f t="shared" ref="T324:T387" si="5">Q324+R324+S324</f>
        <v>3</v>
      </c>
      <c r="U324" s="104" t="s">
        <v>4308</v>
      </c>
      <c r="V324" s="99" t="s">
        <v>4358</v>
      </c>
      <c r="W324" s="108" t="s">
        <v>6039</v>
      </c>
      <c r="X324" s="108" t="s">
        <v>4492</v>
      </c>
      <c r="Y324" s="108">
        <v>16</v>
      </c>
      <c r="Z324" s="108" t="s">
        <v>6040</v>
      </c>
      <c r="AA324" s="108" t="s">
        <v>4573</v>
      </c>
      <c r="AB324" s="108" t="s">
        <v>4364</v>
      </c>
      <c r="AC324" s="108">
        <v>40535</v>
      </c>
      <c r="AD324" s="104" t="s">
        <v>6041</v>
      </c>
      <c r="AE324" s="99" t="s">
        <v>4669</v>
      </c>
      <c r="AF324" s="99" t="s">
        <v>6042</v>
      </c>
      <c r="AG324" s="104" t="s">
        <v>6043</v>
      </c>
      <c r="AH324" s="104" t="s">
        <v>6044</v>
      </c>
      <c r="AI324" s="104" t="s">
        <v>4370</v>
      </c>
      <c r="AJ324" s="104" t="s">
        <v>4515</v>
      </c>
      <c r="AK324" s="104" t="s">
        <v>4320</v>
      </c>
      <c r="AL324" s="106"/>
      <c r="AM324" s="104" t="s">
        <v>4372</v>
      </c>
      <c r="AN324" s="104" t="s">
        <v>6045</v>
      </c>
      <c r="AO324" s="106"/>
      <c r="AP324" s="99">
        <v>176</v>
      </c>
      <c r="AQ324" s="99">
        <v>86</v>
      </c>
      <c r="AR324" s="104" t="s">
        <v>4428</v>
      </c>
    </row>
    <row r="325" s="66" customFormat="1" spans="2:44">
      <c r="B325" s="91" t="s">
        <v>4324</v>
      </c>
      <c r="C325" s="92">
        <v>322</v>
      </c>
      <c r="D325" s="93">
        <v>252610123</v>
      </c>
      <c r="E325" s="94" t="s">
        <v>954</v>
      </c>
      <c r="F325" s="164" t="s">
        <v>955</v>
      </c>
      <c r="G325" s="160" t="s">
        <v>955</v>
      </c>
      <c r="H325" s="97"/>
      <c r="I325" s="160" t="s">
        <v>954</v>
      </c>
      <c r="J325" s="160" t="s">
        <v>954</v>
      </c>
      <c r="K325" s="97"/>
      <c r="L325" s="97"/>
      <c r="M325" s="98"/>
      <c r="N325" s="97"/>
      <c r="O325" s="97"/>
      <c r="P325" s="88"/>
      <c r="Q325" s="96"/>
      <c r="R325" s="96"/>
      <c r="S325" s="96"/>
      <c r="T325" s="88">
        <f t="shared" si="5"/>
        <v>0</v>
      </c>
      <c r="U325" s="97"/>
      <c r="V325" s="100"/>
      <c r="W325" s="101"/>
      <c r="X325" s="101"/>
      <c r="Y325" s="101"/>
      <c r="Z325" s="101"/>
      <c r="AA325" s="101"/>
      <c r="AB325" s="101"/>
      <c r="AC325" s="101"/>
      <c r="AD325" s="97"/>
      <c r="AE325" s="100"/>
      <c r="AF325" s="100"/>
      <c r="AG325" s="97"/>
      <c r="AH325" s="97"/>
      <c r="AI325" s="97"/>
      <c r="AJ325" s="97"/>
      <c r="AK325" s="97"/>
      <c r="AL325" s="97"/>
      <c r="AM325" s="97"/>
      <c r="AN325" s="97"/>
      <c r="AO325" s="97"/>
      <c r="AP325" s="100"/>
      <c r="AQ325" s="100"/>
      <c r="AR325" s="97"/>
    </row>
    <row r="326" spans="2:44">
      <c r="B326" s="69" t="s">
        <v>4373</v>
      </c>
      <c r="C326" s="81">
        <v>323</v>
      </c>
      <c r="D326" s="82">
        <v>252610505</v>
      </c>
      <c r="E326" s="83" t="s">
        <v>1634</v>
      </c>
      <c r="F326" s="84" t="s">
        <v>1635</v>
      </c>
      <c r="G326" s="156" t="s">
        <v>1635</v>
      </c>
      <c r="H326" s="104" t="s">
        <v>6046</v>
      </c>
      <c r="I326" s="156" t="s">
        <v>1634</v>
      </c>
      <c r="J326" s="157" t="s">
        <v>1634</v>
      </c>
      <c r="K326" s="104" t="s">
        <v>89</v>
      </c>
      <c r="L326" s="104" t="s">
        <v>5137</v>
      </c>
      <c r="M326" s="105">
        <v>40190</v>
      </c>
      <c r="N326" s="104" t="s">
        <v>4541</v>
      </c>
      <c r="O326" s="104" t="s">
        <v>4344</v>
      </c>
      <c r="P326" s="88">
        <v>1</v>
      </c>
      <c r="Q326" s="88">
        <v>1</v>
      </c>
      <c r="R326" s="88">
        <v>0</v>
      </c>
      <c r="S326" s="88">
        <v>0</v>
      </c>
      <c r="T326" s="88">
        <f t="shared" si="5"/>
        <v>1</v>
      </c>
      <c r="U326" s="104" t="s">
        <v>6047</v>
      </c>
      <c r="V326" s="99" t="s">
        <v>4595</v>
      </c>
      <c r="W326" s="108" t="s">
        <v>6048</v>
      </c>
      <c r="X326" s="108" t="s">
        <v>4703</v>
      </c>
      <c r="Y326" s="108" t="s">
        <v>4431</v>
      </c>
      <c r="Z326" s="108" t="s">
        <v>5267</v>
      </c>
      <c r="AA326" s="108" t="s">
        <v>6049</v>
      </c>
      <c r="AB326" s="108" t="s">
        <v>4766</v>
      </c>
      <c r="AC326" s="108">
        <v>40213</v>
      </c>
      <c r="AD326" s="104" t="s">
        <v>6050</v>
      </c>
      <c r="AE326" s="99" t="s">
        <v>5352</v>
      </c>
      <c r="AF326" s="99" t="s">
        <v>6051</v>
      </c>
      <c r="AG326" s="104" t="s">
        <v>6052</v>
      </c>
      <c r="AH326" s="104" t="s">
        <v>6053</v>
      </c>
      <c r="AI326" s="104" t="s">
        <v>4370</v>
      </c>
      <c r="AJ326" s="104" t="s">
        <v>6054</v>
      </c>
      <c r="AK326" s="104" t="s">
        <v>4337</v>
      </c>
      <c r="AL326" s="106"/>
      <c r="AM326" s="104" t="s">
        <v>4337</v>
      </c>
      <c r="AN326" s="104" t="s">
        <v>4719</v>
      </c>
      <c r="AO326" s="106"/>
      <c r="AP326" s="99">
        <v>165</v>
      </c>
      <c r="AQ326" s="99">
        <v>47</v>
      </c>
      <c r="AR326" s="104" t="s">
        <v>4538</v>
      </c>
    </row>
    <row r="327" s="66" customFormat="1" spans="2:44">
      <c r="B327" s="91" t="s">
        <v>4355</v>
      </c>
      <c r="C327" s="92">
        <v>324</v>
      </c>
      <c r="D327" s="93">
        <v>252610172</v>
      </c>
      <c r="E327" s="94" t="s">
        <v>956</v>
      </c>
      <c r="F327" s="95" t="s">
        <v>957</v>
      </c>
      <c r="G327" s="160" t="s">
        <v>957</v>
      </c>
      <c r="H327" s="97"/>
      <c r="I327" s="160" t="s">
        <v>956</v>
      </c>
      <c r="J327" s="160" t="s">
        <v>956</v>
      </c>
      <c r="K327" s="97"/>
      <c r="L327" s="97"/>
      <c r="M327" s="98"/>
      <c r="N327" s="97"/>
      <c r="O327" s="97"/>
      <c r="P327" s="88"/>
      <c r="Q327" s="96"/>
      <c r="R327" s="96"/>
      <c r="S327" s="96"/>
      <c r="T327" s="88">
        <f t="shared" si="5"/>
        <v>0</v>
      </c>
      <c r="U327" s="97"/>
      <c r="V327" s="100"/>
      <c r="W327" s="101"/>
      <c r="X327" s="101"/>
      <c r="Y327" s="101"/>
      <c r="Z327" s="101"/>
      <c r="AA327" s="101"/>
      <c r="AB327" s="101"/>
      <c r="AC327" s="101"/>
      <c r="AD327" s="97"/>
      <c r="AE327" s="100"/>
      <c r="AF327" s="100"/>
      <c r="AG327" s="97"/>
      <c r="AH327" s="97"/>
      <c r="AI327" s="97"/>
      <c r="AJ327" s="97"/>
      <c r="AK327" s="97"/>
      <c r="AL327" s="97"/>
      <c r="AM327" s="97"/>
      <c r="AN327" s="97"/>
      <c r="AO327" s="97"/>
      <c r="AP327" s="100"/>
      <c r="AQ327" s="100"/>
      <c r="AR327" s="97"/>
    </row>
    <row r="328" spans="2:44">
      <c r="B328" s="69" t="s">
        <v>4568</v>
      </c>
      <c r="C328" s="81">
        <v>325</v>
      </c>
      <c r="D328" s="82">
        <v>252610219</v>
      </c>
      <c r="E328" s="83" t="s">
        <v>1636</v>
      </c>
      <c r="F328" s="84" t="s">
        <v>1637</v>
      </c>
      <c r="G328" s="165" t="s">
        <v>4167</v>
      </c>
      <c r="H328" s="104" t="s">
        <v>6055</v>
      </c>
      <c r="I328" s="165" t="s">
        <v>1636</v>
      </c>
      <c r="J328" s="163" t="s">
        <v>1636</v>
      </c>
      <c r="K328" s="104" t="s">
        <v>89</v>
      </c>
      <c r="L328" s="104" t="s">
        <v>4327</v>
      </c>
      <c r="M328" s="105">
        <v>40030</v>
      </c>
      <c r="N328" s="104" t="s">
        <v>4307</v>
      </c>
      <c r="O328" s="104" t="s">
        <v>4308</v>
      </c>
      <c r="P328" s="88">
        <v>1</v>
      </c>
      <c r="Q328" s="88">
        <v>1</v>
      </c>
      <c r="R328" s="88">
        <v>0</v>
      </c>
      <c r="S328" s="88">
        <v>0</v>
      </c>
      <c r="T328" s="88">
        <f t="shared" si="5"/>
        <v>1</v>
      </c>
      <c r="U328" s="104" t="s">
        <v>4791</v>
      </c>
      <c r="V328" s="99">
        <v>0</v>
      </c>
      <c r="W328" s="108" t="s">
        <v>6056</v>
      </c>
      <c r="X328" s="108" t="s">
        <v>4360</v>
      </c>
      <c r="Y328" s="108" t="s">
        <v>4793</v>
      </c>
      <c r="Z328" s="108" t="s">
        <v>6057</v>
      </c>
      <c r="AA328" s="108" t="s">
        <v>6057</v>
      </c>
      <c r="AB328" s="108" t="s">
        <v>4608</v>
      </c>
      <c r="AC328" s="108">
        <v>40212</v>
      </c>
      <c r="AD328" s="104" t="s">
        <v>6058</v>
      </c>
      <c r="AE328" s="99" t="s">
        <v>4410</v>
      </c>
      <c r="AF328" s="99" t="s">
        <v>4469</v>
      </c>
      <c r="AG328" s="104" t="s">
        <v>6059</v>
      </c>
      <c r="AH328" s="104" t="s">
        <v>6060</v>
      </c>
      <c r="AI328" s="104" t="s">
        <v>4318</v>
      </c>
      <c r="AJ328" s="104" t="s">
        <v>4614</v>
      </c>
      <c r="AK328" s="104" t="s">
        <v>4338</v>
      </c>
      <c r="AL328" s="104" t="s">
        <v>6061</v>
      </c>
      <c r="AM328" s="104" t="s">
        <v>4372</v>
      </c>
      <c r="AN328" s="104" t="s">
        <v>6062</v>
      </c>
      <c r="AO328" s="104" t="s">
        <v>6063</v>
      </c>
      <c r="AP328" s="99">
        <v>170</v>
      </c>
      <c r="AQ328" s="99">
        <v>40</v>
      </c>
      <c r="AR328" s="104" t="s">
        <v>4340</v>
      </c>
    </row>
    <row r="329" spans="2:44">
      <c r="B329" s="69" t="s">
        <v>4642</v>
      </c>
      <c r="C329" s="81">
        <v>326</v>
      </c>
      <c r="D329" s="82">
        <v>252610557</v>
      </c>
      <c r="E329" s="83" t="s">
        <v>1540</v>
      </c>
      <c r="F329" s="84" t="s">
        <v>1541</v>
      </c>
      <c r="G329" s="156" t="s">
        <v>1541</v>
      </c>
      <c r="H329" s="104" t="s">
        <v>6064</v>
      </c>
      <c r="I329" s="156" t="s">
        <v>1540</v>
      </c>
      <c r="J329" s="157" t="s">
        <v>1540</v>
      </c>
      <c r="K329" s="104" t="s">
        <v>89</v>
      </c>
      <c r="L329" s="104" t="s">
        <v>6065</v>
      </c>
      <c r="M329" s="105">
        <v>40164</v>
      </c>
      <c r="N329" s="104" t="s">
        <v>4460</v>
      </c>
      <c r="O329" s="104" t="s">
        <v>4344</v>
      </c>
      <c r="P329" s="88">
        <v>2</v>
      </c>
      <c r="Q329" s="88">
        <v>3</v>
      </c>
      <c r="R329" s="88">
        <v>0</v>
      </c>
      <c r="S329" s="88">
        <v>0</v>
      </c>
      <c r="T329" s="88">
        <f t="shared" si="5"/>
        <v>3</v>
      </c>
      <c r="U329" s="104" t="s">
        <v>6066</v>
      </c>
      <c r="V329" s="99" t="s">
        <v>4330</v>
      </c>
      <c r="W329" s="108" t="s">
        <v>6067</v>
      </c>
      <c r="X329" s="108">
        <v>3</v>
      </c>
      <c r="Y329" s="108">
        <v>13</v>
      </c>
      <c r="Z329" s="108" t="s">
        <v>4634</v>
      </c>
      <c r="AA329" s="108" t="s">
        <v>4634</v>
      </c>
      <c r="AB329" s="108" t="s">
        <v>4988</v>
      </c>
      <c r="AC329" s="108">
        <v>40534</v>
      </c>
      <c r="AD329" s="104" t="s">
        <v>6068</v>
      </c>
      <c r="AE329" s="99" t="s">
        <v>4333</v>
      </c>
      <c r="AF329" s="99" t="s">
        <v>6069</v>
      </c>
      <c r="AG329" s="104" t="s">
        <v>6070</v>
      </c>
      <c r="AH329" s="104" t="s">
        <v>6071</v>
      </c>
      <c r="AI329" s="104" t="s">
        <v>5707</v>
      </c>
      <c r="AJ329" s="104" t="s">
        <v>5707</v>
      </c>
      <c r="AK329" s="104" t="s">
        <v>4320</v>
      </c>
      <c r="AL329" s="106"/>
      <c r="AM329" s="104" t="s">
        <v>4372</v>
      </c>
      <c r="AN329" s="104" t="s">
        <v>6072</v>
      </c>
      <c r="AO329" s="104" t="s">
        <v>6073</v>
      </c>
      <c r="AP329" s="99">
        <v>163</v>
      </c>
      <c r="AQ329" s="99">
        <v>60</v>
      </c>
      <c r="AR329" s="104" t="s">
        <v>4415</v>
      </c>
    </row>
    <row r="330" spans="2:44">
      <c r="B330" s="69" t="s">
        <v>4323</v>
      </c>
      <c r="C330" s="81">
        <v>327</v>
      </c>
      <c r="D330" s="82">
        <v>252610268</v>
      </c>
      <c r="E330" s="83" t="s">
        <v>6074</v>
      </c>
      <c r="F330" s="84" t="s">
        <v>4169</v>
      </c>
      <c r="G330" s="159" t="s">
        <v>4170</v>
      </c>
      <c r="H330" s="85" t="s">
        <v>6075</v>
      </c>
      <c r="I330" s="159" t="s">
        <v>4156</v>
      </c>
      <c r="J330" s="157">
        <v>3091199482</v>
      </c>
      <c r="K330" s="85" t="s">
        <v>89</v>
      </c>
      <c r="L330" s="85" t="s">
        <v>5137</v>
      </c>
      <c r="M330" s="87">
        <v>39982</v>
      </c>
      <c r="N330" s="85" t="s">
        <v>4958</v>
      </c>
      <c r="O330" s="85" t="s">
        <v>4329</v>
      </c>
      <c r="P330" s="99">
        <v>3</v>
      </c>
      <c r="Q330" s="99">
        <v>4</v>
      </c>
      <c r="R330" s="99">
        <v>0</v>
      </c>
      <c r="S330" s="99">
        <v>0</v>
      </c>
      <c r="T330" s="88">
        <f t="shared" si="5"/>
        <v>4</v>
      </c>
      <c r="U330" s="85" t="s">
        <v>4329</v>
      </c>
      <c r="V330" s="88" t="s">
        <v>4595</v>
      </c>
      <c r="W330" s="109" t="s">
        <v>6076</v>
      </c>
      <c r="X330" s="109" t="s">
        <v>4391</v>
      </c>
      <c r="Y330" s="109" t="s">
        <v>4915</v>
      </c>
      <c r="Z330" s="109" t="s">
        <v>6077</v>
      </c>
      <c r="AA330" s="109" t="s">
        <v>4494</v>
      </c>
      <c r="AB330" s="109" t="s">
        <v>4408</v>
      </c>
      <c r="AC330" s="109">
        <v>40534</v>
      </c>
      <c r="AD330" s="85" t="s">
        <v>6078</v>
      </c>
      <c r="AE330" s="88" t="s">
        <v>4496</v>
      </c>
      <c r="AF330" s="88" t="s">
        <v>4348</v>
      </c>
      <c r="AG330" s="85" t="s">
        <v>6079</v>
      </c>
      <c r="AH330" s="85" t="s">
        <v>6080</v>
      </c>
      <c r="AI330" s="85" t="s">
        <v>4615</v>
      </c>
      <c r="AJ330" s="85" t="s">
        <v>4615</v>
      </c>
      <c r="AK330" s="85" t="s">
        <v>4337</v>
      </c>
      <c r="AL330" s="85" t="s">
        <v>6081</v>
      </c>
      <c r="AM330" s="85" t="s">
        <v>4372</v>
      </c>
      <c r="AN330" s="85" t="s">
        <v>4592</v>
      </c>
      <c r="AO330" s="85"/>
      <c r="AP330" s="88">
        <v>173</v>
      </c>
      <c r="AQ330" s="88">
        <v>66</v>
      </c>
      <c r="AR330" s="85" t="s">
        <v>4340</v>
      </c>
    </row>
    <row r="331" ht="26.25" spans="2:44">
      <c r="B331" s="69" t="s">
        <v>4386</v>
      </c>
      <c r="C331" s="81">
        <v>328</v>
      </c>
      <c r="D331" s="82">
        <v>252610364</v>
      </c>
      <c r="E331" s="83" t="s">
        <v>4174</v>
      </c>
      <c r="F331" s="84" t="s">
        <v>4171</v>
      </c>
      <c r="G331" s="165" t="s">
        <v>4171</v>
      </c>
      <c r="H331" s="104" t="s">
        <v>6082</v>
      </c>
      <c r="I331" s="165" t="s">
        <v>4174</v>
      </c>
      <c r="J331" s="163" t="s">
        <v>4174</v>
      </c>
      <c r="K331" s="104" t="s">
        <v>90</v>
      </c>
      <c r="L331" s="104" t="s">
        <v>6083</v>
      </c>
      <c r="M331" s="105">
        <v>40293</v>
      </c>
      <c r="N331" s="104" t="s">
        <v>4328</v>
      </c>
      <c r="O331" s="104" t="s">
        <v>4619</v>
      </c>
      <c r="P331" s="88">
        <v>1</v>
      </c>
      <c r="Q331" s="88">
        <v>0</v>
      </c>
      <c r="R331" s="88">
        <v>0</v>
      </c>
      <c r="S331" s="88">
        <v>0</v>
      </c>
      <c r="T331" s="88">
        <f t="shared" si="5"/>
        <v>0</v>
      </c>
      <c r="U331" s="104" t="s">
        <v>6084</v>
      </c>
      <c r="V331" s="99">
        <v>0</v>
      </c>
      <c r="W331" s="166" t="s">
        <v>6085</v>
      </c>
      <c r="X331" s="108" t="s">
        <v>4419</v>
      </c>
      <c r="Y331" s="108" t="s">
        <v>4793</v>
      </c>
      <c r="Z331" s="108" t="s">
        <v>6086</v>
      </c>
      <c r="AA331" s="108" t="s">
        <v>4645</v>
      </c>
      <c r="AB331" s="108" t="s">
        <v>5140</v>
      </c>
      <c r="AC331" s="108">
        <v>40216</v>
      </c>
      <c r="AD331" s="104" t="s">
        <v>6087</v>
      </c>
      <c r="AE331" s="99" t="s">
        <v>4313</v>
      </c>
      <c r="AF331" s="99" t="s">
        <v>5298</v>
      </c>
      <c r="AG331" s="104" t="s">
        <v>6088</v>
      </c>
      <c r="AH331" s="104" t="s">
        <v>6089</v>
      </c>
      <c r="AI331" s="104" t="s">
        <v>4384</v>
      </c>
      <c r="AJ331" s="104" t="s">
        <v>4384</v>
      </c>
      <c r="AK331" s="104" t="s">
        <v>4320</v>
      </c>
      <c r="AL331" s="106"/>
      <c r="AM331" s="104" t="s">
        <v>4372</v>
      </c>
      <c r="AN331" s="104" t="s">
        <v>3274</v>
      </c>
      <c r="AO331" s="106"/>
      <c r="AP331" s="99">
        <v>148</v>
      </c>
      <c r="AQ331" s="99" t="s">
        <v>6090</v>
      </c>
      <c r="AR331" s="104" t="s">
        <v>4322</v>
      </c>
    </row>
    <row r="332" s="66" customFormat="1" spans="2:44">
      <c r="B332" s="91" t="s">
        <v>4373</v>
      </c>
      <c r="C332" s="92">
        <v>329</v>
      </c>
      <c r="D332" s="93">
        <v>252610506</v>
      </c>
      <c r="E332" s="94" t="s">
        <v>1064</v>
      </c>
      <c r="F332" s="95" t="s">
        <v>1065</v>
      </c>
      <c r="G332" s="161" t="s">
        <v>4172</v>
      </c>
      <c r="H332" s="97"/>
      <c r="I332" s="161" t="s">
        <v>1064</v>
      </c>
      <c r="J332" s="161" t="s">
        <v>1064</v>
      </c>
      <c r="K332" s="97"/>
      <c r="L332" s="97"/>
      <c r="M332" s="98"/>
      <c r="N332" s="97"/>
      <c r="O332" s="97"/>
      <c r="P332" s="99"/>
      <c r="Q332" s="96"/>
      <c r="R332" s="96"/>
      <c r="S332" s="96"/>
      <c r="T332" s="88">
        <f t="shared" si="5"/>
        <v>0</v>
      </c>
      <c r="U332" s="97"/>
      <c r="V332" s="100"/>
      <c r="W332" s="101"/>
      <c r="X332" s="101"/>
      <c r="Y332" s="101"/>
      <c r="Z332" s="101"/>
      <c r="AA332" s="101"/>
      <c r="AB332" s="101"/>
      <c r="AC332" s="101"/>
      <c r="AD332" s="97"/>
      <c r="AE332" s="100"/>
      <c r="AF332" s="100"/>
      <c r="AG332" s="97"/>
      <c r="AH332" s="97"/>
      <c r="AI332" s="97"/>
      <c r="AJ332" s="97"/>
      <c r="AK332" s="97"/>
      <c r="AL332" s="97"/>
      <c r="AM332" s="97"/>
      <c r="AN332" s="97"/>
      <c r="AO332" s="97"/>
      <c r="AP332" s="100"/>
      <c r="AQ332" s="100"/>
      <c r="AR332" s="97"/>
    </row>
    <row r="333" spans="2:44">
      <c r="B333" s="69" t="s">
        <v>4324</v>
      </c>
      <c r="C333" s="81">
        <v>330</v>
      </c>
      <c r="D333" s="82">
        <v>252610124</v>
      </c>
      <c r="E333" s="83" t="s">
        <v>1066</v>
      </c>
      <c r="F333" s="84" t="s">
        <v>1067</v>
      </c>
      <c r="G333" s="165" t="s">
        <v>4173</v>
      </c>
      <c r="H333" s="104" t="s">
        <v>6091</v>
      </c>
      <c r="I333" s="165" t="s">
        <v>1066</v>
      </c>
      <c r="J333" s="163" t="s">
        <v>1066</v>
      </c>
      <c r="K333" s="104" t="s">
        <v>90</v>
      </c>
      <c r="L333" s="104" t="s">
        <v>4343</v>
      </c>
      <c r="M333" s="105">
        <v>39913</v>
      </c>
      <c r="N333" s="104" t="s">
        <v>4307</v>
      </c>
      <c r="O333" s="104" t="s">
        <v>4308</v>
      </c>
      <c r="P333" s="88">
        <v>2</v>
      </c>
      <c r="Q333" s="88">
        <v>2</v>
      </c>
      <c r="R333" s="88">
        <v>0</v>
      </c>
      <c r="S333" s="88">
        <v>0</v>
      </c>
      <c r="T333" s="88">
        <f t="shared" si="5"/>
        <v>2</v>
      </c>
      <c r="U333" s="104" t="s">
        <v>4308</v>
      </c>
      <c r="V333" s="99">
        <v>0</v>
      </c>
      <c r="W333" s="108" t="s">
        <v>6092</v>
      </c>
      <c r="X333" s="108" t="s">
        <v>4391</v>
      </c>
      <c r="Y333" s="108" t="s">
        <v>4606</v>
      </c>
      <c r="Z333" s="108" t="s">
        <v>6057</v>
      </c>
      <c r="AA333" s="108" t="s">
        <v>6057</v>
      </c>
      <c r="AB333" s="108" t="s">
        <v>4608</v>
      </c>
      <c r="AC333" s="108">
        <v>40212</v>
      </c>
      <c r="AD333" s="104" t="s">
        <v>6093</v>
      </c>
      <c r="AE333" s="99" t="s">
        <v>4481</v>
      </c>
      <c r="AF333" s="99" t="s">
        <v>4899</v>
      </c>
      <c r="AG333" s="104" t="s">
        <v>6094</v>
      </c>
      <c r="AH333" s="104" t="s">
        <v>6095</v>
      </c>
      <c r="AI333" s="104" t="s">
        <v>4401</v>
      </c>
      <c r="AJ333" s="104" t="s">
        <v>4401</v>
      </c>
      <c r="AK333" s="104" t="s">
        <v>4402</v>
      </c>
      <c r="AL333" s="106"/>
      <c r="AM333" s="104" t="s">
        <v>4553</v>
      </c>
      <c r="AN333" s="104" t="s">
        <v>6096</v>
      </c>
      <c r="AO333" s="104" t="s">
        <v>6097</v>
      </c>
      <c r="AP333" s="99">
        <v>155</v>
      </c>
      <c r="AQ333" s="99">
        <v>66</v>
      </c>
      <c r="AR333" s="104" t="s">
        <v>4428</v>
      </c>
    </row>
    <row r="334" spans="2:44">
      <c r="B334" s="69" t="s">
        <v>4325</v>
      </c>
      <c r="C334" s="81">
        <v>331</v>
      </c>
      <c r="D334" s="82">
        <v>252610032</v>
      </c>
      <c r="E334" s="102" t="s">
        <v>1257</v>
      </c>
      <c r="F334" s="103" t="s">
        <v>1258</v>
      </c>
      <c r="G334" s="159" t="s">
        <v>1258</v>
      </c>
      <c r="H334" s="85" t="s">
        <v>4840</v>
      </c>
      <c r="I334" s="159" t="s">
        <v>1257</v>
      </c>
      <c r="J334" s="157" t="s">
        <v>1257</v>
      </c>
      <c r="K334" s="85" t="s">
        <v>89</v>
      </c>
      <c r="L334" s="85" t="s">
        <v>4343</v>
      </c>
      <c r="M334" s="87">
        <v>40206</v>
      </c>
      <c r="N334" s="85" t="s">
        <v>4307</v>
      </c>
      <c r="O334" s="85" t="s">
        <v>4489</v>
      </c>
      <c r="P334" s="99">
        <v>2</v>
      </c>
      <c r="Q334" s="99">
        <v>1</v>
      </c>
      <c r="R334" s="99">
        <v>0</v>
      </c>
      <c r="S334" s="99">
        <v>0</v>
      </c>
      <c r="T334" s="88">
        <f t="shared" si="5"/>
        <v>1</v>
      </c>
      <c r="U334" s="85" t="s">
        <v>4344</v>
      </c>
      <c r="V334" s="88" t="s">
        <v>4595</v>
      </c>
      <c r="W334" s="109" t="s">
        <v>6098</v>
      </c>
      <c r="X334" s="109" t="s">
        <v>4464</v>
      </c>
      <c r="Y334" s="109">
        <v>30</v>
      </c>
      <c r="Z334" s="109" t="s">
        <v>4363</v>
      </c>
      <c r="AA334" s="109" t="s">
        <v>4363</v>
      </c>
      <c r="AB334" s="109" t="s">
        <v>4378</v>
      </c>
      <c r="AC334" s="109">
        <v>40534</v>
      </c>
      <c r="AD334" s="85" t="s">
        <v>6099</v>
      </c>
      <c r="AE334" s="88" t="s">
        <v>4481</v>
      </c>
      <c r="AF334" s="88">
        <v>2</v>
      </c>
      <c r="AG334" s="85" t="s">
        <v>6100</v>
      </c>
      <c r="AH334" s="85" t="s">
        <v>6101</v>
      </c>
      <c r="AI334" s="85" t="s">
        <v>4351</v>
      </c>
      <c r="AJ334" s="85" t="s">
        <v>4351</v>
      </c>
      <c r="AK334" s="85" t="s">
        <v>4319</v>
      </c>
      <c r="AL334" s="90"/>
      <c r="AM334" s="85" t="s">
        <v>4320</v>
      </c>
      <c r="AN334" s="85" t="s">
        <v>6102</v>
      </c>
      <c r="AO334" s="90"/>
      <c r="AP334" s="88">
        <v>169</v>
      </c>
      <c r="AQ334" s="88">
        <v>55</v>
      </c>
      <c r="AR334" s="85" t="s">
        <v>4322</v>
      </c>
    </row>
    <row r="335" spans="2:44">
      <c r="B335" s="69" t="s">
        <v>4341</v>
      </c>
      <c r="C335" s="81">
        <v>332</v>
      </c>
      <c r="D335" s="82">
        <v>252610315</v>
      </c>
      <c r="E335" s="83" t="s">
        <v>1730</v>
      </c>
      <c r="F335" s="84" t="s">
        <v>1731</v>
      </c>
      <c r="G335" s="165" t="s">
        <v>1731</v>
      </c>
      <c r="H335" s="104" t="s">
        <v>6103</v>
      </c>
      <c r="I335" s="165">
        <v>3099962280</v>
      </c>
      <c r="J335" s="163">
        <v>3099962280</v>
      </c>
      <c r="K335" s="104" t="s">
        <v>89</v>
      </c>
      <c r="L335" s="104" t="s">
        <v>4357</v>
      </c>
      <c r="M335" s="105">
        <v>39876</v>
      </c>
      <c r="N335" s="104" t="s">
        <v>4460</v>
      </c>
      <c r="O335" s="104" t="s">
        <v>4344</v>
      </c>
      <c r="P335" s="88">
        <v>4</v>
      </c>
      <c r="Q335" s="88">
        <v>4</v>
      </c>
      <c r="R335" s="88">
        <v>0</v>
      </c>
      <c r="S335" s="88">
        <v>0</v>
      </c>
      <c r="T335" s="88">
        <f t="shared" si="5"/>
        <v>4</v>
      </c>
      <c r="U335" s="104" t="s">
        <v>4791</v>
      </c>
      <c r="V335" s="99">
        <v>0</v>
      </c>
      <c r="W335" s="108" t="s">
        <v>6104</v>
      </c>
      <c r="X335" s="108" t="s">
        <v>4419</v>
      </c>
      <c r="Y335" s="108">
        <v>27</v>
      </c>
      <c r="Z335" s="108" t="s">
        <v>6104</v>
      </c>
      <c r="AA335" s="108" t="s">
        <v>4573</v>
      </c>
      <c r="AB335" s="108" t="s">
        <v>4988</v>
      </c>
      <c r="AC335" s="108">
        <v>40535</v>
      </c>
      <c r="AD335" s="104" t="s">
        <v>6105</v>
      </c>
      <c r="AE335" s="99" t="s">
        <v>4938</v>
      </c>
      <c r="AF335" s="99">
        <v>0</v>
      </c>
      <c r="AG335" s="104" t="s">
        <v>6106</v>
      </c>
      <c r="AH335" s="104" t="s">
        <v>6107</v>
      </c>
      <c r="AI335" s="104" t="s">
        <v>5390</v>
      </c>
      <c r="AJ335" s="104" t="s">
        <v>5125</v>
      </c>
      <c r="AK335" s="104" t="s">
        <v>4338</v>
      </c>
      <c r="AL335" s="104" t="s">
        <v>6108</v>
      </c>
      <c r="AM335" s="104" t="s">
        <v>4372</v>
      </c>
      <c r="AN335" s="104" t="s">
        <v>6109</v>
      </c>
      <c r="AO335" s="106"/>
      <c r="AP335" s="99">
        <v>149</v>
      </c>
      <c r="AQ335" s="99">
        <v>40</v>
      </c>
      <c r="AR335" s="104" t="s">
        <v>4340</v>
      </c>
    </row>
    <row r="336" s="66" customFormat="1" spans="2:44">
      <c r="B336" s="91" t="s">
        <v>4386</v>
      </c>
      <c r="C336" s="92">
        <v>333</v>
      </c>
      <c r="D336" s="93">
        <v>252610365</v>
      </c>
      <c r="E336" s="94" t="s">
        <v>1542</v>
      </c>
      <c r="F336" s="95" t="s">
        <v>1543</v>
      </c>
      <c r="G336" s="161" t="s">
        <v>1543</v>
      </c>
      <c r="H336" s="97"/>
      <c r="I336" s="161" t="s">
        <v>1542</v>
      </c>
      <c r="J336" s="161" t="s">
        <v>1542</v>
      </c>
      <c r="K336" s="97"/>
      <c r="L336" s="97"/>
      <c r="M336" s="98"/>
      <c r="N336" s="97"/>
      <c r="O336" s="97"/>
      <c r="P336" s="99"/>
      <c r="Q336" s="96"/>
      <c r="R336" s="96"/>
      <c r="S336" s="96"/>
      <c r="T336" s="88">
        <f t="shared" si="5"/>
        <v>0</v>
      </c>
      <c r="U336" s="97"/>
      <c r="V336" s="100"/>
      <c r="W336" s="101"/>
      <c r="X336" s="101"/>
      <c r="Y336" s="101"/>
      <c r="Z336" s="101"/>
      <c r="AA336" s="101"/>
      <c r="AB336" s="101"/>
      <c r="AC336" s="101"/>
      <c r="AD336" s="97"/>
      <c r="AE336" s="100"/>
      <c r="AF336" s="100"/>
      <c r="AG336" s="97"/>
      <c r="AH336" s="97"/>
      <c r="AI336" s="97"/>
      <c r="AJ336" s="97"/>
      <c r="AK336" s="97"/>
      <c r="AL336" s="97"/>
      <c r="AM336" s="97"/>
      <c r="AN336" s="97"/>
      <c r="AO336" s="97"/>
      <c r="AP336" s="100"/>
      <c r="AQ336" s="100"/>
      <c r="AR336" s="97"/>
    </row>
    <row r="337" spans="2:44">
      <c r="B337" s="69" t="s">
        <v>4674</v>
      </c>
      <c r="C337" s="81">
        <v>334</v>
      </c>
      <c r="D337" s="82">
        <v>252610412</v>
      </c>
      <c r="E337" s="83" t="s">
        <v>1259</v>
      </c>
      <c r="F337" s="84" t="s">
        <v>1260</v>
      </c>
      <c r="G337" s="156" t="s">
        <v>4176</v>
      </c>
      <c r="H337" s="104" t="s">
        <v>6110</v>
      </c>
      <c r="I337" s="156" t="s">
        <v>1259</v>
      </c>
      <c r="J337" s="157" t="s">
        <v>1259</v>
      </c>
      <c r="K337" s="104" t="s">
        <v>90</v>
      </c>
      <c r="L337" s="104" t="s">
        <v>4327</v>
      </c>
      <c r="M337" s="105">
        <v>40157</v>
      </c>
      <c r="N337" s="104" t="s">
        <v>4307</v>
      </c>
      <c r="O337" s="104" t="s">
        <v>6111</v>
      </c>
      <c r="P337" s="88">
        <v>1</v>
      </c>
      <c r="Q337" s="88">
        <v>1</v>
      </c>
      <c r="R337" s="88">
        <v>0</v>
      </c>
      <c r="S337" s="88">
        <v>0</v>
      </c>
      <c r="T337" s="88">
        <f t="shared" si="5"/>
        <v>1</v>
      </c>
      <c r="U337" s="104" t="s">
        <v>4675</v>
      </c>
      <c r="V337" s="99">
        <v>0</v>
      </c>
      <c r="W337" s="108" t="s">
        <v>6112</v>
      </c>
      <c r="X337" s="108" t="s">
        <v>4464</v>
      </c>
      <c r="Y337" s="108" t="s">
        <v>5004</v>
      </c>
      <c r="Z337" s="108" t="s">
        <v>6113</v>
      </c>
      <c r="AA337" s="108" t="s">
        <v>4645</v>
      </c>
      <c r="AB337" s="108" t="s">
        <v>5140</v>
      </c>
      <c r="AC337" s="108">
        <v>40215</v>
      </c>
      <c r="AD337" s="104" t="s">
        <v>6114</v>
      </c>
      <c r="AE337" s="99" t="s">
        <v>4481</v>
      </c>
      <c r="AF337" s="99" t="s">
        <v>4348</v>
      </c>
      <c r="AG337" s="104" t="s">
        <v>6115</v>
      </c>
      <c r="AH337" s="104" t="s">
        <v>6116</v>
      </c>
      <c r="AI337" s="104" t="s">
        <v>6117</v>
      </c>
      <c r="AJ337" s="104" t="s">
        <v>4626</v>
      </c>
      <c r="AK337" s="104" t="s">
        <v>4553</v>
      </c>
      <c r="AL337" s="106"/>
      <c r="AM337" s="104" t="s">
        <v>4337</v>
      </c>
      <c r="AN337" s="104" t="s">
        <v>6118</v>
      </c>
      <c r="AO337" s="104" t="s">
        <v>6119</v>
      </c>
      <c r="AP337" s="99">
        <v>156</v>
      </c>
      <c r="AQ337" s="99">
        <v>54</v>
      </c>
      <c r="AR337" s="104" t="s">
        <v>4322</v>
      </c>
    </row>
    <row r="338" spans="2:44">
      <c r="B338" s="69" t="s">
        <v>4304</v>
      </c>
      <c r="C338" s="81">
        <v>335</v>
      </c>
      <c r="D338" s="82">
        <v>252610459</v>
      </c>
      <c r="E338" s="83" t="s">
        <v>1439</v>
      </c>
      <c r="F338" s="84" t="s">
        <v>1440</v>
      </c>
      <c r="G338" s="162" t="s">
        <v>1440</v>
      </c>
      <c r="H338" s="85" t="s">
        <v>6120</v>
      </c>
      <c r="I338" s="162" t="s">
        <v>1439</v>
      </c>
      <c r="J338" s="163" t="s">
        <v>1439</v>
      </c>
      <c r="K338" s="85" t="s">
        <v>90</v>
      </c>
      <c r="L338" s="85" t="s">
        <v>4357</v>
      </c>
      <c r="M338" s="87">
        <v>40032</v>
      </c>
      <c r="N338" s="85" t="s">
        <v>4307</v>
      </c>
      <c r="O338" s="85" t="s">
        <v>4344</v>
      </c>
      <c r="P338" s="99">
        <v>2</v>
      </c>
      <c r="Q338" s="99">
        <v>1</v>
      </c>
      <c r="R338" s="99">
        <v>0</v>
      </c>
      <c r="S338" s="99">
        <v>0</v>
      </c>
      <c r="T338" s="88">
        <f t="shared" si="5"/>
        <v>1</v>
      </c>
      <c r="U338" s="85" t="s">
        <v>4344</v>
      </c>
      <c r="V338" s="88">
        <v>0</v>
      </c>
      <c r="W338" s="109" t="s">
        <v>6121</v>
      </c>
      <c r="X338" s="109" t="s">
        <v>4419</v>
      </c>
      <c r="Y338" s="109" t="s">
        <v>4464</v>
      </c>
      <c r="Z338" s="109" t="s">
        <v>6122</v>
      </c>
      <c r="AA338" s="109" t="s">
        <v>4466</v>
      </c>
      <c r="AB338" s="109" t="s">
        <v>4511</v>
      </c>
      <c r="AC338" s="109">
        <v>40612</v>
      </c>
      <c r="AD338" s="85" t="s">
        <v>6123</v>
      </c>
      <c r="AE338" s="88" t="s">
        <v>4481</v>
      </c>
      <c r="AF338" s="88" t="s">
        <v>5142</v>
      </c>
      <c r="AG338" s="85" t="s">
        <v>6124</v>
      </c>
      <c r="AH338" s="85" t="s">
        <v>6125</v>
      </c>
      <c r="AI338" s="85" t="s">
        <v>4370</v>
      </c>
      <c r="AJ338" s="85" t="s">
        <v>4384</v>
      </c>
      <c r="AK338" s="85" t="s">
        <v>4402</v>
      </c>
      <c r="AL338" s="90"/>
      <c r="AM338" s="85" t="s">
        <v>4372</v>
      </c>
      <c r="AN338" s="85" t="s">
        <v>3701</v>
      </c>
      <c r="AO338" s="90"/>
      <c r="AP338" s="88">
        <v>160</v>
      </c>
      <c r="AQ338" s="88">
        <v>52</v>
      </c>
      <c r="AR338" s="85" t="s">
        <v>4322</v>
      </c>
    </row>
    <row r="339" spans="2:44">
      <c r="B339" s="69" t="s">
        <v>4373</v>
      </c>
      <c r="C339" s="81">
        <v>336</v>
      </c>
      <c r="D339" s="121">
        <v>252610507</v>
      </c>
      <c r="E339" s="83" t="s">
        <v>1261</v>
      </c>
      <c r="F339" s="84" t="s">
        <v>1262</v>
      </c>
      <c r="G339" s="156" t="s">
        <v>4177</v>
      </c>
      <c r="H339" s="104" t="s">
        <v>6120</v>
      </c>
      <c r="I339" s="156" t="s">
        <v>1261</v>
      </c>
      <c r="J339" s="157" t="s">
        <v>1261</v>
      </c>
      <c r="K339" s="104" t="s">
        <v>90</v>
      </c>
      <c r="L339" s="104" t="s">
        <v>4357</v>
      </c>
      <c r="M339" s="105">
        <v>39947</v>
      </c>
      <c r="N339" s="104" t="s">
        <v>4307</v>
      </c>
      <c r="O339" s="104" t="s">
        <v>4308</v>
      </c>
      <c r="P339" s="88">
        <v>1</v>
      </c>
      <c r="Q339" s="88">
        <v>1</v>
      </c>
      <c r="R339" s="88">
        <v>3</v>
      </c>
      <c r="S339" s="88">
        <v>0</v>
      </c>
      <c r="T339" s="88">
        <f t="shared" si="5"/>
        <v>4</v>
      </c>
      <c r="U339" s="104" t="s">
        <v>6126</v>
      </c>
      <c r="V339" s="99">
        <v>0</v>
      </c>
      <c r="W339" s="108" t="s">
        <v>6127</v>
      </c>
      <c r="X339" s="108" t="s">
        <v>4703</v>
      </c>
      <c r="Y339" s="108" t="s">
        <v>4448</v>
      </c>
      <c r="Z339" s="108" t="s">
        <v>4574</v>
      </c>
      <c r="AA339" s="108" t="s">
        <v>4574</v>
      </c>
      <c r="AB339" s="108" t="s">
        <v>4378</v>
      </c>
      <c r="AC339" s="108">
        <v>40535</v>
      </c>
      <c r="AD339" s="104" t="s">
        <v>6128</v>
      </c>
      <c r="AE339" s="99" t="s">
        <v>6129</v>
      </c>
      <c r="AF339" s="99" t="s">
        <v>6130</v>
      </c>
      <c r="AG339" s="104" t="s">
        <v>6131</v>
      </c>
      <c r="AH339" s="104" t="s">
        <v>5534</v>
      </c>
      <c r="AI339" s="104" t="s">
        <v>4318</v>
      </c>
      <c r="AJ339" s="104" t="s">
        <v>4318</v>
      </c>
      <c r="AK339" s="104" t="s">
        <v>4319</v>
      </c>
      <c r="AL339" s="106"/>
      <c r="AM339" s="104" t="s">
        <v>4402</v>
      </c>
      <c r="AN339" s="104" t="s">
        <v>4384</v>
      </c>
      <c r="AO339" s="104" t="s">
        <v>6132</v>
      </c>
      <c r="AP339" s="99">
        <v>156</v>
      </c>
      <c r="AQ339" s="99">
        <v>37</v>
      </c>
      <c r="AR339" s="104" t="s">
        <v>4322</v>
      </c>
    </row>
    <row r="340" spans="2:44">
      <c r="B340" s="69" t="s">
        <v>4354</v>
      </c>
      <c r="C340" s="81">
        <v>337</v>
      </c>
      <c r="D340" s="82">
        <v>252610075</v>
      </c>
      <c r="E340" s="83" t="s">
        <v>958</v>
      </c>
      <c r="F340" s="84" t="s">
        <v>959</v>
      </c>
      <c r="G340" s="162" t="s">
        <v>959</v>
      </c>
      <c r="H340" s="85" t="s">
        <v>6120</v>
      </c>
      <c r="I340" s="162" t="s">
        <v>958</v>
      </c>
      <c r="J340" s="163" t="s">
        <v>958</v>
      </c>
      <c r="K340" s="85" t="s">
        <v>90</v>
      </c>
      <c r="L340" s="85" t="s">
        <v>6133</v>
      </c>
      <c r="M340" s="87">
        <v>40015</v>
      </c>
      <c r="N340" s="85" t="s">
        <v>4307</v>
      </c>
      <c r="O340" s="85" t="s">
        <v>4344</v>
      </c>
      <c r="P340" s="99">
        <v>1</v>
      </c>
      <c r="Q340" s="99">
        <v>2</v>
      </c>
      <c r="R340" s="99">
        <v>0</v>
      </c>
      <c r="S340" s="99">
        <v>0</v>
      </c>
      <c r="T340" s="88">
        <f t="shared" si="5"/>
        <v>2</v>
      </c>
      <c r="U340" s="85" t="s">
        <v>4345</v>
      </c>
      <c r="V340" s="88" t="s">
        <v>4358</v>
      </c>
      <c r="W340" s="109" t="s">
        <v>6134</v>
      </c>
      <c r="X340" s="109" t="s">
        <v>4606</v>
      </c>
      <c r="Y340" s="109">
        <v>17</v>
      </c>
      <c r="Z340" s="109" t="s">
        <v>4494</v>
      </c>
      <c r="AA340" s="109" t="s">
        <v>4494</v>
      </c>
      <c r="AB340" s="109" t="s">
        <v>4451</v>
      </c>
      <c r="AC340" s="109">
        <v>40534</v>
      </c>
      <c r="AD340" s="85">
        <v>85891324557</v>
      </c>
      <c r="AE340" s="88" t="s">
        <v>6135</v>
      </c>
      <c r="AF340" s="88" t="s">
        <v>4411</v>
      </c>
      <c r="AG340" s="85" t="s">
        <v>6136</v>
      </c>
      <c r="AH340" s="85" t="s">
        <v>6137</v>
      </c>
      <c r="AI340" s="85" t="s">
        <v>4384</v>
      </c>
      <c r="AJ340" s="85" t="s">
        <v>4318</v>
      </c>
      <c r="AK340" s="85" t="s">
        <v>4553</v>
      </c>
      <c r="AL340" s="90"/>
      <c r="AM340" s="85" t="s">
        <v>4372</v>
      </c>
      <c r="AN340" s="85" t="s">
        <v>3124</v>
      </c>
      <c r="AO340" s="90"/>
      <c r="AP340" s="88">
        <v>157</v>
      </c>
      <c r="AQ340" s="88">
        <v>47</v>
      </c>
      <c r="AR340" s="85" t="s">
        <v>4340</v>
      </c>
    </row>
    <row r="341" spans="2:44">
      <c r="B341" s="69" t="s">
        <v>4323</v>
      </c>
      <c r="C341" s="81">
        <v>338</v>
      </c>
      <c r="D341" s="82">
        <v>252610269</v>
      </c>
      <c r="E341" s="83" t="s">
        <v>1732</v>
      </c>
      <c r="F341" s="84" t="s">
        <v>1733</v>
      </c>
      <c r="G341" s="156" t="s">
        <v>1733</v>
      </c>
      <c r="H341" s="104" t="s">
        <v>6138</v>
      </c>
      <c r="I341" s="156" t="s">
        <v>1732</v>
      </c>
      <c r="J341" s="157" t="s">
        <v>1732</v>
      </c>
      <c r="K341" s="104" t="s">
        <v>90</v>
      </c>
      <c r="L341" s="104" t="s">
        <v>4343</v>
      </c>
      <c r="M341" s="105">
        <v>40028</v>
      </c>
      <c r="N341" s="104" t="s">
        <v>4328</v>
      </c>
      <c r="O341" s="104" t="s">
        <v>4489</v>
      </c>
      <c r="P341" s="88">
        <v>1</v>
      </c>
      <c r="Q341" s="88">
        <v>2</v>
      </c>
      <c r="R341" s="88">
        <v>0</v>
      </c>
      <c r="S341" s="88">
        <v>0</v>
      </c>
      <c r="T341" s="88">
        <f t="shared" si="5"/>
        <v>2</v>
      </c>
      <c r="U341" s="104" t="s">
        <v>6139</v>
      </c>
      <c r="V341" s="99" t="s">
        <v>4358</v>
      </c>
      <c r="W341" s="108" t="s">
        <v>6140</v>
      </c>
      <c r="X341" s="108" t="s">
        <v>4419</v>
      </c>
      <c r="Y341" s="108" t="s">
        <v>4361</v>
      </c>
      <c r="Z341" s="108" t="s">
        <v>4560</v>
      </c>
      <c r="AA341" s="108" t="s">
        <v>4560</v>
      </c>
      <c r="AB341" s="108" t="s">
        <v>4562</v>
      </c>
      <c r="AC341" s="108">
        <v>40212</v>
      </c>
      <c r="AD341" s="104" t="s">
        <v>6141</v>
      </c>
      <c r="AE341" s="99" t="s">
        <v>4422</v>
      </c>
      <c r="AF341" s="99" t="s">
        <v>4398</v>
      </c>
      <c r="AG341" s="104" t="s">
        <v>6142</v>
      </c>
      <c r="AH341" s="104" t="s">
        <v>6143</v>
      </c>
      <c r="AI341" s="104" t="s">
        <v>5179</v>
      </c>
      <c r="AJ341" s="104" t="s">
        <v>5179</v>
      </c>
      <c r="AK341" s="104" t="s">
        <v>4337</v>
      </c>
      <c r="AL341" s="104" t="s">
        <v>4406</v>
      </c>
      <c r="AM341" s="104" t="s">
        <v>4372</v>
      </c>
      <c r="AN341" s="104" t="s">
        <v>4566</v>
      </c>
      <c r="AO341" s="104" t="s">
        <v>6144</v>
      </c>
      <c r="AP341" s="99">
        <v>162</v>
      </c>
      <c r="AQ341" s="99">
        <v>55</v>
      </c>
      <c r="AR341" s="104" t="s">
        <v>4340</v>
      </c>
    </row>
    <row r="342" s="66" customFormat="1" spans="2:44">
      <c r="B342" s="91" t="s">
        <v>4642</v>
      </c>
      <c r="C342" s="92">
        <v>339</v>
      </c>
      <c r="D342" s="93">
        <v>252610558</v>
      </c>
      <c r="E342" s="94" t="s">
        <v>1441</v>
      </c>
      <c r="F342" s="95" t="s">
        <v>1442</v>
      </c>
      <c r="G342" s="160" t="s">
        <v>1442</v>
      </c>
      <c r="H342" s="97"/>
      <c r="I342" s="160">
        <v>3096598873</v>
      </c>
      <c r="J342" s="160">
        <v>3096598873</v>
      </c>
      <c r="K342" s="97"/>
      <c r="L342" s="97"/>
      <c r="M342" s="98"/>
      <c r="N342" s="97"/>
      <c r="O342" s="97"/>
      <c r="P342" s="99"/>
      <c r="Q342" s="96"/>
      <c r="R342" s="96"/>
      <c r="S342" s="96"/>
      <c r="T342" s="88">
        <f t="shared" si="5"/>
        <v>0</v>
      </c>
      <c r="U342" s="97"/>
      <c r="V342" s="100"/>
      <c r="W342" s="101"/>
      <c r="X342" s="101"/>
      <c r="Y342" s="101"/>
      <c r="Z342" s="101"/>
      <c r="AA342" s="101"/>
      <c r="AB342" s="101"/>
      <c r="AC342" s="101"/>
      <c r="AD342" s="97"/>
      <c r="AE342" s="100"/>
      <c r="AF342" s="100"/>
      <c r="AG342" s="97"/>
      <c r="AH342" s="97"/>
      <c r="AI342" s="97"/>
      <c r="AJ342" s="97"/>
      <c r="AK342" s="97"/>
      <c r="AL342" s="97"/>
      <c r="AM342" s="97"/>
      <c r="AN342" s="97"/>
      <c r="AO342" s="97"/>
      <c r="AP342" s="100"/>
      <c r="AQ342" s="100"/>
      <c r="AR342" s="97"/>
    </row>
    <row r="343" s="66" customFormat="1" spans="2:44">
      <c r="B343" s="91" t="s">
        <v>4568</v>
      </c>
      <c r="C343" s="92">
        <v>340</v>
      </c>
      <c r="D343" s="93">
        <v>252610220</v>
      </c>
      <c r="E343" s="94" t="s">
        <v>1544</v>
      </c>
      <c r="F343" s="95" t="s">
        <v>1545</v>
      </c>
      <c r="G343" s="161" t="s">
        <v>1545</v>
      </c>
      <c r="H343" s="97"/>
      <c r="I343" s="161" t="s">
        <v>1544</v>
      </c>
      <c r="J343" s="161" t="s">
        <v>1544</v>
      </c>
      <c r="K343" s="97"/>
      <c r="L343" s="97"/>
      <c r="M343" s="98"/>
      <c r="N343" s="97"/>
      <c r="O343" s="97"/>
      <c r="P343" s="88"/>
      <c r="Q343" s="96"/>
      <c r="R343" s="96"/>
      <c r="S343" s="96"/>
      <c r="T343" s="88">
        <f t="shared" si="5"/>
        <v>0</v>
      </c>
      <c r="U343" s="97"/>
      <c r="V343" s="100"/>
      <c r="W343" s="101"/>
      <c r="X343" s="101"/>
      <c r="Y343" s="101"/>
      <c r="Z343" s="101"/>
      <c r="AA343" s="101"/>
      <c r="AB343" s="101"/>
      <c r="AC343" s="101"/>
      <c r="AD343" s="97"/>
      <c r="AE343" s="100"/>
      <c r="AF343" s="100"/>
      <c r="AG343" s="97"/>
      <c r="AH343" s="97"/>
      <c r="AI343" s="97"/>
      <c r="AJ343" s="97"/>
      <c r="AK343" s="97"/>
      <c r="AL343" s="97"/>
      <c r="AM343" s="97"/>
      <c r="AN343" s="97"/>
      <c r="AO343" s="97"/>
      <c r="AP343" s="100"/>
      <c r="AQ343" s="100"/>
      <c r="AR343" s="97"/>
    </row>
    <row r="344" s="66" customFormat="1" spans="2:44">
      <c r="B344" s="91" t="s">
        <v>4354</v>
      </c>
      <c r="C344" s="92">
        <v>341</v>
      </c>
      <c r="D344" s="93">
        <v>252610076</v>
      </c>
      <c r="E344" s="94" t="s">
        <v>1925</v>
      </c>
      <c r="F344" s="95" t="s">
        <v>1926</v>
      </c>
      <c r="G344" s="160" t="s">
        <v>1926</v>
      </c>
      <c r="H344" s="97"/>
      <c r="I344" s="160" t="s">
        <v>1925</v>
      </c>
      <c r="J344" s="160" t="s">
        <v>1925</v>
      </c>
      <c r="K344" s="97"/>
      <c r="L344" s="97"/>
      <c r="M344" s="98"/>
      <c r="N344" s="97"/>
      <c r="O344" s="97"/>
      <c r="P344" s="99"/>
      <c r="Q344" s="96"/>
      <c r="R344" s="96"/>
      <c r="S344" s="96"/>
      <c r="T344" s="88">
        <f t="shared" si="5"/>
        <v>0</v>
      </c>
      <c r="U344" s="97"/>
      <c r="V344" s="100"/>
      <c r="W344" s="101"/>
      <c r="X344" s="101"/>
      <c r="Y344" s="101"/>
      <c r="Z344" s="101"/>
      <c r="AA344" s="101"/>
      <c r="AB344" s="101"/>
      <c r="AC344" s="101"/>
      <c r="AD344" s="97"/>
      <c r="AE344" s="100"/>
      <c r="AF344" s="100"/>
      <c r="AG344" s="97"/>
      <c r="AH344" s="97"/>
      <c r="AI344" s="97"/>
      <c r="AJ344" s="97"/>
      <c r="AK344" s="97"/>
      <c r="AL344" s="97"/>
      <c r="AM344" s="97"/>
      <c r="AN344" s="97"/>
      <c r="AO344" s="97"/>
      <c r="AP344" s="100"/>
      <c r="AQ344" s="100"/>
      <c r="AR344" s="97"/>
    </row>
    <row r="345" s="66" customFormat="1" spans="2:44">
      <c r="B345" s="91" t="s">
        <v>4304</v>
      </c>
      <c r="C345" s="92">
        <v>342</v>
      </c>
      <c r="D345" s="93">
        <v>252610460</v>
      </c>
      <c r="E345" s="94" t="s">
        <v>1546</v>
      </c>
      <c r="F345" s="95" t="s">
        <v>1547</v>
      </c>
      <c r="G345" s="161" t="s">
        <v>1547</v>
      </c>
      <c r="H345" s="97"/>
      <c r="I345" s="161" t="s">
        <v>1546</v>
      </c>
      <c r="J345" s="161" t="s">
        <v>1546</v>
      </c>
      <c r="K345" s="97"/>
      <c r="L345" s="97"/>
      <c r="M345" s="98"/>
      <c r="N345" s="97"/>
      <c r="O345" s="97"/>
      <c r="P345" s="88"/>
      <c r="Q345" s="96"/>
      <c r="R345" s="96"/>
      <c r="S345" s="96"/>
      <c r="T345" s="88">
        <f t="shared" si="5"/>
        <v>0</v>
      </c>
      <c r="U345" s="97"/>
      <c r="V345" s="100"/>
      <c r="W345" s="101"/>
      <c r="X345" s="101"/>
      <c r="Y345" s="101"/>
      <c r="Z345" s="101"/>
      <c r="AA345" s="101"/>
      <c r="AB345" s="101"/>
      <c r="AC345" s="101"/>
      <c r="AD345" s="97"/>
      <c r="AE345" s="100"/>
      <c r="AF345" s="100"/>
      <c r="AG345" s="97"/>
      <c r="AH345" s="97"/>
      <c r="AI345" s="97"/>
      <c r="AJ345" s="97"/>
      <c r="AK345" s="97"/>
      <c r="AL345" s="97"/>
      <c r="AM345" s="97"/>
      <c r="AN345" s="97"/>
      <c r="AO345" s="97"/>
      <c r="AP345" s="100"/>
      <c r="AQ345" s="100"/>
      <c r="AR345" s="97"/>
    </row>
    <row r="346" s="66" customFormat="1" spans="2:44">
      <c r="B346" s="91" t="s">
        <v>4325</v>
      </c>
      <c r="C346" s="92">
        <v>343</v>
      </c>
      <c r="D346" s="93">
        <v>252610033</v>
      </c>
      <c r="E346" s="118" t="s">
        <v>1548</v>
      </c>
      <c r="F346" s="119" t="s">
        <v>1549</v>
      </c>
      <c r="G346" s="160" t="s">
        <v>4178</v>
      </c>
      <c r="H346" s="97"/>
      <c r="I346" s="160" t="s">
        <v>1548</v>
      </c>
      <c r="J346" s="160" t="s">
        <v>1548</v>
      </c>
      <c r="K346" s="97"/>
      <c r="L346" s="97"/>
      <c r="M346" s="98"/>
      <c r="N346" s="97"/>
      <c r="O346" s="97"/>
      <c r="P346" s="99"/>
      <c r="Q346" s="96"/>
      <c r="R346" s="96"/>
      <c r="S346" s="96"/>
      <c r="T346" s="88">
        <f t="shared" si="5"/>
        <v>0</v>
      </c>
      <c r="U346" s="97"/>
      <c r="V346" s="100"/>
      <c r="W346" s="101"/>
      <c r="X346" s="101"/>
      <c r="Y346" s="101"/>
      <c r="Z346" s="101"/>
      <c r="AA346" s="101"/>
      <c r="AB346" s="101"/>
      <c r="AC346" s="101"/>
      <c r="AD346" s="97"/>
      <c r="AE346" s="100"/>
      <c r="AF346" s="100"/>
      <c r="AG346" s="97"/>
      <c r="AH346" s="97"/>
      <c r="AI346" s="97"/>
      <c r="AJ346" s="97"/>
      <c r="AK346" s="97"/>
      <c r="AL346" s="97"/>
      <c r="AM346" s="97"/>
      <c r="AN346" s="97"/>
      <c r="AO346" s="97"/>
      <c r="AP346" s="100"/>
      <c r="AQ346" s="100"/>
      <c r="AR346" s="97"/>
    </row>
    <row r="347" s="66" customFormat="1" spans="2:44">
      <c r="B347" s="91" t="s">
        <v>4354</v>
      </c>
      <c r="C347" s="92">
        <v>344</v>
      </c>
      <c r="D347" s="93">
        <v>252610077</v>
      </c>
      <c r="E347" s="94" t="s">
        <v>1263</v>
      </c>
      <c r="F347" s="95" t="s">
        <v>1264</v>
      </c>
      <c r="G347" s="161" t="s">
        <v>4179</v>
      </c>
      <c r="H347" s="97"/>
      <c r="I347" s="161" t="s">
        <v>1263</v>
      </c>
      <c r="J347" s="161" t="s">
        <v>1263</v>
      </c>
      <c r="K347" s="97"/>
      <c r="L347" s="97"/>
      <c r="M347" s="98"/>
      <c r="N347" s="97"/>
      <c r="O347" s="97"/>
      <c r="P347" s="88"/>
      <c r="Q347" s="96"/>
      <c r="R347" s="96"/>
      <c r="S347" s="96"/>
      <c r="T347" s="88">
        <f t="shared" si="5"/>
        <v>0</v>
      </c>
      <c r="U347" s="97"/>
      <c r="V347" s="100"/>
      <c r="W347" s="101"/>
      <c r="X347" s="101"/>
      <c r="Y347" s="101"/>
      <c r="Z347" s="101"/>
      <c r="AA347" s="101"/>
      <c r="AB347" s="101"/>
      <c r="AC347" s="101"/>
      <c r="AD347" s="97"/>
      <c r="AE347" s="100"/>
      <c r="AF347" s="100"/>
      <c r="AG347" s="97"/>
      <c r="AH347" s="97"/>
      <c r="AI347" s="97"/>
      <c r="AJ347" s="97"/>
      <c r="AK347" s="97"/>
      <c r="AL347" s="97"/>
      <c r="AM347" s="97"/>
      <c r="AN347" s="97"/>
      <c r="AO347" s="97"/>
      <c r="AP347" s="100"/>
      <c r="AQ347" s="100"/>
      <c r="AR347" s="97"/>
    </row>
    <row r="348" spans="2:44">
      <c r="B348" s="69" t="s">
        <v>4642</v>
      </c>
      <c r="C348" s="81">
        <v>345</v>
      </c>
      <c r="D348" s="82">
        <v>252610559</v>
      </c>
      <c r="E348" s="83" t="s">
        <v>1149</v>
      </c>
      <c r="F348" s="84" t="s">
        <v>1150</v>
      </c>
      <c r="G348" s="162" t="s">
        <v>1150</v>
      </c>
      <c r="H348" s="85" t="s">
        <v>6145</v>
      </c>
      <c r="I348" s="162" t="s">
        <v>1149</v>
      </c>
      <c r="J348" s="163" t="s">
        <v>1149</v>
      </c>
      <c r="K348" s="85" t="s">
        <v>90</v>
      </c>
      <c r="L348" s="85" t="s">
        <v>4343</v>
      </c>
      <c r="M348" s="87">
        <v>40090</v>
      </c>
      <c r="N348" s="85" t="s">
        <v>4307</v>
      </c>
      <c r="O348" s="85" t="s">
        <v>4344</v>
      </c>
      <c r="P348" s="99">
        <v>2</v>
      </c>
      <c r="Q348" s="99">
        <v>1</v>
      </c>
      <c r="R348" s="99">
        <v>0</v>
      </c>
      <c r="S348" s="99">
        <v>0</v>
      </c>
      <c r="T348" s="88">
        <f t="shared" si="5"/>
        <v>1</v>
      </c>
      <c r="U348" s="85" t="s">
        <v>4805</v>
      </c>
      <c r="V348" s="88">
        <v>0</v>
      </c>
      <c r="W348" s="109" t="s">
        <v>6146</v>
      </c>
      <c r="X348" s="109" t="s">
        <v>4714</v>
      </c>
      <c r="Y348" s="109" t="s">
        <v>4825</v>
      </c>
      <c r="Z348" s="109" t="s">
        <v>4449</v>
      </c>
      <c r="AA348" s="109" t="s">
        <v>4573</v>
      </c>
      <c r="AB348" s="109" t="s">
        <v>4378</v>
      </c>
      <c r="AC348" s="109">
        <v>40535</v>
      </c>
      <c r="AD348" s="85" t="s">
        <v>6147</v>
      </c>
      <c r="AE348" s="88" t="s">
        <v>4422</v>
      </c>
      <c r="AF348" s="88" t="s">
        <v>4314</v>
      </c>
      <c r="AG348" s="85" t="s">
        <v>6148</v>
      </c>
      <c r="AH348" s="85" t="s">
        <v>6149</v>
      </c>
      <c r="AI348" s="85" t="s">
        <v>4351</v>
      </c>
      <c r="AJ348" s="85" t="s">
        <v>4318</v>
      </c>
      <c r="AK348" s="85" t="s">
        <v>4337</v>
      </c>
      <c r="AL348" s="90"/>
      <c r="AM348" s="85" t="s">
        <v>4372</v>
      </c>
      <c r="AN348" s="85" t="s">
        <v>6150</v>
      </c>
      <c r="AO348" s="90"/>
      <c r="AP348" s="88">
        <v>145</v>
      </c>
      <c r="AQ348" s="88">
        <v>46</v>
      </c>
      <c r="AR348" s="85" t="s">
        <v>5769</v>
      </c>
    </row>
    <row r="349" spans="2:44">
      <c r="B349" s="69" t="s">
        <v>4325</v>
      </c>
      <c r="C349" s="81">
        <v>346</v>
      </c>
      <c r="D349" s="82">
        <v>252610034</v>
      </c>
      <c r="E349" s="102" t="s">
        <v>1068</v>
      </c>
      <c r="F349" s="103" t="s">
        <v>1069</v>
      </c>
      <c r="G349" s="156" t="s">
        <v>1069</v>
      </c>
      <c r="H349" s="104" t="s">
        <v>6151</v>
      </c>
      <c r="I349" s="156" t="s">
        <v>1068</v>
      </c>
      <c r="J349" s="157" t="s">
        <v>1068</v>
      </c>
      <c r="K349" s="104" t="s">
        <v>90</v>
      </c>
      <c r="L349" s="104" t="s">
        <v>4343</v>
      </c>
      <c r="M349" s="105">
        <v>40199</v>
      </c>
      <c r="N349" s="104" t="s">
        <v>4307</v>
      </c>
      <c r="O349" s="104" t="s">
        <v>4344</v>
      </c>
      <c r="P349" s="88">
        <v>2</v>
      </c>
      <c r="Q349" s="88">
        <v>1</v>
      </c>
      <c r="R349" s="88">
        <v>2</v>
      </c>
      <c r="S349" s="88">
        <v>0</v>
      </c>
      <c r="T349" s="88">
        <f t="shared" si="5"/>
        <v>3</v>
      </c>
      <c r="U349" s="104" t="s">
        <v>4345</v>
      </c>
      <c r="V349" s="99">
        <v>0</v>
      </c>
      <c r="W349" s="108" t="s">
        <v>6152</v>
      </c>
      <c r="X349" s="108" t="s">
        <v>4464</v>
      </c>
      <c r="Y349" s="108" t="s">
        <v>4419</v>
      </c>
      <c r="Z349" s="108" t="s">
        <v>6153</v>
      </c>
      <c r="AA349" s="108" t="s">
        <v>6154</v>
      </c>
      <c r="AB349" s="108" t="s">
        <v>6155</v>
      </c>
      <c r="AC349" s="108">
        <v>40224</v>
      </c>
      <c r="AD349" s="104" t="s">
        <v>6156</v>
      </c>
      <c r="AE349" s="99" t="s">
        <v>4422</v>
      </c>
      <c r="AF349" s="99" t="s">
        <v>6157</v>
      </c>
      <c r="AG349" s="104" t="s">
        <v>6158</v>
      </c>
      <c r="AH349" s="104" t="s">
        <v>6159</v>
      </c>
      <c r="AI349" s="104" t="s">
        <v>6160</v>
      </c>
      <c r="AJ349" s="104" t="s">
        <v>6161</v>
      </c>
      <c r="AK349" s="104" t="s">
        <v>4320</v>
      </c>
      <c r="AL349" s="106"/>
      <c r="AM349" s="104" t="s">
        <v>4553</v>
      </c>
      <c r="AN349" s="104" t="s">
        <v>3203</v>
      </c>
      <c r="AO349" s="104"/>
      <c r="AP349" s="99">
        <v>153</v>
      </c>
      <c r="AQ349" s="99">
        <v>53</v>
      </c>
      <c r="AR349" s="104" t="s">
        <v>4322</v>
      </c>
    </row>
    <row r="350" spans="2:44">
      <c r="B350" s="69" t="s">
        <v>4354</v>
      </c>
      <c r="C350" s="81">
        <v>347</v>
      </c>
      <c r="D350" s="82">
        <v>252610078</v>
      </c>
      <c r="E350" s="83" t="s">
        <v>1734</v>
      </c>
      <c r="F350" s="84" t="s">
        <v>1735</v>
      </c>
      <c r="G350" s="162" t="s">
        <v>4180</v>
      </c>
      <c r="H350" s="85" t="s">
        <v>6162</v>
      </c>
      <c r="I350" s="162" t="s">
        <v>1734</v>
      </c>
      <c r="J350" s="163" t="s">
        <v>1734</v>
      </c>
      <c r="K350" s="85" t="s">
        <v>90</v>
      </c>
      <c r="L350" s="85" t="s">
        <v>4557</v>
      </c>
      <c r="M350" s="87">
        <v>40217</v>
      </c>
      <c r="N350" s="85" t="s">
        <v>4460</v>
      </c>
      <c r="O350" s="85" t="s">
        <v>4619</v>
      </c>
      <c r="P350" s="99">
        <v>5</v>
      </c>
      <c r="Q350" s="99">
        <v>5</v>
      </c>
      <c r="R350" s="99">
        <v>0</v>
      </c>
      <c r="S350" s="99">
        <v>0</v>
      </c>
      <c r="T350" s="88">
        <f t="shared" si="5"/>
        <v>5</v>
      </c>
      <c r="U350" s="85" t="s">
        <v>5147</v>
      </c>
      <c r="V350" s="88" t="s">
        <v>4330</v>
      </c>
      <c r="W350" s="109" t="s">
        <v>6163</v>
      </c>
      <c r="X350" s="109" t="s">
        <v>4392</v>
      </c>
      <c r="Y350" s="109" t="s">
        <v>4632</v>
      </c>
      <c r="Z350" s="112"/>
      <c r="AA350" s="109" t="s">
        <v>6164</v>
      </c>
      <c r="AB350" s="109" t="s">
        <v>4562</v>
      </c>
      <c r="AC350" s="109">
        <v>40214</v>
      </c>
      <c r="AD350" s="85" t="s">
        <v>6165</v>
      </c>
      <c r="AE350" s="88" t="s">
        <v>4898</v>
      </c>
      <c r="AF350" s="88" t="s">
        <v>5487</v>
      </c>
      <c r="AG350" s="85" t="s">
        <v>6166</v>
      </c>
      <c r="AH350" s="85" t="s">
        <v>6167</v>
      </c>
      <c r="AI350" s="85" t="s">
        <v>4779</v>
      </c>
      <c r="AJ350" s="85" t="s">
        <v>4779</v>
      </c>
      <c r="AK350" s="85" t="s">
        <v>4372</v>
      </c>
      <c r="AL350" s="90"/>
      <c r="AM350" s="85" t="s">
        <v>4338</v>
      </c>
      <c r="AN350" s="85" t="s">
        <v>6168</v>
      </c>
      <c r="AO350" s="90"/>
      <c r="AP350" s="88">
        <v>154</v>
      </c>
      <c r="AQ350" s="88">
        <v>44</v>
      </c>
      <c r="AR350" s="85" t="s">
        <v>4340</v>
      </c>
    </row>
    <row r="351" spans="2:44">
      <c r="B351" s="69" t="s">
        <v>4324</v>
      </c>
      <c r="C351" s="81">
        <v>348</v>
      </c>
      <c r="D351" s="82">
        <v>252610125</v>
      </c>
      <c r="E351" s="83" t="s">
        <v>1443</v>
      </c>
      <c r="F351" s="84" t="s">
        <v>1444</v>
      </c>
      <c r="G351" s="156" t="s">
        <v>1444</v>
      </c>
      <c r="H351" s="104" t="s">
        <v>6169</v>
      </c>
      <c r="I351" s="156" t="s">
        <v>1443</v>
      </c>
      <c r="J351" s="157" t="s">
        <v>1443</v>
      </c>
      <c r="K351" s="104" t="s">
        <v>90</v>
      </c>
      <c r="L351" s="104" t="s">
        <v>4343</v>
      </c>
      <c r="M351" s="105">
        <v>40140</v>
      </c>
      <c r="N351" s="104" t="s">
        <v>4307</v>
      </c>
      <c r="O351" s="104" t="s">
        <v>4489</v>
      </c>
      <c r="P351" s="88">
        <v>3</v>
      </c>
      <c r="Q351" s="88">
        <v>2</v>
      </c>
      <c r="R351" s="88">
        <v>0</v>
      </c>
      <c r="S351" s="88">
        <v>0</v>
      </c>
      <c r="T351" s="88">
        <f t="shared" si="5"/>
        <v>2</v>
      </c>
      <c r="U351" s="104" t="s">
        <v>4344</v>
      </c>
      <c r="V351" s="99">
        <v>0</v>
      </c>
      <c r="W351" s="108" t="s">
        <v>6170</v>
      </c>
      <c r="X351" s="108" t="s">
        <v>4492</v>
      </c>
      <c r="Y351" s="108" t="s">
        <v>4793</v>
      </c>
      <c r="Z351" s="108" t="s">
        <v>4406</v>
      </c>
      <c r="AA351" s="108" t="s">
        <v>4478</v>
      </c>
      <c r="AB351" s="108" t="s">
        <v>4395</v>
      </c>
      <c r="AC351" s="108">
        <v>40213</v>
      </c>
      <c r="AD351" s="104" t="s">
        <v>6171</v>
      </c>
      <c r="AE351" s="99" t="s">
        <v>5239</v>
      </c>
      <c r="AF351" s="99" t="s">
        <v>4348</v>
      </c>
      <c r="AG351" s="104" t="s">
        <v>6172</v>
      </c>
      <c r="AH351" s="104" t="s">
        <v>6173</v>
      </c>
      <c r="AI351" s="104" t="s">
        <v>4370</v>
      </c>
      <c r="AJ351" s="104" t="s">
        <v>4370</v>
      </c>
      <c r="AK351" s="104" t="s">
        <v>4372</v>
      </c>
      <c r="AL351" s="106"/>
      <c r="AM351" s="104" t="s">
        <v>4651</v>
      </c>
      <c r="AN351" s="104" t="s">
        <v>3124</v>
      </c>
      <c r="AO351" s="104"/>
      <c r="AP351" s="99">
        <v>155</v>
      </c>
      <c r="AQ351" s="99">
        <v>60</v>
      </c>
      <c r="AR351" s="104" t="s">
        <v>4415</v>
      </c>
    </row>
    <row r="352" s="66" customFormat="1" spans="2:44">
      <c r="B352" s="91" t="s">
        <v>4355</v>
      </c>
      <c r="C352" s="92">
        <v>349</v>
      </c>
      <c r="D352" s="93">
        <v>252610173</v>
      </c>
      <c r="E352" s="94" t="s">
        <v>1265</v>
      </c>
      <c r="F352" s="95" t="s">
        <v>1266</v>
      </c>
      <c r="G352" s="160" t="s">
        <v>1266</v>
      </c>
      <c r="H352" s="97"/>
      <c r="I352" s="160" t="s">
        <v>1265</v>
      </c>
      <c r="J352" s="160" t="s">
        <v>1265</v>
      </c>
      <c r="K352" s="97"/>
      <c r="L352" s="97"/>
      <c r="M352" s="98"/>
      <c r="N352" s="97"/>
      <c r="O352" s="97"/>
      <c r="P352" s="99"/>
      <c r="Q352" s="96"/>
      <c r="R352" s="96"/>
      <c r="S352" s="96"/>
      <c r="T352" s="88">
        <f t="shared" si="5"/>
        <v>0</v>
      </c>
      <c r="U352" s="97"/>
      <c r="V352" s="100"/>
      <c r="W352" s="101"/>
      <c r="X352" s="101"/>
      <c r="Y352" s="101"/>
      <c r="Z352" s="101"/>
      <c r="AA352" s="101"/>
      <c r="AB352" s="101"/>
      <c r="AC352" s="101"/>
      <c r="AD352" s="97"/>
      <c r="AE352" s="100"/>
      <c r="AF352" s="100"/>
      <c r="AG352" s="97"/>
      <c r="AH352" s="97"/>
      <c r="AI352" s="97"/>
      <c r="AJ352" s="97"/>
      <c r="AK352" s="97"/>
      <c r="AL352" s="97"/>
      <c r="AM352" s="97"/>
      <c r="AN352" s="97"/>
      <c r="AO352" s="97"/>
      <c r="AP352" s="100"/>
      <c r="AQ352" s="100"/>
      <c r="AR352" s="97"/>
    </row>
    <row r="353" s="66" customFormat="1" spans="2:44">
      <c r="B353" s="91" t="s">
        <v>4324</v>
      </c>
      <c r="C353" s="92">
        <v>350</v>
      </c>
      <c r="D353" s="93">
        <v>252610126</v>
      </c>
      <c r="E353" s="94" t="s">
        <v>1343</v>
      </c>
      <c r="F353" s="95" t="s">
        <v>1344</v>
      </c>
      <c r="G353" s="161" t="s">
        <v>1344</v>
      </c>
      <c r="H353" s="97"/>
      <c r="I353" s="161" t="s">
        <v>1343</v>
      </c>
      <c r="J353" s="161" t="s">
        <v>1343</v>
      </c>
      <c r="K353" s="97"/>
      <c r="L353" s="97"/>
      <c r="M353" s="98"/>
      <c r="N353" s="97"/>
      <c r="O353" s="97"/>
      <c r="P353" s="88"/>
      <c r="Q353" s="96"/>
      <c r="R353" s="96"/>
      <c r="S353" s="96"/>
      <c r="T353" s="88">
        <f t="shared" si="5"/>
        <v>0</v>
      </c>
      <c r="U353" s="97"/>
      <c r="V353" s="100"/>
      <c r="W353" s="101"/>
      <c r="X353" s="101"/>
      <c r="Y353" s="101"/>
      <c r="Z353" s="101"/>
      <c r="AA353" s="101"/>
      <c r="AB353" s="101"/>
      <c r="AC353" s="101"/>
      <c r="AD353" s="97"/>
      <c r="AE353" s="100"/>
      <c r="AF353" s="100"/>
      <c r="AG353" s="97"/>
      <c r="AH353" s="97"/>
      <c r="AI353" s="97"/>
      <c r="AJ353" s="97"/>
      <c r="AK353" s="97"/>
      <c r="AL353" s="97"/>
      <c r="AM353" s="97"/>
      <c r="AN353" s="97"/>
      <c r="AO353" s="97"/>
      <c r="AP353" s="100"/>
      <c r="AQ353" s="100"/>
      <c r="AR353" s="97"/>
    </row>
    <row r="354" s="66" customFormat="1" spans="2:44">
      <c r="B354" s="91" t="s">
        <v>4341</v>
      </c>
      <c r="C354" s="92">
        <v>351</v>
      </c>
      <c r="D354" s="93">
        <v>252610316</v>
      </c>
      <c r="E354" s="94" t="s">
        <v>960</v>
      </c>
      <c r="F354" s="95" t="s">
        <v>961</v>
      </c>
      <c r="G354" s="160" t="s">
        <v>961</v>
      </c>
      <c r="H354" s="97"/>
      <c r="I354" s="160" t="s">
        <v>960</v>
      </c>
      <c r="J354" s="160" t="s">
        <v>960</v>
      </c>
      <c r="K354" s="97"/>
      <c r="L354" s="97"/>
      <c r="M354" s="98"/>
      <c r="N354" s="97"/>
      <c r="O354" s="97"/>
      <c r="P354" s="99"/>
      <c r="Q354" s="96"/>
      <c r="R354" s="96"/>
      <c r="S354" s="96"/>
      <c r="T354" s="88">
        <f t="shared" si="5"/>
        <v>0</v>
      </c>
      <c r="U354" s="97"/>
      <c r="V354" s="100"/>
      <c r="W354" s="101"/>
      <c r="X354" s="101"/>
      <c r="Y354" s="101"/>
      <c r="Z354" s="101"/>
      <c r="AA354" s="101"/>
      <c r="AB354" s="101"/>
      <c r="AC354" s="101"/>
      <c r="AD354" s="97"/>
      <c r="AE354" s="100"/>
      <c r="AF354" s="100"/>
      <c r="AG354" s="97"/>
      <c r="AH354" s="97"/>
      <c r="AI354" s="97"/>
      <c r="AJ354" s="97"/>
      <c r="AK354" s="97"/>
      <c r="AL354" s="97"/>
      <c r="AM354" s="97"/>
      <c r="AN354" s="97"/>
      <c r="AO354" s="97"/>
      <c r="AP354" s="100"/>
      <c r="AQ354" s="100"/>
      <c r="AR354" s="97"/>
    </row>
    <row r="355" spans="2:44">
      <c r="B355" s="69" t="s">
        <v>4568</v>
      </c>
      <c r="C355" s="81">
        <v>352</v>
      </c>
      <c r="D355" s="82">
        <v>252610221</v>
      </c>
      <c r="E355" s="83" t="s">
        <v>1267</v>
      </c>
      <c r="F355" s="84" t="s">
        <v>1268</v>
      </c>
      <c r="G355" s="156" t="s">
        <v>1268</v>
      </c>
      <c r="H355" s="104" t="s">
        <v>6174</v>
      </c>
      <c r="I355" s="156" t="s">
        <v>1267</v>
      </c>
      <c r="J355" s="157" t="s">
        <v>1267</v>
      </c>
      <c r="K355" s="104" t="s">
        <v>90</v>
      </c>
      <c r="L355" s="104" t="s">
        <v>4629</v>
      </c>
      <c r="M355" s="105">
        <v>40223</v>
      </c>
      <c r="N355" s="104" t="s">
        <v>4328</v>
      </c>
      <c r="O355" s="104" t="s">
        <v>4489</v>
      </c>
      <c r="P355" s="88">
        <v>1</v>
      </c>
      <c r="Q355" s="88">
        <v>1</v>
      </c>
      <c r="R355" s="88">
        <v>0</v>
      </c>
      <c r="S355" s="88">
        <v>0</v>
      </c>
      <c r="T355" s="88">
        <f t="shared" si="5"/>
        <v>1</v>
      </c>
      <c r="U355" s="104" t="s">
        <v>6175</v>
      </c>
      <c r="V355" s="99" t="s">
        <v>4595</v>
      </c>
      <c r="W355" s="108" t="s">
        <v>6176</v>
      </c>
      <c r="X355" s="108" t="s">
        <v>4544</v>
      </c>
      <c r="Y355" s="108" t="s">
        <v>5323</v>
      </c>
      <c r="Z355" s="114"/>
      <c r="AA355" s="108" t="s">
        <v>4363</v>
      </c>
      <c r="AB355" s="108" t="s">
        <v>4378</v>
      </c>
      <c r="AC355" s="108">
        <v>40534</v>
      </c>
      <c r="AD355" s="104" t="s">
        <v>6177</v>
      </c>
      <c r="AE355" s="99" t="s">
        <v>4496</v>
      </c>
      <c r="AF355" s="99" t="s">
        <v>5102</v>
      </c>
      <c r="AG355" s="104" t="s">
        <v>6178</v>
      </c>
      <c r="AH355" s="104" t="s">
        <v>6179</v>
      </c>
      <c r="AI355" s="104" t="s">
        <v>4351</v>
      </c>
      <c r="AJ355" s="104" t="s">
        <v>5758</v>
      </c>
      <c r="AK355" s="104" t="s">
        <v>4651</v>
      </c>
      <c r="AL355" s="106"/>
      <c r="AM355" s="104" t="s">
        <v>4651</v>
      </c>
      <c r="AN355" s="104" t="s">
        <v>3312</v>
      </c>
      <c r="AO355" s="106"/>
      <c r="AP355" s="99">
        <v>157</v>
      </c>
      <c r="AQ355" s="99">
        <v>39</v>
      </c>
      <c r="AR355" s="104" t="s">
        <v>4517</v>
      </c>
    </row>
    <row r="356" s="66" customFormat="1" spans="2:44">
      <c r="B356" s="91" t="s">
        <v>4355</v>
      </c>
      <c r="C356" s="92">
        <v>353</v>
      </c>
      <c r="D356" s="93">
        <v>252610174</v>
      </c>
      <c r="E356" s="94" t="s">
        <v>1640</v>
      </c>
      <c r="F356" s="95" t="s">
        <v>1641</v>
      </c>
      <c r="G356" s="160" t="s">
        <v>1641</v>
      </c>
      <c r="H356" s="97"/>
      <c r="I356" s="160" t="s">
        <v>1640</v>
      </c>
      <c r="J356" s="160" t="s">
        <v>1640</v>
      </c>
      <c r="K356" s="97"/>
      <c r="L356" s="97"/>
      <c r="M356" s="98"/>
      <c r="N356" s="97"/>
      <c r="O356" s="97"/>
      <c r="P356" s="99"/>
      <c r="Q356" s="96"/>
      <c r="R356" s="96"/>
      <c r="S356" s="96"/>
      <c r="T356" s="88">
        <f t="shared" si="5"/>
        <v>0</v>
      </c>
      <c r="U356" s="97"/>
      <c r="V356" s="100"/>
      <c r="W356" s="101"/>
      <c r="X356" s="101"/>
      <c r="Y356" s="101"/>
      <c r="Z356" s="101"/>
      <c r="AA356" s="101"/>
      <c r="AB356" s="101"/>
      <c r="AC356" s="101"/>
      <c r="AD356" s="97"/>
      <c r="AE356" s="100"/>
      <c r="AF356" s="100"/>
      <c r="AG356" s="97"/>
      <c r="AH356" s="97"/>
      <c r="AI356" s="97"/>
      <c r="AJ356" s="97"/>
      <c r="AK356" s="97"/>
      <c r="AL356" s="97"/>
      <c r="AM356" s="97"/>
      <c r="AN356" s="97"/>
      <c r="AO356" s="97"/>
      <c r="AP356" s="100"/>
      <c r="AQ356" s="100"/>
      <c r="AR356" s="97"/>
    </row>
    <row r="357" s="66" customFormat="1" spans="2:44">
      <c r="B357" s="91" t="s">
        <v>4323</v>
      </c>
      <c r="C357" s="92">
        <v>354</v>
      </c>
      <c r="D357" s="93">
        <v>252610270</v>
      </c>
      <c r="E357" s="94" t="s">
        <v>962</v>
      </c>
      <c r="F357" s="95" t="s">
        <v>963</v>
      </c>
      <c r="G357" s="161" t="s">
        <v>4181</v>
      </c>
      <c r="H357" s="97"/>
      <c r="I357" s="161" t="s">
        <v>962</v>
      </c>
      <c r="J357" s="161" t="s">
        <v>962</v>
      </c>
      <c r="K357" s="97"/>
      <c r="L357" s="97"/>
      <c r="M357" s="98"/>
      <c r="N357" s="97"/>
      <c r="O357" s="97"/>
      <c r="P357" s="88"/>
      <c r="Q357" s="96"/>
      <c r="R357" s="96"/>
      <c r="S357" s="96"/>
      <c r="T357" s="88">
        <f t="shared" si="5"/>
        <v>0</v>
      </c>
      <c r="U357" s="97"/>
      <c r="V357" s="100"/>
      <c r="W357" s="101"/>
      <c r="X357" s="101"/>
      <c r="Y357" s="101"/>
      <c r="Z357" s="101"/>
      <c r="AA357" s="101"/>
      <c r="AB357" s="101"/>
      <c r="AC357" s="101"/>
      <c r="AD357" s="97"/>
      <c r="AE357" s="100"/>
      <c r="AF357" s="100"/>
      <c r="AG357" s="97"/>
      <c r="AH357" s="97"/>
      <c r="AI357" s="97"/>
      <c r="AJ357" s="97"/>
      <c r="AK357" s="97"/>
      <c r="AL357" s="97"/>
      <c r="AM357" s="97"/>
      <c r="AN357" s="97"/>
      <c r="AO357" s="97"/>
      <c r="AP357" s="100"/>
      <c r="AQ357" s="100"/>
      <c r="AR357" s="97"/>
    </row>
    <row r="358" s="66" customFormat="1" spans="2:44">
      <c r="B358" s="91" t="s">
        <v>4373</v>
      </c>
      <c r="C358" s="92">
        <v>355</v>
      </c>
      <c r="D358" s="93">
        <v>252610508</v>
      </c>
      <c r="E358" s="94" t="s">
        <v>1445</v>
      </c>
      <c r="F358" s="95" t="s">
        <v>1446</v>
      </c>
      <c r="G358" s="161" t="s">
        <v>4182</v>
      </c>
      <c r="H358" s="97"/>
      <c r="I358" s="161" t="s">
        <v>1445</v>
      </c>
      <c r="J358" s="161" t="s">
        <v>1445</v>
      </c>
      <c r="K358" s="97"/>
      <c r="L358" s="97"/>
      <c r="M358" s="98"/>
      <c r="N358" s="97"/>
      <c r="O358" s="97"/>
      <c r="P358" s="99"/>
      <c r="Q358" s="96"/>
      <c r="R358" s="96"/>
      <c r="S358" s="96"/>
      <c r="T358" s="88">
        <f t="shared" si="5"/>
        <v>0</v>
      </c>
      <c r="U358" s="97"/>
      <c r="V358" s="100"/>
      <c r="W358" s="101"/>
      <c r="X358" s="101"/>
      <c r="Y358" s="101"/>
      <c r="Z358" s="101"/>
      <c r="AA358" s="101"/>
      <c r="AB358" s="101"/>
      <c r="AC358" s="101"/>
      <c r="AD358" s="97"/>
      <c r="AE358" s="100"/>
      <c r="AF358" s="100"/>
      <c r="AG358" s="97"/>
      <c r="AH358" s="97"/>
      <c r="AI358" s="97"/>
      <c r="AJ358" s="97"/>
      <c r="AK358" s="97"/>
      <c r="AL358" s="97"/>
      <c r="AM358" s="97"/>
      <c r="AN358" s="97"/>
      <c r="AO358" s="97"/>
      <c r="AP358" s="100"/>
      <c r="AQ358" s="100"/>
      <c r="AR358" s="97"/>
    </row>
    <row r="359" spans="2:44">
      <c r="B359" s="69" t="s">
        <v>4354</v>
      </c>
      <c r="C359" s="81">
        <v>356</v>
      </c>
      <c r="D359" s="82">
        <v>252610079</v>
      </c>
      <c r="E359" s="83" t="s">
        <v>1345</v>
      </c>
      <c r="F359" s="84" t="s">
        <v>1346</v>
      </c>
      <c r="G359" s="162" t="s">
        <v>1346</v>
      </c>
      <c r="H359" s="85" t="s">
        <v>6180</v>
      </c>
      <c r="I359" s="162" t="s">
        <v>1345</v>
      </c>
      <c r="J359" s="163" t="s">
        <v>1345</v>
      </c>
      <c r="K359" s="85" t="s">
        <v>90</v>
      </c>
      <c r="L359" s="85" t="s">
        <v>6065</v>
      </c>
      <c r="M359" s="87">
        <v>40213</v>
      </c>
      <c r="N359" s="85" t="s">
        <v>4460</v>
      </c>
      <c r="O359" s="85" t="s">
        <v>4344</v>
      </c>
      <c r="P359" s="99">
        <v>2</v>
      </c>
      <c r="Q359" s="99">
        <v>2</v>
      </c>
      <c r="R359" s="99">
        <v>0</v>
      </c>
      <c r="S359" s="99">
        <v>0</v>
      </c>
      <c r="T359" s="88">
        <f t="shared" si="5"/>
        <v>2</v>
      </c>
      <c r="U359" s="85" t="s">
        <v>6181</v>
      </c>
      <c r="V359" s="88" t="s">
        <v>4595</v>
      </c>
      <c r="W359" s="109" t="s">
        <v>6182</v>
      </c>
      <c r="X359" s="109">
        <v>4</v>
      </c>
      <c r="Y359" s="109">
        <v>3</v>
      </c>
      <c r="Z359" s="109" t="s">
        <v>4634</v>
      </c>
      <c r="AA359" s="109" t="s">
        <v>4634</v>
      </c>
      <c r="AB359" s="109" t="s">
        <v>4988</v>
      </c>
      <c r="AC359" s="109">
        <v>40534</v>
      </c>
      <c r="AD359" s="85" t="s">
        <v>6183</v>
      </c>
      <c r="AE359" s="88" t="s">
        <v>6184</v>
      </c>
      <c r="AF359" s="88" t="s">
        <v>4733</v>
      </c>
      <c r="AG359" s="85" t="s">
        <v>6185</v>
      </c>
      <c r="AH359" s="85" t="s">
        <v>6186</v>
      </c>
      <c r="AI359" s="85" t="s">
        <v>5390</v>
      </c>
      <c r="AJ359" s="85" t="s">
        <v>5390</v>
      </c>
      <c r="AK359" s="85" t="s">
        <v>4337</v>
      </c>
      <c r="AL359" s="85" t="s">
        <v>6187</v>
      </c>
      <c r="AM359" s="85" t="s">
        <v>4372</v>
      </c>
      <c r="AN359" s="85" t="s">
        <v>6188</v>
      </c>
      <c r="AO359" s="85"/>
      <c r="AP359" s="88">
        <v>153</v>
      </c>
      <c r="AQ359" s="88">
        <v>51</v>
      </c>
      <c r="AR359" s="85" t="s">
        <v>4322</v>
      </c>
    </row>
    <row r="360" spans="2:44">
      <c r="B360" s="69" t="s">
        <v>4386</v>
      </c>
      <c r="C360" s="81">
        <v>357</v>
      </c>
      <c r="D360" s="82">
        <v>252610366</v>
      </c>
      <c r="E360" s="83" t="s">
        <v>2026</v>
      </c>
      <c r="F360" s="84" t="s">
        <v>2027</v>
      </c>
      <c r="G360" s="156" t="s">
        <v>2027</v>
      </c>
      <c r="H360" s="104" t="s">
        <v>6189</v>
      </c>
      <c r="I360" s="156" t="s">
        <v>2026</v>
      </c>
      <c r="J360" s="157" t="s">
        <v>2026</v>
      </c>
      <c r="K360" s="104" t="s">
        <v>89</v>
      </c>
      <c r="L360" s="104" t="s">
        <v>4629</v>
      </c>
      <c r="M360" s="105">
        <v>40131</v>
      </c>
      <c r="N360" s="104" t="s">
        <v>4460</v>
      </c>
      <c r="O360" s="104" t="s">
        <v>4489</v>
      </c>
      <c r="P360" s="88">
        <v>3</v>
      </c>
      <c r="Q360" s="88">
        <v>4</v>
      </c>
      <c r="R360" s="88">
        <v>0</v>
      </c>
      <c r="S360" s="88">
        <v>0</v>
      </c>
      <c r="T360" s="88">
        <f t="shared" si="5"/>
        <v>4</v>
      </c>
      <c r="U360" s="104" t="s">
        <v>5686</v>
      </c>
      <c r="V360" s="99" t="s">
        <v>4310</v>
      </c>
      <c r="W360" s="108" t="s">
        <v>6190</v>
      </c>
      <c r="X360" s="108" t="s">
        <v>4793</v>
      </c>
      <c r="Y360" s="108" t="s">
        <v>4376</v>
      </c>
      <c r="Z360" s="108" t="s">
        <v>4494</v>
      </c>
      <c r="AA360" s="108" t="s">
        <v>4494</v>
      </c>
      <c r="AB360" s="108" t="s">
        <v>4451</v>
      </c>
      <c r="AC360" s="108">
        <v>40534</v>
      </c>
      <c r="AD360" s="104" t="s">
        <v>6191</v>
      </c>
      <c r="AE360" s="99" t="s">
        <v>4917</v>
      </c>
      <c r="AF360" s="117">
        <v>531</v>
      </c>
      <c r="AG360" s="104" t="s">
        <v>6192</v>
      </c>
      <c r="AH360" s="104" t="s">
        <v>6193</v>
      </c>
      <c r="AI360" s="104" t="s">
        <v>4384</v>
      </c>
      <c r="AJ360" s="104" t="s">
        <v>4384</v>
      </c>
      <c r="AK360" s="104" t="s">
        <v>4337</v>
      </c>
      <c r="AL360" s="106"/>
      <c r="AM360" s="104" t="s">
        <v>4338</v>
      </c>
      <c r="AN360" s="104" t="s">
        <v>4846</v>
      </c>
      <c r="AO360" s="104" t="s">
        <v>6194</v>
      </c>
      <c r="AP360" s="99">
        <v>166</v>
      </c>
      <c r="AQ360" s="99">
        <v>45</v>
      </c>
      <c r="AR360" s="104" t="s">
        <v>4340</v>
      </c>
    </row>
    <row r="361" s="66" customFormat="1" spans="2:44">
      <c r="B361" s="91" t="s">
        <v>4341</v>
      </c>
      <c r="C361" s="92">
        <v>358</v>
      </c>
      <c r="D361" s="93">
        <v>252610317</v>
      </c>
      <c r="E361" s="94" t="s">
        <v>964</v>
      </c>
      <c r="F361" s="95" t="s">
        <v>965</v>
      </c>
      <c r="G361" s="160" t="s">
        <v>965</v>
      </c>
      <c r="H361" s="97"/>
      <c r="I361" s="160" t="s">
        <v>964</v>
      </c>
      <c r="J361" s="160" t="s">
        <v>964</v>
      </c>
      <c r="K361" s="97"/>
      <c r="L361" s="97"/>
      <c r="M361" s="98"/>
      <c r="N361" s="97"/>
      <c r="O361" s="97"/>
      <c r="P361" s="88"/>
      <c r="Q361" s="96"/>
      <c r="R361" s="96"/>
      <c r="S361" s="96"/>
      <c r="T361" s="88">
        <f t="shared" si="5"/>
        <v>0</v>
      </c>
      <c r="U361" s="97"/>
      <c r="V361" s="100"/>
      <c r="W361" s="101"/>
      <c r="X361" s="101"/>
      <c r="Y361" s="101"/>
      <c r="Z361" s="101"/>
      <c r="AA361" s="101"/>
      <c r="AB361" s="101"/>
      <c r="AC361" s="101"/>
      <c r="AD361" s="97"/>
      <c r="AE361" s="100"/>
      <c r="AF361" s="100"/>
      <c r="AG361" s="97"/>
      <c r="AH361" s="97"/>
      <c r="AI361" s="97"/>
      <c r="AJ361" s="97"/>
      <c r="AK361" s="97"/>
      <c r="AL361" s="97"/>
      <c r="AM361" s="97"/>
      <c r="AN361" s="97"/>
      <c r="AO361" s="97"/>
      <c r="AP361" s="100"/>
      <c r="AQ361" s="100"/>
      <c r="AR361" s="97"/>
    </row>
    <row r="362" s="66" customFormat="1" spans="2:44">
      <c r="B362" s="91" t="s">
        <v>4386</v>
      </c>
      <c r="C362" s="92">
        <v>359</v>
      </c>
      <c r="D362" s="93">
        <v>252610367</v>
      </c>
      <c r="E362" s="94" t="s">
        <v>1269</v>
      </c>
      <c r="F362" s="95" t="s">
        <v>1270</v>
      </c>
      <c r="G362" s="161" t="s">
        <v>1270</v>
      </c>
      <c r="H362" s="97"/>
      <c r="I362" s="161" t="s">
        <v>1269</v>
      </c>
      <c r="J362" s="161" t="s">
        <v>1269</v>
      </c>
      <c r="K362" s="97"/>
      <c r="L362" s="97"/>
      <c r="M362" s="98"/>
      <c r="N362" s="97"/>
      <c r="O362" s="97"/>
      <c r="P362" s="99"/>
      <c r="Q362" s="96"/>
      <c r="R362" s="96"/>
      <c r="S362" s="96"/>
      <c r="T362" s="88">
        <f t="shared" si="5"/>
        <v>0</v>
      </c>
      <c r="U362" s="97"/>
      <c r="V362" s="100"/>
      <c r="W362" s="101"/>
      <c r="X362" s="101"/>
      <c r="Y362" s="101"/>
      <c r="Z362" s="101"/>
      <c r="AA362" s="101"/>
      <c r="AB362" s="101"/>
      <c r="AC362" s="101"/>
      <c r="AD362" s="97"/>
      <c r="AE362" s="100"/>
      <c r="AF362" s="100"/>
      <c r="AG362" s="97"/>
      <c r="AH362" s="97"/>
      <c r="AI362" s="97"/>
      <c r="AJ362" s="97"/>
      <c r="AK362" s="97"/>
      <c r="AL362" s="97"/>
      <c r="AM362" s="97"/>
      <c r="AN362" s="97"/>
      <c r="AO362" s="97"/>
      <c r="AP362" s="100"/>
      <c r="AQ362" s="100"/>
      <c r="AR362" s="97"/>
    </row>
    <row r="363" spans="2:44">
      <c r="B363" s="69" t="s">
        <v>4355</v>
      </c>
      <c r="C363" s="81">
        <v>360</v>
      </c>
      <c r="D363" s="82">
        <v>252610175</v>
      </c>
      <c r="E363" s="83" t="s">
        <v>1151</v>
      </c>
      <c r="F363" s="84" t="s">
        <v>1152</v>
      </c>
      <c r="G363" s="99">
        <v>0</v>
      </c>
      <c r="H363" s="85" t="s">
        <v>6195</v>
      </c>
      <c r="I363" s="162" t="s">
        <v>1151</v>
      </c>
      <c r="J363" s="163" t="s">
        <v>1151</v>
      </c>
      <c r="K363" s="85" t="s">
        <v>89</v>
      </c>
      <c r="L363" s="85" t="s">
        <v>4343</v>
      </c>
      <c r="M363" s="87">
        <v>40357</v>
      </c>
      <c r="N363" s="85" t="s">
        <v>6196</v>
      </c>
      <c r="O363" s="85" t="s">
        <v>4344</v>
      </c>
      <c r="P363" s="88">
        <v>2</v>
      </c>
      <c r="Q363" s="99">
        <v>2</v>
      </c>
      <c r="R363" s="99">
        <v>1</v>
      </c>
      <c r="S363" s="99">
        <v>0</v>
      </c>
      <c r="T363" s="88">
        <f t="shared" si="5"/>
        <v>3</v>
      </c>
      <c r="U363" s="85" t="s">
        <v>4344</v>
      </c>
      <c r="V363" s="88">
        <v>0</v>
      </c>
      <c r="W363" s="109" t="s">
        <v>6197</v>
      </c>
      <c r="X363" s="109" t="s">
        <v>4793</v>
      </c>
      <c r="Y363" s="109">
        <v>10</v>
      </c>
      <c r="Z363" s="109" t="s">
        <v>4655</v>
      </c>
      <c r="AA363" s="109" t="s">
        <v>4655</v>
      </c>
      <c r="AB363" s="109" t="s">
        <v>6198</v>
      </c>
      <c r="AC363" s="109">
        <v>40215</v>
      </c>
      <c r="AD363" s="85" t="s">
        <v>6199</v>
      </c>
      <c r="AE363" s="88" t="s">
        <v>4366</v>
      </c>
      <c r="AF363" s="113">
        <v>1166</v>
      </c>
      <c r="AG363" s="85" t="s">
        <v>6200</v>
      </c>
      <c r="AH363" s="85" t="s">
        <v>6201</v>
      </c>
      <c r="AI363" s="85" t="s">
        <v>4318</v>
      </c>
      <c r="AJ363" s="85" t="s">
        <v>4318</v>
      </c>
      <c r="AK363" s="85" t="s">
        <v>4337</v>
      </c>
      <c r="AL363" s="85" t="s">
        <v>4406</v>
      </c>
      <c r="AM363" s="85" t="s">
        <v>4320</v>
      </c>
      <c r="AN363" s="85" t="s">
        <v>6202</v>
      </c>
      <c r="AO363" s="85" t="s">
        <v>6203</v>
      </c>
      <c r="AP363" s="88">
        <v>176</v>
      </c>
      <c r="AQ363" s="88">
        <v>60</v>
      </c>
      <c r="AR363" s="85" t="s">
        <v>4428</v>
      </c>
    </row>
    <row r="364" spans="2:44">
      <c r="B364" s="69" t="s">
        <v>4323</v>
      </c>
      <c r="C364" s="81">
        <v>361</v>
      </c>
      <c r="D364" s="82">
        <v>252610271</v>
      </c>
      <c r="E364" s="83" t="s">
        <v>2028</v>
      </c>
      <c r="F364" s="84" t="s">
        <v>2029</v>
      </c>
      <c r="G364" s="99">
        <v>0</v>
      </c>
      <c r="H364" s="85" t="s">
        <v>6204</v>
      </c>
      <c r="I364" s="162" t="s">
        <v>2028</v>
      </c>
      <c r="J364" s="163" t="s">
        <v>2028</v>
      </c>
      <c r="K364" s="85" t="s">
        <v>90</v>
      </c>
      <c r="L364" s="85" t="s">
        <v>6205</v>
      </c>
      <c r="M364" s="87">
        <v>39894</v>
      </c>
      <c r="N364" s="85" t="s">
        <v>6206</v>
      </c>
      <c r="O364" s="85" t="s">
        <v>4329</v>
      </c>
      <c r="P364" s="99">
        <v>1</v>
      </c>
      <c r="Q364" s="99">
        <v>1</v>
      </c>
      <c r="R364" s="99">
        <v>0</v>
      </c>
      <c r="S364" s="99">
        <v>0</v>
      </c>
      <c r="T364" s="88">
        <f t="shared" si="5"/>
        <v>1</v>
      </c>
      <c r="U364" s="85" t="s">
        <v>5031</v>
      </c>
      <c r="V364" s="88">
        <v>0</v>
      </c>
      <c r="W364" s="109" t="s">
        <v>6207</v>
      </c>
      <c r="X364" s="109" t="s">
        <v>4492</v>
      </c>
      <c r="Y364" s="109">
        <v>27</v>
      </c>
      <c r="Z364" s="109" t="s">
        <v>4406</v>
      </c>
      <c r="AA364" s="109" t="s">
        <v>5510</v>
      </c>
      <c r="AB364" s="109" t="s">
        <v>5137</v>
      </c>
      <c r="AC364" s="109">
        <v>40535</v>
      </c>
      <c r="AD364" s="85" t="s">
        <v>6208</v>
      </c>
      <c r="AE364" s="88" t="s">
        <v>6209</v>
      </c>
      <c r="AF364" s="88" t="s">
        <v>5487</v>
      </c>
      <c r="AG364" s="85" t="s">
        <v>6210</v>
      </c>
      <c r="AH364" s="85" t="s">
        <v>6211</v>
      </c>
      <c r="AI364" s="85" t="s">
        <v>4318</v>
      </c>
      <c r="AJ364" s="85" t="s">
        <v>4318</v>
      </c>
      <c r="AK364" s="85" t="s">
        <v>4319</v>
      </c>
      <c r="AL364" s="90"/>
      <c r="AM364" s="85" t="s">
        <v>4372</v>
      </c>
      <c r="AN364" s="85" t="s">
        <v>5290</v>
      </c>
      <c r="AO364" s="90"/>
      <c r="AP364" s="88">
        <v>159</v>
      </c>
      <c r="AQ364" s="88">
        <v>51</v>
      </c>
      <c r="AR364" s="85" t="s">
        <v>4340</v>
      </c>
    </row>
    <row r="365" s="66" customFormat="1" spans="2:44">
      <c r="B365" s="91" t="s">
        <v>4674</v>
      </c>
      <c r="C365" s="92">
        <v>362</v>
      </c>
      <c r="D365" s="93">
        <v>252610413</v>
      </c>
      <c r="E365" s="94" t="s">
        <v>1070</v>
      </c>
      <c r="F365" s="95" t="s">
        <v>1071</v>
      </c>
      <c r="G365" s="161" t="s">
        <v>1071</v>
      </c>
      <c r="H365" s="97"/>
      <c r="I365" s="161">
        <v>3099921407</v>
      </c>
      <c r="J365" s="161">
        <v>3099921407</v>
      </c>
      <c r="K365" s="97"/>
      <c r="L365" s="97"/>
      <c r="M365" s="98"/>
      <c r="N365" s="97"/>
      <c r="O365" s="97"/>
      <c r="P365" s="88"/>
      <c r="Q365" s="96"/>
      <c r="R365" s="96"/>
      <c r="S365" s="96"/>
      <c r="T365" s="88">
        <f t="shared" si="5"/>
        <v>0</v>
      </c>
      <c r="U365" s="97"/>
      <c r="V365" s="100"/>
      <c r="W365" s="101"/>
      <c r="X365" s="101"/>
      <c r="Y365" s="101"/>
      <c r="Z365" s="101"/>
      <c r="AA365" s="101"/>
      <c r="AB365" s="101"/>
      <c r="AC365" s="101"/>
      <c r="AD365" s="97"/>
      <c r="AE365" s="100"/>
      <c r="AF365" s="100"/>
      <c r="AG365" s="97"/>
      <c r="AH365" s="97"/>
      <c r="AI365" s="97"/>
      <c r="AJ365" s="97"/>
      <c r="AK365" s="97"/>
      <c r="AL365" s="97"/>
      <c r="AM365" s="97"/>
      <c r="AN365" s="97"/>
      <c r="AO365" s="97"/>
      <c r="AP365" s="100"/>
      <c r="AQ365" s="100"/>
      <c r="AR365" s="97"/>
    </row>
    <row r="366" s="66" customFormat="1" spans="2:44">
      <c r="B366" s="91" t="s">
        <v>4304</v>
      </c>
      <c r="C366" s="92">
        <v>363</v>
      </c>
      <c r="D366" s="93">
        <v>252610461</v>
      </c>
      <c r="E366" s="94" t="s">
        <v>966</v>
      </c>
      <c r="F366" s="95" t="s">
        <v>967</v>
      </c>
      <c r="G366" s="160" t="s">
        <v>967</v>
      </c>
      <c r="H366" s="97"/>
      <c r="I366" s="160" t="s">
        <v>966</v>
      </c>
      <c r="J366" s="160" t="s">
        <v>966</v>
      </c>
      <c r="K366" s="97"/>
      <c r="L366" s="97"/>
      <c r="M366" s="98"/>
      <c r="N366" s="97"/>
      <c r="O366" s="97"/>
      <c r="P366" s="99"/>
      <c r="Q366" s="96"/>
      <c r="R366" s="96"/>
      <c r="S366" s="96"/>
      <c r="T366" s="88">
        <f t="shared" si="5"/>
        <v>0</v>
      </c>
      <c r="U366" s="97"/>
      <c r="V366" s="100"/>
      <c r="W366" s="101"/>
      <c r="X366" s="101"/>
      <c r="Y366" s="101"/>
      <c r="Z366" s="101"/>
      <c r="AA366" s="101"/>
      <c r="AB366" s="101"/>
      <c r="AC366" s="101"/>
      <c r="AD366" s="97"/>
      <c r="AE366" s="100"/>
      <c r="AF366" s="100"/>
      <c r="AG366" s="97"/>
      <c r="AH366" s="97"/>
      <c r="AI366" s="97"/>
      <c r="AJ366" s="97"/>
      <c r="AK366" s="97"/>
      <c r="AL366" s="97"/>
      <c r="AM366" s="97"/>
      <c r="AN366" s="97"/>
      <c r="AO366" s="97"/>
      <c r="AP366" s="100"/>
      <c r="AQ366" s="100"/>
      <c r="AR366" s="97"/>
    </row>
    <row r="367" spans="2:44">
      <c r="B367" s="69" t="s">
        <v>4674</v>
      </c>
      <c r="C367" s="81">
        <v>364</v>
      </c>
      <c r="D367" s="82">
        <v>252610414</v>
      </c>
      <c r="E367" s="83" t="s">
        <v>1927</v>
      </c>
      <c r="F367" s="84" t="s">
        <v>1928</v>
      </c>
      <c r="G367" s="156" t="s">
        <v>1928</v>
      </c>
      <c r="H367" s="104" t="s">
        <v>6212</v>
      </c>
      <c r="I367" s="156" t="s">
        <v>1927</v>
      </c>
      <c r="J367" s="157" t="s">
        <v>1927</v>
      </c>
      <c r="K367" s="104" t="s">
        <v>89</v>
      </c>
      <c r="L367" s="104" t="s">
        <v>6065</v>
      </c>
      <c r="M367" s="105">
        <v>40472</v>
      </c>
      <c r="N367" s="104" t="s">
        <v>6213</v>
      </c>
      <c r="O367" s="104" t="s">
        <v>4344</v>
      </c>
      <c r="P367" s="88">
        <v>1</v>
      </c>
      <c r="Q367" s="88">
        <v>3</v>
      </c>
      <c r="R367" s="88">
        <v>0</v>
      </c>
      <c r="S367" s="88">
        <v>0</v>
      </c>
      <c r="T367" s="88">
        <f t="shared" si="5"/>
        <v>3</v>
      </c>
      <c r="U367" s="104" t="s">
        <v>4344</v>
      </c>
      <c r="V367" s="99" t="s">
        <v>4358</v>
      </c>
      <c r="W367" s="108" t="s">
        <v>6214</v>
      </c>
      <c r="X367" s="108" t="s">
        <v>5397</v>
      </c>
      <c r="Y367" s="108" t="s">
        <v>5478</v>
      </c>
      <c r="Z367" s="108" t="s">
        <v>6215</v>
      </c>
      <c r="AA367" s="108" t="s">
        <v>4573</v>
      </c>
      <c r="AB367" s="108" t="s">
        <v>4364</v>
      </c>
      <c r="AC367" s="108">
        <v>40535</v>
      </c>
      <c r="AD367" s="104" t="s">
        <v>6216</v>
      </c>
      <c r="AE367" s="99" t="s">
        <v>4333</v>
      </c>
      <c r="AF367" s="99" t="s">
        <v>5035</v>
      </c>
      <c r="AG367" s="104" t="s">
        <v>6217</v>
      </c>
      <c r="AH367" s="104" t="s">
        <v>6218</v>
      </c>
      <c r="AI367" s="104" t="s">
        <v>4318</v>
      </c>
      <c r="AJ367" s="104" t="s">
        <v>4318</v>
      </c>
      <c r="AK367" s="104" t="s">
        <v>4337</v>
      </c>
      <c r="AL367" s="106"/>
      <c r="AM367" s="104" t="s">
        <v>4372</v>
      </c>
      <c r="AN367" s="104" t="s">
        <v>4384</v>
      </c>
      <c r="AO367" s="104" t="s">
        <v>6219</v>
      </c>
      <c r="AP367" s="99">
        <v>173</v>
      </c>
      <c r="AQ367" s="99">
        <v>66</v>
      </c>
      <c r="AR367" s="104" t="s">
        <v>4428</v>
      </c>
    </row>
    <row r="368" spans="2:44">
      <c r="B368" s="69" t="s">
        <v>4324</v>
      </c>
      <c r="C368" s="81">
        <v>365</v>
      </c>
      <c r="D368" s="82">
        <v>252610127</v>
      </c>
      <c r="E368" s="83" t="s">
        <v>1447</v>
      </c>
      <c r="F368" s="84" t="s">
        <v>1448</v>
      </c>
      <c r="G368" s="162" t="s">
        <v>1448</v>
      </c>
      <c r="H368" s="85" t="s">
        <v>6220</v>
      </c>
      <c r="I368" s="162" t="s">
        <v>1447</v>
      </c>
      <c r="J368" s="163" t="s">
        <v>1447</v>
      </c>
      <c r="K368" s="85" t="s">
        <v>90</v>
      </c>
      <c r="L368" s="85" t="s">
        <v>4357</v>
      </c>
      <c r="M368" s="87">
        <v>40248</v>
      </c>
      <c r="N368" s="85" t="s">
        <v>4328</v>
      </c>
      <c r="O368" s="85" t="s">
        <v>4489</v>
      </c>
      <c r="P368" s="99">
        <v>1</v>
      </c>
      <c r="Q368" s="99">
        <v>2</v>
      </c>
      <c r="R368" s="99">
        <v>0</v>
      </c>
      <c r="S368" s="99">
        <v>0</v>
      </c>
      <c r="T368" s="88">
        <f t="shared" si="5"/>
        <v>2</v>
      </c>
      <c r="U368" s="85" t="s">
        <v>4489</v>
      </c>
      <c r="V368" s="88">
        <v>0</v>
      </c>
      <c r="W368" s="109" t="s">
        <v>6221</v>
      </c>
      <c r="X368" s="109" t="s">
        <v>4464</v>
      </c>
      <c r="Y368" s="109">
        <v>21</v>
      </c>
      <c r="Z368" s="109" t="s">
        <v>4406</v>
      </c>
      <c r="AA368" s="109" t="s">
        <v>4494</v>
      </c>
      <c r="AB368" s="109" t="s">
        <v>4451</v>
      </c>
      <c r="AC368" s="109">
        <v>40533</v>
      </c>
      <c r="AD368" s="85" t="s">
        <v>6222</v>
      </c>
      <c r="AE368" s="88" t="s">
        <v>4410</v>
      </c>
      <c r="AF368" s="113">
        <v>1004</v>
      </c>
      <c r="AG368" s="85" t="s">
        <v>6223</v>
      </c>
      <c r="AH368" s="85" t="s">
        <v>6224</v>
      </c>
      <c r="AI368" s="85" t="s">
        <v>4456</v>
      </c>
      <c r="AJ368" s="85" t="s">
        <v>4638</v>
      </c>
      <c r="AK368" s="85" t="s">
        <v>4320</v>
      </c>
      <c r="AL368" s="85" t="s">
        <v>4406</v>
      </c>
      <c r="AM368" s="85" t="s">
        <v>4372</v>
      </c>
      <c r="AN368" s="85" t="s">
        <v>3124</v>
      </c>
      <c r="AO368" s="90"/>
      <c r="AP368" s="88">
        <v>156</v>
      </c>
      <c r="AQ368" s="88">
        <v>52</v>
      </c>
      <c r="AR368" s="85" t="s">
        <v>4322</v>
      </c>
    </row>
    <row r="369" spans="2:44">
      <c r="B369" s="69" t="s">
        <v>4568</v>
      </c>
      <c r="C369" s="81">
        <v>366</v>
      </c>
      <c r="D369" s="82">
        <v>252610222</v>
      </c>
      <c r="E369" s="83" t="s">
        <v>1837</v>
      </c>
      <c r="F369" s="84" t="s">
        <v>1838</v>
      </c>
      <c r="G369" s="156" t="s">
        <v>1838</v>
      </c>
      <c r="H369" s="104" t="s">
        <v>6225</v>
      </c>
      <c r="I369" s="156" t="s">
        <v>1837</v>
      </c>
      <c r="J369" s="157" t="s">
        <v>1837</v>
      </c>
      <c r="K369" s="104" t="s">
        <v>90</v>
      </c>
      <c r="L369" s="104" t="s">
        <v>6226</v>
      </c>
      <c r="M369" s="105">
        <v>40269</v>
      </c>
      <c r="N369" s="104" t="s">
        <v>4328</v>
      </c>
      <c r="O369" s="104" t="s">
        <v>4489</v>
      </c>
      <c r="P369" s="88">
        <v>2</v>
      </c>
      <c r="Q369" s="88">
        <v>1</v>
      </c>
      <c r="R369" s="88">
        <v>0</v>
      </c>
      <c r="S369" s="88">
        <v>0</v>
      </c>
      <c r="T369" s="88">
        <f t="shared" si="5"/>
        <v>1</v>
      </c>
      <c r="U369" s="104" t="s">
        <v>4489</v>
      </c>
      <c r="V369" s="99">
        <v>0</v>
      </c>
      <c r="W369" s="108" t="s">
        <v>6227</v>
      </c>
      <c r="X369" s="108" t="s">
        <v>4464</v>
      </c>
      <c r="Y369" s="108" t="s">
        <v>4464</v>
      </c>
      <c r="Z369" s="108" t="s">
        <v>6228</v>
      </c>
      <c r="AA369" s="108" t="s">
        <v>6228</v>
      </c>
      <c r="AB369" s="108" t="s">
        <v>6229</v>
      </c>
      <c r="AC369" s="108">
        <v>40758</v>
      </c>
      <c r="AD369" s="104" t="s">
        <v>6230</v>
      </c>
      <c r="AE369" s="99" t="s">
        <v>4815</v>
      </c>
      <c r="AF369" s="99">
        <v>1</v>
      </c>
      <c r="AG369" s="104" t="s">
        <v>6231</v>
      </c>
      <c r="AH369" s="104" t="s">
        <v>6232</v>
      </c>
      <c r="AI369" s="104" t="s">
        <v>4351</v>
      </c>
      <c r="AJ369" s="104" t="s">
        <v>4351</v>
      </c>
      <c r="AK369" s="104" t="s">
        <v>4651</v>
      </c>
      <c r="AL369" s="106"/>
      <c r="AM369" s="104" t="s">
        <v>4319</v>
      </c>
      <c r="AN369" s="104" t="s">
        <v>6233</v>
      </c>
      <c r="AO369" s="106"/>
      <c r="AP369" s="99">
        <v>160</v>
      </c>
      <c r="AQ369" s="99">
        <v>54</v>
      </c>
      <c r="AR369" s="104" t="s">
        <v>4443</v>
      </c>
    </row>
    <row r="370" s="66" customFormat="1" spans="2:44">
      <c r="B370" s="91" t="s">
        <v>4373</v>
      </c>
      <c r="C370" s="92">
        <v>367</v>
      </c>
      <c r="D370" s="93">
        <v>252610509</v>
      </c>
      <c r="E370" s="94" t="s">
        <v>1839</v>
      </c>
      <c r="F370" s="95" t="s">
        <v>1840</v>
      </c>
      <c r="G370" s="160" t="s">
        <v>1840</v>
      </c>
      <c r="H370" s="97"/>
      <c r="I370" s="160" t="s">
        <v>1839</v>
      </c>
      <c r="J370" s="160" t="s">
        <v>1839</v>
      </c>
      <c r="K370" s="97"/>
      <c r="L370" s="97"/>
      <c r="M370" s="98"/>
      <c r="N370" s="97"/>
      <c r="O370" s="97"/>
      <c r="P370" s="99"/>
      <c r="Q370" s="96"/>
      <c r="R370" s="96"/>
      <c r="S370" s="96"/>
      <c r="T370" s="88">
        <f t="shared" si="5"/>
        <v>0</v>
      </c>
      <c r="U370" s="97"/>
      <c r="V370" s="100"/>
      <c r="W370" s="101"/>
      <c r="X370" s="101"/>
      <c r="Y370" s="101"/>
      <c r="Z370" s="101"/>
      <c r="AA370" s="101"/>
      <c r="AB370" s="101"/>
      <c r="AC370" s="101"/>
      <c r="AD370" s="97"/>
      <c r="AE370" s="100"/>
      <c r="AF370" s="100"/>
      <c r="AG370" s="97"/>
      <c r="AH370" s="97"/>
      <c r="AI370" s="97"/>
      <c r="AJ370" s="97"/>
      <c r="AK370" s="97"/>
      <c r="AL370" s="97"/>
      <c r="AM370" s="97"/>
      <c r="AN370" s="97"/>
      <c r="AO370" s="97"/>
      <c r="AP370" s="100"/>
      <c r="AQ370" s="100"/>
      <c r="AR370" s="97"/>
    </row>
    <row r="371" spans="2:44">
      <c r="B371" s="69" t="s">
        <v>4642</v>
      </c>
      <c r="C371" s="81">
        <v>368</v>
      </c>
      <c r="D371" s="82">
        <v>252610560</v>
      </c>
      <c r="E371" s="83" t="s">
        <v>1271</v>
      </c>
      <c r="F371" s="84" t="s">
        <v>1272</v>
      </c>
      <c r="G371" s="156" t="s">
        <v>1272</v>
      </c>
      <c r="H371" s="104" t="s">
        <v>6234</v>
      </c>
      <c r="I371" s="156" t="s">
        <v>1271</v>
      </c>
      <c r="J371" s="157" t="s">
        <v>1271</v>
      </c>
      <c r="K371" s="104" t="s">
        <v>90</v>
      </c>
      <c r="L371" s="104" t="s">
        <v>6235</v>
      </c>
      <c r="M371" s="105">
        <v>40092</v>
      </c>
      <c r="N371" s="104" t="s">
        <v>4307</v>
      </c>
      <c r="O371" s="104" t="s">
        <v>4446</v>
      </c>
      <c r="P371" s="88">
        <v>2</v>
      </c>
      <c r="Q371" s="88">
        <v>1</v>
      </c>
      <c r="R371" s="88">
        <v>0</v>
      </c>
      <c r="S371" s="88">
        <v>0</v>
      </c>
      <c r="T371" s="88">
        <f t="shared" si="5"/>
        <v>1</v>
      </c>
      <c r="U371" s="104" t="s">
        <v>6236</v>
      </c>
      <c r="V371" s="99" t="s">
        <v>4595</v>
      </c>
      <c r="W371" s="108" t="s">
        <v>6237</v>
      </c>
      <c r="X371" s="108" t="s">
        <v>4464</v>
      </c>
      <c r="Y371" s="108" t="s">
        <v>5004</v>
      </c>
      <c r="Z371" s="108" t="s">
        <v>4478</v>
      </c>
      <c r="AA371" s="108" t="s">
        <v>4478</v>
      </c>
      <c r="AB371" s="108" t="s">
        <v>4656</v>
      </c>
      <c r="AC371" s="108">
        <v>40213</v>
      </c>
      <c r="AD371" s="104" t="s">
        <v>6238</v>
      </c>
      <c r="AE371" s="99" t="s">
        <v>4422</v>
      </c>
      <c r="AF371" s="117">
        <v>656</v>
      </c>
      <c r="AG371" s="104" t="s">
        <v>6239</v>
      </c>
      <c r="AH371" s="104" t="s">
        <v>6240</v>
      </c>
      <c r="AI371" s="104" t="s">
        <v>5179</v>
      </c>
      <c r="AJ371" s="104" t="s">
        <v>5179</v>
      </c>
      <c r="AK371" s="104" t="s">
        <v>4320</v>
      </c>
      <c r="AL371" s="104" t="s">
        <v>4406</v>
      </c>
      <c r="AM371" s="104" t="s">
        <v>4372</v>
      </c>
      <c r="AN371" s="104" t="s">
        <v>6241</v>
      </c>
      <c r="AO371" s="104"/>
      <c r="AP371" s="99">
        <v>160</v>
      </c>
      <c r="AQ371" s="99">
        <v>50</v>
      </c>
      <c r="AR371" s="104" t="s">
        <v>4538</v>
      </c>
    </row>
    <row r="372" spans="2:44">
      <c r="B372" s="69" t="s">
        <v>4325</v>
      </c>
      <c r="C372" s="81">
        <v>369</v>
      </c>
      <c r="D372" s="82">
        <v>252610035</v>
      </c>
      <c r="E372" s="102" t="s">
        <v>1153</v>
      </c>
      <c r="F372" s="103" t="s">
        <v>1154</v>
      </c>
      <c r="G372" s="162" t="s">
        <v>4184</v>
      </c>
      <c r="H372" s="85" t="s">
        <v>6242</v>
      </c>
      <c r="I372" s="162" t="s">
        <v>1153</v>
      </c>
      <c r="J372" s="163" t="s">
        <v>1153</v>
      </c>
      <c r="K372" s="85" t="s">
        <v>90</v>
      </c>
      <c r="L372" s="85" t="s">
        <v>4327</v>
      </c>
      <c r="M372" s="87">
        <v>40210</v>
      </c>
      <c r="N372" s="85" t="s">
        <v>4307</v>
      </c>
      <c r="O372" s="85" t="s">
        <v>4308</v>
      </c>
      <c r="P372" s="99">
        <v>2</v>
      </c>
      <c r="Q372" s="99">
        <v>0</v>
      </c>
      <c r="R372" s="99">
        <v>0</v>
      </c>
      <c r="S372" s="99">
        <v>0</v>
      </c>
      <c r="T372" s="88">
        <f t="shared" si="5"/>
        <v>0</v>
      </c>
      <c r="U372" s="85" t="s">
        <v>4308</v>
      </c>
      <c r="V372" s="88">
        <v>0</v>
      </c>
      <c r="W372" s="109" t="s">
        <v>6243</v>
      </c>
      <c r="X372" s="109" t="s">
        <v>4477</v>
      </c>
      <c r="Y372" s="109">
        <v>20</v>
      </c>
      <c r="Z372" s="109" t="s">
        <v>4765</v>
      </c>
      <c r="AA372" s="109" t="s">
        <v>4363</v>
      </c>
      <c r="AB372" s="109" t="s">
        <v>4364</v>
      </c>
      <c r="AC372" s="109">
        <v>40534</v>
      </c>
      <c r="AD372" s="85" t="s">
        <v>6244</v>
      </c>
      <c r="AE372" s="88" t="s">
        <v>5580</v>
      </c>
      <c r="AF372" s="88" t="s">
        <v>4502</v>
      </c>
      <c r="AG372" s="85" t="s">
        <v>6245</v>
      </c>
      <c r="AH372" s="85" t="s">
        <v>6246</v>
      </c>
      <c r="AI372" s="85" t="s">
        <v>4615</v>
      </c>
      <c r="AJ372" s="85" t="s">
        <v>6247</v>
      </c>
      <c r="AK372" s="85" t="s">
        <v>4337</v>
      </c>
      <c r="AL372" s="85" t="s">
        <v>6248</v>
      </c>
      <c r="AM372" s="85" t="s">
        <v>4320</v>
      </c>
      <c r="AN372" s="85" t="s">
        <v>4554</v>
      </c>
      <c r="AO372" s="90"/>
      <c r="AP372" s="88">
        <v>165</v>
      </c>
      <c r="AQ372" s="88">
        <v>55</v>
      </c>
      <c r="AR372" s="85" t="s">
        <v>4415</v>
      </c>
    </row>
    <row r="373" spans="2:44">
      <c r="B373" s="69" t="s">
        <v>4355</v>
      </c>
      <c r="C373" s="81">
        <v>370</v>
      </c>
      <c r="D373" s="82">
        <v>252610176</v>
      </c>
      <c r="E373" s="83" t="s">
        <v>1638</v>
      </c>
      <c r="F373" s="84" t="s">
        <v>1639</v>
      </c>
      <c r="G373" s="156" t="s">
        <v>4185</v>
      </c>
      <c r="H373" s="104" t="s">
        <v>6249</v>
      </c>
      <c r="I373" s="156" t="s">
        <v>1638</v>
      </c>
      <c r="J373" s="157" t="s">
        <v>1638</v>
      </c>
      <c r="K373" s="104" t="s">
        <v>90</v>
      </c>
      <c r="L373" s="104" t="s">
        <v>4343</v>
      </c>
      <c r="M373" s="105">
        <v>40272</v>
      </c>
      <c r="N373" s="104" t="s">
        <v>4307</v>
      </c>
      <c r="O373" s="104" t="s">
        <v>4308</v>
      </c>
      <c r="P373" s="88">
        <v>1</v>
      </c>
      <c r="Q373" s="88">
        <v>0</v>
      </c>
      <c r="R373" s="88">
        <v>0</v>
      </c>
      <c r="S373" s="88">
        <v>0</v>
      </c>
      <c r="T373" s="88">
        <f t="shared" si="5"/>
        <v>0</v>
      </c>
      <c r="U373" s="104" t="s">
        <v>4345</v>
      </c>
      <c r="V373" s="99" t="s">
        <v>4595</v>
      </c>
      <c r="W373" s="108" t="s">
        <v>6250</v>
      </c>
      <c r="X373" s="108" t="s">
        <v>4419</v>
      </c>
      <c r="Y373" s="108" t="s">
        <v>4492</v>
      </c>
      <c r="Z373" s="108" t="s">
        <v>4406</v>
      </c>
      <c r="AA373" s="108" t="s">
        <v>4478</v>
      </c>
      <c r="AB373" s="108" t="s">
        <v>4775</v>
      </c>
      <c r="AC373" s="108">
        <v>40213</v>
      </c>
      <c r="AD373" s="104" t="s">
        <v>6251</v>
      </c>
      <c r="AE373" s="99" t="s">
        <v>4422</v>
      </c>
      <c r="AF373" s="99" t="s">
        <v>4733</v>
      </c>
      <c r="AG373" s="104" t="s">
        <v>6252</v>
      </c>
      <c r="AH373" s="104" t="s">
        <v>6253</v>
      </c>
      <c r="AI373" s="104" t="s">
        <v>5758</v>
      </c>
      <c r="AJ373" s="104" t="s">
        <v>4318</v>
      </c>
      <c r="AK373" s="104" t="s">
        <v>4337</v>
      </c>
      <c r="AL373" s="106"/>
      <c r="AM373" s="104" t="s">
        <v>4372</v>
      </c>
      <c r="AN373" s="104" t="s">
        <v>6254</v>
      </c>
      <c r="AO373" s="106"/>
      <c r="AP373" s="99">
        <v>153</v>
      </c>
      <c r="AQ373" s="99">
        <v>45</v>
      </c>
      <c r="AR373" s="104" t="s">
        <v>4322</v>
      </c>
    </row>
    <row r="374" spans="2:44">
      <c r="B374" s="69" t="s">
        <v>4568</v>
      </c>
      <c r="C374" s="81">
        <v>371</v>
      </c>
      <c r="D374" s="82">
        <v>252610223</v>
      </c>
      <c r="E374" s="83" t="s">
        <v>1155</v>
      </c>
      <c r="F374" s="84" t="s">
        <v>4186</v>
      </c>
      <c r="G374" s="162" t="s">
        <v>1156</v>
      </c>
      <c r="H374" s="85" t="s">
        <v>6255</v>
      </c>
      <c r="I374" s="162" t="s">
        <v>1155</v>
      </c>
      <c r="J374" s="163" t="s">
        <v>1155</v>
      </c>
      <c r="K374" s="85" t="s">
        <v>90</v>
      </c>
      <c r="L374" s="85" t="s">
        <v>4459</v>
      </c>
      <c r="M374" s="87">
        <v>40383</v>
      </c>
      <c r="N374" s="85" t="s">
        <v>4460</v>
      </c>
      <c r="O374" s="85" t="s">
        <v>5545</v>
      </c>
      <c r="P374" s="99">
        <v>2</v>
      </c>
      <c r="Q374" s="99">
        <v>1</v>
      </c>
      <c r="R374" s="99">
        <v>0</v>
      </c>
      <c r="S374" s="99">
        <v>0</v>
      </c>
      <c r="T374" s="88">
        <f t="shared" si="5"/>
        <v>1</v>
      </c>
      <c r="U374" s="85" t="s">
        <v>4462</v>
      </c>
      <c r="V374" s="88" t="s">
        <v>4358</v>
      </c>
      <c r="W374" s="109" t="s">
        <v>6256</v>
      </c>
      <c r="X374" s="109" t="s">
        <v>4477</v>
      </c>
      <c r="Y374" s="109" t="s">
        <v>4361</v>
      </c>
      <c r="Z374" s="109" t="s">
        <v>4467</v>
      </c>
      <c r="AA374" s="109" t="s">
        <v>4467</v>
      </c>
      <c r="AB374" s="109" t="s">
        <v>4467</v>
      </c>
      <c r="AC374" s="109">
        <v>40215</v>
      </c>
      <c r="AD374" s="85" t="s">
        <v>6257</v>
      </c>
      <c r="AE374" s="88" t="s">
        <v>4436</v>
      </c>
      <c r="AF374" s="88" t="s">
        <v>4879</v>
      </c>
      <c r="AG374" s="85" t="s">
        <v>6245</v>
      </c>
      <c r="AH374" s="85" t="s">
        <v>6258</v>
      </c>
      <c r="AI374" s="85" t="s">
        <v>4370</v>
      </c>
      <c r="AJ374" s="85" t="s">
        <v>4515</v>
      </c>
      <c r="AK374" s="85" t="s">
        <v>4337</v>
      </c>
      <c r="AL374" s="85" t="s">
        <v>6259</v>
      </c>
      <c r="AM374" s="85" t="s">
        <v>4338</v>
      </c>
      <c r="AN374" s="85" t="s">
        <v>6260</v>
      </c>
      <c r="AO374" s="90"/>
      <c r="AP374" s="88">
        <v>158</v>
      </c>
      <c r="AQ374" s="88">
        <v>60</v>
      </c>
      <c r="AR374" s="85" t="s">
        <v>4428</v>
      </c>
    </row>
    <row r="375" spans="2:44">
      <c r="B375" s="69" t="s">
        <v>4354</v>
      </c>
      <c r="C375" s="81">
        <v>372</v>
      </c>
      <c r="D375" s="82">
        <v>252610080</v>
      </c>
      <c r="E375" s="83" t="s">
        <v>1660</v>
      </c>
      <c r="F375" s="167" t="s">
        <v>1661</v>
      </c>
      <c r="G375" s="168"/>
      <c r="H375" s="85"/>
      <c r="I375" s="168"/>
      <c r="J375" s="169"/>
      <c r="K375" s="85"/>
      <c r="L375" s="85"/>
      <c r="M375" s="87"/>
      <c r="N375" s="85"/>
      <c r="O375" s="85"/>
      <c r="P375" s="170"/>
      <c r="Q375" s="168"/>
      <c r="R375" s="168"/>
      <c r="S375" s="168"/>
      <c r="T375" s="88">
        <f t="shared" si="5"/>
        <v>0</v>
      </c>
      <c r="U375" s="85"/>
      <c r="V375" s="88"/>
      <c r="W375" s="109"/>
      <c r="X375" s="109"/>
      <c r="Y375" s="109"/>
      <c r="Z375" s="109"/>
      <c r="AA375" s="109"/>
      <c r="AB375" s="109"/>
      <c r="AC375" s="109"/>
      <c r="AD375" s="85"/>
      <c r="AE375" s="88"/>
      <c r="AF375" s="88"/>
      <c r="AG375" s="85"/>
      <c r="AH375" s="85"/>
      <c r="AI375" s="85"/>
      <c r="AJ375" s="85"/>
      <c r="AK375" s="85"/>
      <c r="AL375" s="85"/>
      <c r="AM375" s="85"/>
      <c r="AN375" s="85"/>
      <c r="AO375" s="90"/>
      <c r="AP375" s="88"/>
      <c r="AQ375" s="88"/>
      <c r="AR375" s="85"/>
    </row>
    <row r="376" spans="2:44">
      <c r="B376" s="69" t="s">
        <v>4324</v>
      </c>
      <c r="C376" s="81">
        <v>373</v>
      </c>
      <c r="D376" s="82">
        <v>252610128</v>
      </c>
      <c r="E376" s="83" t="s">
        <v>2030</v>
      </c>
      <c r="F376" s="84" t="s">
        <v>2031</v>
      </c>
      <c r="G376" s="156" t="s">
        <v>2031</v>
      </c>
      <c r="H376" s="104" t="s">
        <v>6261</v>
      </c>
      <c r="I376" s="156" t="s">
        <v>2030</v>
      </c>
      <c r="J376" s="157" t="s">
        <v>2030</v>
      </c>
      <c r="K376" s="104" t="s">
        <v>90</v>
      </c>
      <c r="L376" s="104" t="s">
        <v>6262</v>
      </c>
      <c r="M376" s="105">
        <v>40037</v>
      </c>
      <c r="N376" s="104" t="s">
        <v>4541</v>
      </c>
      <c r="O376" s="104" t="s">
        <v>4308</v>
      </c>
      <c r="P376" s="88">
        <v>1</v>
      </c>
      <c r="Q376" s="88">
        <v>2</v>
      </c>
      <c r="R376" s="88">
        <v>0</v>
      </c>
      <c r="S376" s="88">
        <v>0</v>
      </c>
      <c r="T376" s="88">
        <f t="shared" si="5"/>
        <v>2</v>
      </c>
      <c r="U376" s="104" t="s">
        <v>5545</v>
      </c>
      <c r="V376" s="99">
        <v>0</v>
      </c>
      <c r="W376" s="108" t="s">
        <v>6263</v>
      </c>
      <c r="X376" s="108" t="s">
        <v>4376</v>
      </c>
      <c r="Y376" s="108" t="s">
        <v>4361</v>
      </c>
      <c r="Z376" s="108" t="s">
        <v>6264</v>
      </c>
      <c r="AA376" s="108" t="s">
        <v>5267</v>
      </c>
      <c r="AB376" s="108" t="s">
        <v>4608</v>
      </c>
      <c r="AC376" s="108">
        <v>40213</v>
      </c>
      <c r="AD376" s="104" t="s">
        <v>6265</v>
      </c>
      <c r="AE376" s="99" t="s">
        <v>4436</v>
      </c>
      <c r="AF376" s="117">
        <v>623</v>
      </c>
      <c r="AG376" s="104" t="s">
        <v>6266</v>
      </c>
      <c r="AH376" s="104" t="s">
        <v>6267</v>
      </c>
      <c r="AI376" s="104" t="s">
        <v>4384</v>
      </c>
      <c r="AJ376" s="104" t="s">
        <v>4384</v>
      </c>
      <c r="AK376" s="104" t="s">
        <v>4441</v>
      </c>
      <c r="AL376" s="104" t="s">
        <v>6268</v>
      </c>
      <c r="AM376" s="104" t="s">
        <v>4337</v>
      </c>
      <c r="AN376" s="104" t="s">
        <v>4772</v>
      </c>
      <c r="AO376" s="104" t="s">
        <v>6269</v>
      </c>
      <c r="AP376" s="99">
        <v>157</v>
      </c>
      <c r="AQ376" s="99">
        <v>50</v>
      </c>
      <c r="AR376" s="104" t="s">
        <v>4415</v>
      </c>
    </row>
    <row r="377" s="66" customFormat="1" spans="2:44">
      <c r="B377" s="91" t="s">
        <v>4355</v>
      </c>
      <c r="C377" s="92">
        <v>374</v>
      </c>
      <c r="D377" s="93">
        <v>252610177</v>
      </c>
      <c r="E377" s="94" t="s">
        <v>1929</v>
      </c>
      <c r="F377" s="95" t="s">
        <v>1930</v>
      </c>
      <c r="G377" s="160" t="s">
        <v>1930</v>
      </c>
      <c r="H377" s="97"/>
      <c r="I377" s="160" t="s">
        <v>1929</v>
      </c>
      <c r="J377" s="160" t="s">
        <v>1929</v>
      </c>
      <c r="K377" s="97"/>
      <c r="L377" s="97"/>
      <c r="M377" s="98"/>
      <c r="N377" s="97"/>
      <c r="O377" s="97"/>
      <c r="P377" s="99"/>
      <c r="Q377" s="96"/>
      <c r="R377" s="96"/>
      <c r="S377" s="96"/>
      <c r="T377" s="88">
        <f t="shared" si="5"/>
        <v>0</v>
      </c>
      <c r="U377" s="97"/>
      <c r="V377" s="100"/>
      <c r="W377" s="101"/>
      <c r="X377" s="101"/>
      <c r="Y377" s="101"/>
      <c r="Z377" s="101"/>
      <c r="AA377" s="101"/>
      <c r="AB377" s="101"/>
      <c r="AC377" s="101"/>
      <c r="AD377" s="97"/>
      <c r="AE377" s="100"/>
      <c r="AF377" s="100"/>
      <c r="AG377" s="97"/>
      <c r="AH377" s="97"/>
      <c r="AI377" s="97"/>
      <c r="AJ377" s="97"/>
      <c r="AK377" s="97"/>
      <c r="AL377" s="97"/>
      <c r="AM377" s="97"/>
      <c r="AN377" s="97"/>
      <c r="AO377" s="97"/>
      <c r="AP377" s="100"/>
      <c r="AQ377" s="100"/>
      <c r="AR377" s="97"/>
    </row>
    <row r="378" s="66" customFormat="1" spans="2:44">
      <c r="B378" s="91" t="s">
        <v>4568</v>
      </c>
      <c r="C378" s="92">
        <v>375</v>
      </c>
      <c r="D378" s="93">
        <v>252610224</v>
      </c>
      <c r="E378" s="94" t="s">
        <v>1072</v>
      </c>
      <c r="F378" s="95" t="s">
        <v>4187</v>
      </c>
      <c r="G378" s="161" t="s">
        <v>1073</v>
      </c>
      <c r="H378" s="97"/>
      <c r="I378" s="161" t="s">
        <v>4188</v>
      </c>
      <c r="J378" s="161" t="s">
        <v>1072</v>
      </c>
      <c r="K378" s="97"/>
      <c r="L378" s="97"/>
      <c r="M378" s="98"/>
      <c r="N378" s="97"/>
      <c r="O378" s="97"/>
      <c r="P378" s="88"/>
      <c r="Q378" s="96"/>
      <c r="R378" s="96"/>
      <c r="S378" s="96"/>
      <c r="T378" s="88">
        <f t="shared" si="5"/>
        <v>0</v>
      </c>
      <c r="U378" s="97"/>
      <c r="V378" s="100"/>
      <c r="W378" s="101"/>
      <c r="X378" s="101"/>
      <c r="Y378" s="101"/>
      <c r="Z378" s="101"/>
      <c r="AA378" s="101"/>
      <c r="AB378" s="101"/>
      <c r="AC378" s="101"/>
      <c r="AD378" s="97"/>
      <c r="AE378" s="100"/>
      <c r="AF378" s="100"/>
      <c r="AG378" s="97"/>
      <c r="AH378" s="97"/>
      <c r="AI378" s="97"/>
      <c r="AJ378" s="97"/>
      <c r="AK378" s="97"/>
      <c r="AL378" s="97"/>
      <c r="AM378" s="97"/>
      <c r="AN378" s="97"/>
      <c r="AO378" s="97"/>
      <c r="AP378" s="100"/>
      <c r="AQ378" s="100"/>
      <c r="AR378" s="97"/>
    </row>
    <row r="379" spans="2:44">
      <c r="B379" s="69" t="s">
        <v>4323</v>
      </c>
      <c r="C379" s="81">
        <v>376</v>
      </c>
      <c r="D379" s="82">
        <v>252610272</v>
      </c>
      <c r="E379" s="83" t="s">
        <v>1736</v>
      </c>
      <c r="F379" s="84" t="s">
        <v>1737</v>
      </c>
      <c r="G379" s="162" t="s">
        <v>1737</v>
      </c>
      <c r="H379" s="85" t="s">
        <v>6270</v>
      </c>
      <c r="I379" s="162" t="s">
        <v>1736</v>
      </c>
      <c r="J379" s="163" t="s">
        <v>1736</v>
      </c>
      <c r="K379" s="85" t="s">
        <v>90</v>
      </c>
      <c r="L379" s="85" t="s">
        <v>4357</v>
      </c>
      <c r="M379" s="87">
        <v>40206</v>
      </c>
      <c r="N379" s="85" t="s">
        <v>4307</v>
      </c>
      <c r="O379" s="85" t="s">
        <v>4344</v>
      </c>
      <c r="P379" s="99">
        <v>1</v>
      </c>
      <c r="Q379" s="99">
        <v>1</v>
      </c>
      <c r="R379" s="99">
        <v>0</v>
      </c>
      <c r="S379" s="99">
        <v>0</v>
      </c>
      <c r="T379" s="88">
        <f t="shared" si="5"/>
        <v>1</v>
      </c>
      <c r="U379" s="85" t="s">
        <v>5274</v>
      </c>
      <c r="V379" s="88">
        <v>0</v>
      </c>
      <c r="W379" s="109" t="s">
        <v>6271</v>
      </c>
      <c r="X379" s="109" t="s">
        <v>4360</v>
      </c>
      <c r="Y379" s="109" t="s">
        <v>4419</v>
      </c>
      <c r="Z379" s="109" t="s">
        <v>4406</v>
      </c>
      <c r="AA379" s="109" t="s">
        <v>4363</v>
      </c>
      <c r="AB379" s="109" t="s">
        <v>4378</v>
      </c>
      <c r="AC379" s="109">
        <v>40534</v>
      </c>
      <c r="AD379" s="85" t="s">
        <v>6272</v>
      </c>
      <c r="AE379" s="88" t="s">
        <v>4422</v>
      </c>
      <c r="AF379" s="113">
        <v>506</v>
      </c>
      <c r="AG379" s="85" t="s">
        <v>6273</v>
      </c>
      <c r="AH379" s="85" t="s">
        <v>6274</v>
      </c>
      <c r="AI379" s="85" t="s">
        <v>4370</v>
      </c>
      <c r="AJ379" s="85" t="s">
        <v>4370</v>
      </c>
      <c r="AK379" s="85" t="s">
        <v>4337</v>
      </c>
      <c r="AL379" s="90"/>
      <c r="AM379" s="85" t="s">
        <v>4372</v>
      </c>
      <c r="AN379" s="85" t="s">
        <v>6275</v>
      </c>
      <c r="AO379" s="85"/>
      <c r="AP379" s="88">
        <v>155</v>
      </c>
      <c r="AQ379" s="88">
        <v>40</v>
      </c>
      <c r="AR379" s="85" t="s">
        <v>4428</v>
      </c>
    </row>
    <row r="380" spans="2:44">
      <c r="B380" s="69" t="s">
        <v>4355</v>
      </c>
      <c r="C380" s="81">
        <v>377</v>
      </c>
      <c r="D380" s="82">
        <v>252610178</v>
      </c>
      <c r="E380" s="83" t="s">
        <v>1738</v>
      </c>
      <c r="F380" s="84" t="s">
        <v>1739</v>
      </c>
      <c r="G380" s="156" t="s">
        <v>1739</v>
      </c>
      <c r="H380" s="104" t="s">
        <v>6276</v>
      </c>
      <c r="I380" s="156" t="s">
        <v>1738</v>
      </c>
      <c r="J380" s="157" t="s">
        <v>1738</v>
      </c>
      <c r="K380" s="104" t="s">
        <v>89</v>
      </c>
      <c r="L380" s="104" t="s">
        <v>4540</v>
      </c>
      <c r="M380" s="105">
        <v>39857</v>
      </c>
      <c r="N380" s="104" t="s">
        <v>4307</v>
      </c>
      <c r="O380" s="104" t="s">
        <v>4344</v>
      </c>
      <c r="P380" s="88">
        <v>2</v>
      </c>
      <c r="Q380" s="88">
        <v>3</v>
      </c>
      <c r="R380" s="88">
        <v>0</v>
      </c>
      <c r="S380" s="88">
        <v>0</v>
      </c>
      <c r="T380" s="88">
        <f t="shared" si="5"/>
        <v>3</v>
      </c>
      <c r="U380" s="104" t="s">
        <v>6277</v>
      </c>
      <c r="V380" s="99">
        <v>0</v>
      </c>
      <c r="W380" s="108" t="s">
        <v>6278</v>
      </c>
      <c r="X380" s="108" t="s">
        <v>4492</v>
      </c>
      <c r="Y380" s="108">
        <v>10</v>
      </c>
      <c r="Z380" s="108" t="s">
        <v>4406</v>
      </c>
      <c r="AA380" s="108" t="s">
        <v>6279</v>
      </c>
      <c r="AB380" s="108" t="s">
        <v>6280</v>
      </c>
      <c r="AC380" s="108">
        <v>40182</v>
      </c>
      <c r="AD380" s="104" t="s">
        <v>6281</v>
      </c>
      <c r="AE380" s="99" t="s">
        <v>4422</v>
      </c>
      <c r="AF380" s="99" t="s">
        <v>6282</v>
      </c>
      <c r="AG380" s="104" t="s">
        <v>6283</v>
      </c>
      <c r="AH380" s="104" t="s">
        <v>6284</v>
      </c>
      <c r="AI380" s="104" t="s">
        <v>4351</v>
      </c>
      <c r="AJ380" s="104" t="s">
        <v>5758</v>
      </c>
      <c r="AK380" s="104" t="s">
        <v>4338</v>
      </c>
      <c r="AL380" s="104" t="s">
        <v>6285</v>
      </c>
      <c r="AM380" s="104" t="s">
        <v>4372</v>
      </c>
      <c r="AN380" s="104" t="s">
        <v>4384</v>
      </c>
      <c r="AO380" s="104" t="s">
        <v>6286</v>
      </c>
      <c r="AP380" s="99">
        <v>163</v>
      </c>
      <c r="AQ380" s="99">
        <v>41</v>
      </c>
      <c r="AR380" s="104" t="s">
        <v>4517</v>
      </c>
    </row>
    <row r="381" s="66" customFormat="1" spans="2:44">
      <c r="B381" s="91" t="s">
        <v>4304</v>
      </c>
      <c r="C381" s="92">
        <v>378</v>
      </c>
      <c r="D381" s="93">
        <v>252610462</v>
      </c>
      <c r="E381" s="94" t="s">
        <v>1273</v>
      </c>
      <c r="F381" s="95" t="s">
        <v>1274</v>
      </c>
      <c r="G381" s="160" t="s">
        <v>1274</v>
      </c>
      <c r="H381" s="97"/>
      <c r="I381" s="160" t="s">
        <v>1273</v>
      </c>
      <c r="J381" s="160" t="s">
        <v>1273</v>
      </c>
      <c r="K381" s="97"/>
      <c r="L381" s="97"/>
      <c r="M381" s="98"/>
      <c r="N381" s="97"/>
      <c r="O381" s="97"/>
      <c r="P381" s="99"/>
      <c r="Q381" s="96"/>
      <c r="R381" s="96"/>
      <c r="S381" s="96"/>
      <c r="T381" s="88">
        <f t="shared" si="5"/>
        <v>0</v>
      </c>
      <c r="U381" s="97"/>
      <c r="V381" s="100"/>
      <c r="W381" s="101"/>
      <c r="X381" s="101"/>
      <c r="Y381" s="101"/>
      <c r="Z381" s="101"/>
      <c r="AA381" s="101"/>
      <c r="AB381" s="101"/>
      <c r="AC381" s="101"/>
      <c r="AD381" s="97"/>
      <c r="AE381" s="100"/>
      <c r="AF381" s="100"/>
      <c r="AG381" s="97"/>
      <c r="AH381" s="97"/>
      <c r="AI381" s="97"/>
      <c r="AJ381" s="97"/>
      <c r="AK381" s="97"/>
      <c r="AL381" s="97"/>
      <c r="AM381" s="97"/>
      <c r="AN381" s="97"/>
      <c r="AO381" s="97"/>
      <c r="AP381" s="100"/>
      <c r="AQ381" s="100"/>
      <c r="AR381" s="97"/>
    </row>
    <row r="382" spans="2:44">
      <c r="B382" s="69" t="s">
        <v>4568</v>
      </c>
      <c r="C382" s="81">
        <v>379</v>
      </c>
      <c r="D382" s="82">
        <v>252610225</v>
      </c>
      <c r="E382" s="83" t="s">
        <v>1506</v>
      </c>
      <c r="F382" s="84" t="s">
        <v>1740</v>
      </c>
      <c r="G382" s="156" t="s">
        <v>1740</v>
      </c>
      <c r="H382" s="104" t="s">
        <v>6287</v>
      </c>
      <c r="I382" s="156" t="s">
        <v>1506</v>
      </c>
      <c r="J382" s="157" t="s">
        <v>1506</v>
      </c>
      <c r="K382" s="104" t="s">
        <v>90</v>
      </c>
      <c r="L382" s="104" t="s">
        <v>6288</v>
      </c>
      <c r="M382" s="105">
        <v>39976</v>
      </c>
      <c r="N382" s="104" t="s">
        <v>4307</v>
      </c>
      <c r="O382" s="104" t="s">
        <v>4344</v>
      </c>
      <c r="P382" s="88">
        <v>2</v>
      </c>
      <c r="Q382" s="88">
        <v>1</v>
      </c>
      <c r="R382" s="88">
        <v>0</v>
      </c>
      <c r="S382" s="88">
        <v>0</v>
      </c>
      <c r="T382" s="88">
        <f t="shared" si="5"/>
        <v>1</v>
      </c>
      <c r="U382" s="104" t="s">
        <v>6289</v>
      </c>
      <c r="V382" s="99">
        <v>0</v>
      </c>
      <c r="W382" s="108" t="s">
        <v>6290</v>
      </c>
      <c r="X382" s="108" t="s">
        <v>4477</v>
      </c>
      <c r="Y382" s="108">
        <v>19</v>
      </c>
      <c r="Z382" s="108" t="s">
        <v>4420</v>
      </c>
      <c r="AA382" s="108" t="s">
        <v>4420</v>
      </c>
      <c r="AB382" s="108" t="s">
        <v>4420</v>
      </c>
      <c r="AC382" s="108">
        <v>40215</v>
      </c>
      <c r="AD382" s="104" t="s">
        <v>6291</v>
      </c>
      <c r="AE382" s="99" t="s">
        <v>4366</v>
      </c>
      <c r="AF382" s="99" t="s">
        <v>4314</v>
      </c>
      <c r="AG382" s="104" t="s">
        <v>6292</v>
      </c>
      <c r="AH382" s="104" t="s">
        <v>6293</v>
      </c>
      <c r="AI382" s="104" t="s">
        <v>6294</v>
      </c>
      <c r="AJ382" s="104" t="s">
        <v>5281</v>
      </c>
      <c r="AK382" s="104" t="s">
        <v>4651</v>
      </c>
      <c r="AL382" s="104" t="s">
        <v>4406</v>
      </c>
      <c r="AM382" s="104" t="s">
        <v>4372</v>
      </c>
      <c r="AN382" s="104" t="s">
        <v>3421</v>
      </c>
      <c r="AO382" s="104"/>
      <c r="AP382" s="99">
        <v>155</v>
      </c>
      <c r="AQ382" s="99">
        <v>44</v>
      </c>
      <c r="AR382" s="104" t="s">
        <v>4322</v>
      </c>
    </row>
    <row r="383" spans="2:44">
      <c r="B383" s="69" t="s">
        <v>4323</v>
      </c>
      <c r="C383" s="81">
        <v>380</v>
      </c>
      <c r="D383" s="82">
        <v>252610273</v>
      </c>
      <c r="E383" s="83" t="s">
        <v>1275</v>
      </c>
      <c r="F383" s="84" t="s">
        <v>1276</v>
      </c>
      <c r="G383" s="162" t="s">
        <v>4189</v>
      </c>
      <c r="H383" s="85" t="s">
        <v>6295</v>
      </c>
      <c r="I383" s="162" t="s">
        <v>1275</v>
      </c>
      <c r="J383" s="163" t="s">
        <v>1275</v>
      </c>
      <c r="K383" s="85" t="s">
        <v>90</v>
      </c>
      <c r="L383" s="85" t="s">
        <v>6296</v>
      </c>
      <c r="M383" s="87">
        <v>40486</v>
      </c>
      <c r="N383" s="85" t="s">
        <v>4460</v>
      </c>
      <c r="O383" s="85" t="s">
        <v>4344</v>
      </c>
      <c r="P383" s="99">
        <v>2</v>
      </c>
      <c r="Q383" s="99">
        <v>3</v>
      </c>
      <c r="R383" s="99">
        <v>0</v>
      </c>
      <c r="S383" s="99">
        <v>0</v>
      </c>
      <c r="T383" s="88">
        <f t="shared" si="5"/>
        <v>3</v>
      </c>
      <c r="U383" s="85" t="s">
        <v>4462</v>
      </c>
      <c r="V383" s="88">
        <v>0</v>
      </c>
      <c r="W383" s="109" t="s">
        <v>6297</v>
      </c>
      <c r="X383" s="109" t="s">
        <v>4703</v>
      </c>
      <c r="Y383" s="109" t="s">
        <v>4703</v>
      </c>
      <c r="Z383" s="109" t="s">
        <v>4764</v>
      </c>
      <c r="AA383" s="109" t="s">
        <v>5267</v>
      </c>
      <c r="AB383" s="109" t="s">
        <v>4766</v>
      </c>
      <c r="AC383" s="109">
        <v>40213</v>
      </c>
      <c r="AD383" s="85" t="s">
        <v>6298</v>
      </c>
      <c r="AE383" s="88" t="s">
        <v>4333</v>
      </c>
      <c r="AF383" s="88">
        <v>1</v>
      </c>
      <c r="AG383" s="85" t="s">
        <v>6299</v>
      </c>
      <c r="AH383" s="85" t="s">
        <v>6300</v>
      </c>
      <c r="AI383" s="85" t="s">
        <v>5008</v>
      </c>
      <c r="AJ383" s="85" t="s">
        <v>6301</v>
      </c>
      <c r="AK383" s="85" t="s">
        <v>4319</v>
      </c>
      <c r="AL383" s="90"/>
      <c r="AM383" s="85" t="s">
        <v>4372</v>
      </c>
      <c r="AN383" s="85" t="s">
        <v>6302</v>
      </c>
      <c r="AO383" s="90"/>
      <c r="AP383" s="88">
        <v>158</v>
      </c>
      <c r="AQ383" s="88">
        <v>38</v>
      </c>
      <c r="AR383" s="85" t="s">
        <v>4322</v>
      </c>
    </row>
    <row r="384" s="66" customFormat="1" spans="2:44">
      <c r="B384" s="91" t="s">
        <v>4674</v>
      </c>
      <c r="C384" s="92">
        <v>381</v>
      </c>
      <c r="D384" s="93">
        <v>252610415</v>
      </c>
      <c r="E384" s="94" t="s">
        <v>1449</v>
      </c>
      <c r="F384" s="95" t="s">
        <v>1450</v>
      </c>
      <c r="G384" s="161" t="s">
        <v>1450</v>
      </c>
      <c r="H384" s="97"/>
      <c r="I384" s="161" t="s">
        <v>1449</v>
      </c>
      <c r="J384" s="161" t="s">
        <v>1449</v>
      </c>
      <c r="K384" s="97"/>
      <c r="L384" s="97"/>
      <c r="M384" s="98"/>
      <c r="N384" s="97"/>
      <c r="O384" s="97"/>
      <c r="P384" s="88"/>
      <c r="Q384" s="96"/>
      <c r="R384" s="96"/>
      <c r="S384" s="96"/>
      <c r="T384" s="88">
        <f t="shared" si="5"/>
        <v>0</v>
      </c>
      <c r="U384" s="97"/>
      <c r="V384" s="100"/>
      <c r="W384" s="101"/>
      <c r="X384" s="101"/>
      <c r="Y384" s="101"/>
      <c r="Z384" s="101"/>
      <c r="AA384" s="101"/>
      <c r="AB384" s="101"/>
      <c r="AC384" s="101"/>
      <c r="AD384" s="97"/>
      <c r="AE384" s="100"/>
      <c r="AF384" s="100"/>
      <c r="AG384" s="97"/>
      <c r="AH384" s="97"/>
      <c r="AI384" s="97"/>
      <c r="AJ384" s="97"/>
      <c r="AK384" s="97"/>
      <c r="AL384" s="97"/>
      <c r="AM384" s="97"/>
      <c r="AN384" s="97"/>
      <c r="AO384" s="97"/>
      <c r="AP384" s="100"/>
      <c r="AQ384" s="100"/>
      <c r="AR384" s="97"/>
    </row>
    <row r="385" s="66" customFormat="1" spans="2:44">
      <c r="B385" s="91" t="s">
        <v>4341</v>
      </c>
      <c r="C385" s="92">
        <v>382</v>
      </c>
      <c r="D385" s="93">
        <v>252610318</v>
      </c>
      <c r="E385" s="94" t="s">
        <v>1451</v>
      </c>
      <c r="F385" s="95" t="s">
        <v>1452</v>
      </c>
      <c r="G385" s="160" t="s">
        <v>1452</v>
      </c>
      <c r="H385" s="97"/>
      <c r="I385" s="160" t="s">
        <v>1451</v>
      </c>
      <c r="J385" s="160" t="s">
        <v>1451</v>
      </c>
      <c r="K385" s="97"/>
      <c r="L385" s="97"/>
      <c r="M385" s="98"/>
      <c r="N385" s="97"/>
      <c r="O385" s="97"/>
      <c r="P385" s="99"/>
      <c r="Q385" s="96"/>
      <c r="R385" s="96"/>
      <c r="S385" s="96"/>
      <c r="T385" s="88">
        <f t="shared" si="5"/>
        <v>0</v>
      </c>
      <c r="U385" s="97"/>
      <c r="V385" s="100"/>
      <c r="W385" s="101"/>
      <c r="X385" s="101"/>
      <c r="Y385" s="101"/>
      <c r="Z385" s="101"/>
      <c r="AA385" s="101"/>
      <c r="AB385" s="101"/>
      <c r="AC385" s="101"/>
      <c r="AD385" s="97"/>
      <c r="AE385" s="100"/>
      <c r="AF385" s="100"/>
      <c r="AG385" s="97"/>
      <c r="AH385" s="97"/>
      <c r="AI385" s="97"/>
      <c r="AJ385" s="97"/>
      <c r="AK385" s="97"/>
      <c r="AL385" s="97"/>
      <c r="AM385" s="97"/>
      <c r="AN385" s="97"/>
      <c r="AO385" s="97"/>
      <c r="AP385" s="100"/>
      <c r="AQ385" s="100"/>
      <c r="AR385" s="97"/>
    </row>
    <row r="386" s="66" customFormat="1" spans="2:44">
      <c r="B386" s="91" t="s">
        <v>4355</v>
      </c>
      <c r="C386" s="92">
        <v>383</v>
      </c>
      <c r="D386" s="93">
        <v>252610179</v>
      </c>
      <c r="E386" s="94" t="s">
        <v>1642</v>
      </c>
      <c r="F386" s="95" t="s">
        <v>1643</v>
      </c>
      <c r="G386" s="161" t="s">
        <v>1643</v>
      </c>
      <c r="H386" s="97"/>
      <c r="I386" s="161" t="s">
        <v>1642</v>
      </c>
      <c r="J386" s="161" t="s">
        <v>1642</v>
      </c>
      <c r="K386" s="97"/>
      <c r="L386" s="97"/>
      <c r="M386" s="98"/>
      <c r="N386" s="97"/>
      <c r="O386" s="97"/>
      <c r="P386" s="88"/>
      <c r="Q386" s="96"/>
      <c r="R386" s="96"/>
      <c r="S386" s="96"/>
      <c r="T386" s="88">
        <f t="shared" si="5"/>
        <v>0</v>
      </c>
      <c r="U386" s="97"/>
      <c r="V386" s="100"/>
      <c r="W386" s="101"/>
      <c r="X386" s="101"/>
      <c r="Y386" s="101"/>
      <c r="Z386" s="101"/>
      <c r="AA386" s="101"/>
      <c r="AB386" s="101"/>
      <c r="AC386" s="101"/>
      <c r="AD386" s="97"/>
      <c r="AE386" s="100"/>
      <c r="AF386" s="100"/>
      <c r="AG386" s="97"/>
      <c r="AH386" s="97"/>
      <c r="AI386" s="97"/>
      <c r="AJ386" s="97"/>
      <c r="AK386" s="97"/>
      <c r="AL386" s="97"/>
      <c r="AM386" s="97"/>
      <c r="AN386" s="97"/>
      <c r="AO386" s="97"/>
      <c r="AP386" s="100"/>
      <c r="AQ386" s="100"/>
      <c r="AR386" s="97"/>
    </row>
    <row r="387" spans="2:44">
      <c r="B387" s="69" t="s">
        <v>4323</v>
      </c>
      <c r="C387" s="81">
        <v>384</v>
      </c>
      <c r="D387" s="121">
        <v>252610274</v>
      </c>
      <c r="E387" s="83" t="s">
        <v>2032</v>
      </c>
      <c r="F387" s="84" t="s">
        <v>2033</v>
      </c>
      <c r="G387" s="162" t="s">
        <v>4190</v>
      </c>
      <c r="H387" s="85" t="s">
        <v>6303</v>
      </c>
      <c r="I387" s="162" t="s">
        <v>2032</v>
      </c>
      <c r="J387" s="163" t="s">
        <v>2032</v>
      </c>
      <c r="K387" s="85" t="s">
        <v>90</v>
      </c>
      <c r="L387" s="85" t="s">
        <v>5137</v>
      </c>
      <c r="M387" s="87">
        <v>40167</v>
      </c>
      <c r="N387" s="85" t="s">
        <v>4541</v>
      </c>
      <c r="O387" s="85" t="s">
        <v>4308</v>
      </c>
      <c r="P387" s="99">
        <v>3</v>
      </c>
      <c r="Q387" s="99">
        <v>1</v>
      </c>
      <c r="R387" s="99">
        <v>0</v>
      </c>
      <c r="S387" s="99">
        <v>0</v>
      </c>
      <c r="T387" s="88">
        <f t="shared" si="5"/>
        <v>1</v>
      </c>
      <c r="U387" s="85" t="s">
        <v>4308</v>
      </c>
      <c r="V387" s="88" t="s">
        <v>4310</v>
      </c>
      <c r="W387" s="109" t="s">
        <v>6304</v>
      </c>
      <c r="X387" s="109" t="s">
        <v>4477</v>
      </c>
      <c r="Y387" s="109" t="s">
        <v>4360</v>
      </c>
      <c r="Z387" s="109" t="s">
        <v>4765</v>
      </c>
      <c r="AA387" s="109" t="s">
        <v>4765</v>
      </c>
      <c r="AB387" s="109" t="s">
        <v>4775</v>
      </c>
      <c r="AC387" s="109">
        <v>40213</v>
      </c>
      <c r="AD387" s="85" t="s">
        <v>6305</v>
      </c>
      <c r="AE387" s="88" t="s">
        <v>4924</v>
      </c>
      <c r="AF387" s="88" t="s">
        <v>6306</v>
      </c>
      <c r="AG387" s="85" t="s">
        <v>6307</v>
      </c>
      <c r="AH387" s="85" t="s">
        <v>6308</v>
      </c>
      <c r="AI387" s="85" t="s">
        <v>4638</v>
      </c>
      <c r="AJ387" s="85" t="s">
        <v>4638</v>
      </c>
      <c r="AK387" s="85" t="s">
        <v>4337</v>
      </c>
      <c r="AL387" s="90"/>
      <c r="AM387" s="85" t="s">
        <v>4338</v>
      </c>
      <c r="AN387" s="85" t="s">
        <v>5336</v>
      </c>
      <c r="AO387" s="90"/>
      <c r="AP387" s="88">
        <v>163</v>
      </c>
      <c r="AQ387" s="88">
        <v>60</v>
      </c>
      <c r="AR387" s="85" t="s">
        <v>4322</v>
      </c>
    </row>
    <row r="388" spans="2:44">
      <c r="B388" s="69" t="s">
        <v>4341</v>
      </c>
      <c r="C388" s="81">
        <v>385</v>
      </c>
      <c r="D388" s="82">
        <v>252610319</v>
      </c>
      <c r="E388" s="83" t="s">
        <v>1931</v>
      </c>
      <c r="F388" s="84" t="s">
        <v>1932</v>
      </c>
      <c r="G388" s="156" t="s">
        <v>4191</v>
      </c>
      <c r="H388" s="104" t="s">
        <v>6309</v>
      </c>
      <c r="I388" s="156" t="s">
        <v>1931</v>
      </c>
      <c r="J388" s="157" t="s">
        <v>1931</v>
      </c>
      <c r="K388" s="104" t="s">
        <v>90</v>
      </c>
      <c r="L388" s="104" t="s">
        <v>4905</v>
      </c>
      <c r="M388" s="105">
        <v>40011</v>
      </c>
      <c r="N388" s="104" t="s">
        <v>4541</v>
      </c>
      <c r="O388" s="104" t="s">
        <v>4308</v>
      </c>
      <c r="P388" s="88">
        <v>3</v>
      </c>
      <c r="Q388" s="88">
        <v>5</v>
      </c>
      <c r="R388" s="88">
        <v>0</v>
      </c>
      <c r="S388" s="88">
        <v>0</v>
      </c>
      <c r="T388" s="88">
        <f t="shared" ref="T388:T451" si="6">Q388+R388+S388</f>
        <v>5</v>
      </c>
      <c r="U388" s="104" t="s">
        <v>6310</v>
      </c>
      <c r="V388" s="99">
        <v>0</v>
      </c>
      <c r="W388" s="108" t="s">
        <v>6311</v>
      </c>
      <c r="X388" s="108" t="s">
        <v>4464</v>
      </c>
      <c r="Y388" s="108">
        <v>10</v>
      </c>
      <c r="Z388" s="108" t="s">
        <v>6312</v>
      </c>
      <c r="AA388" s="108" t="s">
        <v>5260</v>
      </c>
      <c r="AB388" s="108" t="s">
        <v>4562</v>
      </c>
      <c r="AC388" s="108">
        <v>40213</v>
      </c>
      <c r="AD388" s="104" t="s">
        <v>6313</v>
      </c>
      <c r="AE388" s="99" t="s">
        <v>4422</v>
      </c>
      <c r="AF388" s="99" t="s">
        <v>4334</v>
      </c>
      <c r="AG388" s="104" t="s">
        <v>6314</v>
      </c>
      <c r="AH388" s="104" t="s">
        <v>6315</v>
      </c>
      <c r="AI388" s="104" t="s">
        <v>4318</v>
      </c>
      <c r="AJ388" s="104" t="s">
        <v>4615</v>
      </c>
      <c r="AK388" s="104" t="s">
        <v>4372</v>
      </c>
      <c r="AL388" s="104" t="s">
        <v>4406</v>
      </c>
      <c r="AM388" s="104" t="s">
        <v>4372</v>
      </c>
      <c r="AN388" s="104" t="s">
        <v>6316</v>
      </c>
      <c r="AO388" s="106"/>
      <c r="AP388" s="99">
        <v>151</v>
      </c>
      <c r="AQ388" s="99" t="s">
        <v>6317</v>
      </c>
      <c r="AR388" s="104" t="s">
        <v>4428</v>
      </c>
    </row>
    <row r="389" spans="2:44">
      <c r="B389" s="69" t="s">
        <v>4354</v>
      </c>
      <c r="C389" s="81">
        <v>386</v>
      </c>
      <c r="D389" s="82">
        <v>252610081</v>
      </c>
      <c r="E389" s="83" t="s">
        <v>2034</v>
      </c>
      <c r="F389" s="84" t="s">
        <v>2035</v>
      </c>
      <c r="G389" s="162" t="s">
        <v>2035</v>
      </c>
      <c r="H389" s="85" t="s">
        <v>6318</v>
      </c>
      <c r="I389" s="162" t="s">
        <v>2034</v>
      </c>
      <c r="J389" s="163" t="s">
        <v>2034</v>
      </c>
      <c r="K389" s="85" t="s">
        <v>90</v>
      </c>
      <c r="L389" s="85" t="s">
        <v>6319</v>
      </c>
      <c r="M389" s="87">
        <v>40138</v>
      </c>
      <c r="N389" s="85" t="s">
        <v>4460</v>
      </c>
      <c r="O389" s="85" t="s">
        <v>4344</v>
      </c>
      <c r="P389" s="99">
        <v>2</v>
      </c>
      <c r="Q389" s="99">
        <v>3</v>
      </c>
      <c r="R389" s="99">
        <v>0</v>
      </c>
      <c r="S389" s="99">
        <v>0</v>
      </c>
      <c r="T389" s="88">
        <f t="shared" si="6"/>
        <v>3</v>
      </c>
      <c r="U389" s="85" t="s">
        <v>4791</v>
      </c>
      <c r="V389" s="88" t="s">
        <v>4358</v>
      </c>
      <c r="W389" s="109" t="s">
        <v>6320</v>
      </c>
      <c r="X389" s="109" t="s">
        <v>4360</v>
      </c>
      <c r="Y389" s="109">
        <v>15</v>
      </c>
      <c r="Z389" s="109" t="s">
        <v>6321</v>
      </c>
      <c r="AA389" s="109" t="s">
        <v>5623</v>
      </c>
      <c r="AB389" s="109" t="s">
        <v>4408</v>
      </c>
      <c r="AC389" s="109">
        <v>40535</v>
      </c>
      <c r="AD389" s="85" t="s">
        <v>6322</v>
      </c>
      <c r="AE389" s="88" t="s">
        <v>4898</v>
      </c>
      <c r="AF389" s="88" t="s">
        <v>4502</v>
      </c>
      <c r="AG389" s="85" t="s">
        <v>6323</v>
      </c>
      <c r="AH389" s="85" t="s">
        <v>6324</v>
      </c>
      <c r="AI389" s="85" t="s">
        <v>4638</v>
      </c>
      <c r="AJ389" s="85" t="s">
        <v>4384</v>
      </c>
      <c r="AK389" s="85" t="s">
        <v>4337</v>
      </c>
      <c r="AL389" s="85" t="s">
        <v>4406</v>
      </c>
      <c r="AM389" s="85" t="s">
        <v>4372</v>
      </c>
      <c r="AN389" s="85" t="s">
        <v>4579</v>
      </c>
      <c r="AO389" s="85"/>
      <c r="AP389" s="88">
        <v>151</v>
      </c>
      <c r="AQ389" s="88" t="s">
        <v>6325</v>
      </c>
      <c r="AR389" s="85" t="s">
        <v>4322</v>
      </c>
    </row>
    <row r="390" spans="2:44">
      <c r="B390" s="69" t="s">
        <v>4674</v>
      </c>
      <c r="C390" s="81">
        <v>387</v>
      </c>
      <c r="D390" s="82">
        <v>252610416</v>
      </c>
      <c r="E390" s="83" t="s">
        <v>1933</v>
      </c>
      <c r="F390" s="84" t="s">
        <v>1934</v>
      </c>
      <c r="G390" s="156" t="s">
        <v>4192</v>
      </c>
      <c r="H390" s="104" t="s">
        <v>6326</v>
      </c>
      <c r="I390" s="156" t="s">
        <v>1933</v>
      </c>
      <c r="J390" s="157" t="s">
        <v>1933</v>
      </c>
      <c r="K390" s="104" t="s">
        <v>90</v>
      </c>
      <c r="L390" s="104" t="s">
        <v>4629</v>
      </c>
      <c r="M390" s="105">
        <v>45856</v>
      </c>
      <c r="N390" s="104" t="s">
        <v>4958</v>
      </c>
      <c r="O390" s="104" t="s">
        <v>4329</v>
      </c>
      <c r="P390" s="88">
        <v>2</v>
      </c>
      <c r="Q390" s="88">
        <v>2</v>
      </c>
      <c r="R390" s="88">
        <v>0</v>
      </c>
      <c r="S390" s="88">
        <v>0</v>
      </c>
      <c r="T390" s="88">
        <f t="shared" si="6"/>
        <v>2</v>
      </c>
      <c r="U390" s="104" t="s">
        <v>6327</v>
      </c>
      <c r="V390" s="99" t="s">
        <v>4358</v>
      </c>
      <c r="W390" s="108" t="s">
        <v>6328</v>
      </c>
      <c r="X390" s="108" t="s">
        <v>4464</v>
      </c>
      <c r="Y390" s="108" t="s">
        <v>4477</v>
      </c>
      <c r="Z390" s="108" t="s">
        <v>6329</v>
      </c>
      <c r="AA390" s="108" t="s">
        <v>4494</v>
      </c>
      <c r="AB390" s="108" t="s">
        <v>4451</v>
      </c>
      <c r="AC390" s="108">
        <v>40534</v>
      </c>
      <c r="AD390" s="104" t="s">
        <v>6330</v>
      </c>
      <c r="AE390" s="99" t="s">
        <v>4496</v>
      </c>
      <c r="AF390" s="99" t="s">
        <v>4367</v>
      </c>
      <c r="AG390" s="104" t="s">
        <v>6331</v>
      </c>
      <c r="AH390" s="104" t="s">
        <v>6274</v>
      </c>
      <c r="AI390" s="104" t="s">
        <v>4318</v>
      </c>
      <c r="AJ390" s="104" t="s">
        <v>4318</v>
      </c>
      <c r="AK390" s="104" t="s">
        <v>4337</v>
      </c>
      <c r="AL390" s="104" t="s">
        <v>4406</v>
      </c>
      <c r="AM390" s="104" t="s">
        <v>4372</v>
      </c>
      <c r="AN390" s="104" t="s">
        <v>6332</v>
      </c>
      <c r="AO390" s="104" t="s">
        <v>6333</v>
      </c>
      <c r="AP390" s="99">
        <v>152</v>
      </c>
      <c r="AQ390" s="99">
        <v>40</v>
      </c>
      <c r="AR390" s="104" t="s">
        <v>4322</v>
      </c>
    </row>
    <row r="391" s="66" customFormat="1" spans="2:44">
      <c r="B391" s="91" t="s">
        <v>4341</v>
      </c>
      <c r="C391" s="92">
        <v>388</v>
      </c>
      <c r="D391" s="93">
        <v>252610320</v>
      </c>
      <c r="E391" s="94" t="s">
        <v>1935</v>
      </c>
      <c r="F391" s="95" t="s">
        <v>1936</v>
      </c>
      <c r="G391" s="160" t="s">
        <v>4193</v>
      </c>
      <c r="H391" s="97"/>
      <c r="I391" s="160" t="s">
        <v>1935</v>
      </c>
      <c r="J391" s="160" t="s">
        <v>1935</v>
      </c>
      <c r="K391" s="97"/>
      <c r="L391" s="97"/>
      <c r="M391" s="98"/>
      <c r="N391" s="97"/>
      <c r="O391" s="97"/>
      <c r="P391" s="99"/>
      <c r="Q391" s="96"/>
      <c r="R391" s="96"/>
      <c r="S391" s="96"/>
      <c r="T391" s="88">
        <f t="shared" si="6"/>
        <v>0</v>
      </c>
      <c r="U391" s="97"/>
      <c r="V391" s="100"/>
      <c r="W391" s="101"/>
      <c r="X391" s="101"/>
      <c r="Y391" s="101"/>
      <c r="Z391" s="101"/>
      <c r="AA391" s="101"/>
      <c r="AB391" s="101"/>
      <c r="AC391" s="101"/>
      <c r="AD391" s="97"/>
      <c r="AE391" s="100"/>
      <c r="AF391" s="100"/>
      <c r="AG391" s="97"/>
      <c r="AH391" s="97"/>
      <c r="AI391" s="97"/>
      <c r="AJ391" s="97"/>
      <c r="AK391" s="97"/>
      <c r="AL391" s="97"/>
      <c r="AM391" s="97"/>
      <c r="AN391" s="97"/>
      <c r="AO391" s="97"/>
      <c r="AP391" s="100"/>
      <c r="AQ391" s="100"/>
      <c r="AR391" s="97"/>
    </row>
    <row r="392" spans="2:44">
      <c r="B392" s="69" t="s">
        <v>4386</v>
      </c>
      <c r="C392" s="81">
        <v>389</v>
      </c>
      <c r="D392" s="82">
        <v>252610368</v>
      </c>
      <c r="E392" s="83" t="s">
        <v>1937</v>
      </c>
      <c r="F392" s="84" t="s">
        <v>1938</v>
      </c>
      <c r="G392" s="156" t="s">
        <v>4195</v>
      </c>
      <c r="H392" s="104" t="s">
        <v>6334</v>
      </c>
      <c r="I392" s="156" t="s">
        <v>1937</v>
      </c>
      <c r="J392" s="157" t="s">
        <v>1937</v>
      </c>
      <c r="K392" s="104" t="s">
        <v>90</v>
      </c>
      <c r="L392" s="104" t="s">
        <v>4343</v>
      </c>
      <c r="M392" s="105">
        <v>39972</v>
      </c>
      <c r="N392" s="104" t="s">
        <v>4328</v>
      </c>
      <c r="O392" s="104" t="s">
        <v>4489</v>
      </c>
      <c r="P392" s="88">
        <v>1</v>
      </c>
      <c r="Q392" s="88">
        <v>0</v>
      </c>
      <c r="R392" s="88">
        <v>0</v>
      </c>
      <c r="S392" s="88">
        <v>0</v>
      </c>
      <c r="T392" s="88">
        <f t="shared" si="6"/>
        <v>0</v>
      </c>
      <c r="U392" s="104" t="s">
        <v>5228</v>
      </c>
      <c r="V392" s="99">
        <v>0</v>
      </c>
      <c r="W392" s="108" t="s">
        <v>6335</v>
      </c>
      <c r="X392" s="108" t="s">
        <v>4391</v>
      </c>
      <c r="Y392" s="108" t="s">
        <v>4714</v>
      </c>
      <c r="Z392" s="108" t="s">
        <v>6164</v>
      </c>
      <c r="AA392" s="108" t="s">
        <v>4826</v>
      </c>
      <c r="AB392" s="108" t="s">
        <v>4562</v>
      </c>
      <c r="AC392" s="108">
        <v>40214</v>
      </c>
      <c r="AD392" s="104" t="s">
        <v>6336</v>
      </c>
      <c r="AE392" s="99" t="s">
        <v>4990</v>
      </c>
      <c r="AF392" s="99" t="s">
        <v>4750</v>
      </c>
      <c r="AG392" s="104" t="s">
        <v>6337</v>
      </c>
      <c r="AH392" s="104" t="s">
        <v>6338</v>
      </c>
      <c r="AI392" s="104" t="s">
        <v>4318</v>
      </c>
      <c r="AJ392" s="104" t="s">
        <v>4318</v>
      </c>
      <c r="AK392" s="104" t="s">
        <v>6339</v>
      </c>
      <c r="AL392" s="106"/>
      <c r="AM392" s="104" t="s">
        <v>6339</v>
      </c>
      <c r="AN392" s="104" t="s">
        <v>3208</v>
      </c>
      <c r="AO392" s="106"/>
      <c r="AP392" s="99">
        <v>157</v>
      </c>
      <c r="AQ392" s="99">
        <v>44</v>
      </c>
      <c r="AR392" s="104" t="s">
        <v>4428</v>
      </c>
    </row>
    <row r="393" spans="2:44">
      <c r="B393" s="69" t="s">
        <v>4354</v>
      </c>
      <c r="C393" s="81">
        <v>390</v>
      </c>
      <c r="D393" s="82">
        <v>252610082</v>
      </c>
      <c r="E393" s="83" t="s">
        <v>1939</v>
      </c>
      <c r="F393" s="84" t="s">
        <v>1940</v>
      </c>
      <c r="G393" s="162" t="s">
        <v>1940</v>
      </c>
      <c r="H393" s="85" t="s">
        <v>6340</v>
      </c>
      <c r="I393" s="162" t="s">
        <v>1939</v>
      </c>
      <c r="J393" s="163" t="s">
        <v>1939</v>
      </c>
      <c r="K393" s="85" t="s">
        <v>90</v>
      </c>
      <c r="L393" s="85" t="s">
        <v>5596</v>
      </c>
      <c r="M393" s="87">
        <v>40315</v>
      </c>
      <c r="N393" s="85" t="s">
        <v>4307</v>
      </c>
      <c r="O393" s="85" t="s">
        <v>4619</v>
      </c>
      <c r="P393" s="99">
        <v>1</v>
      </c>
      <c r="Q393" s="99">
        <v>1</v>
      </c>
      <c r="R393" s="99">
        <v>0</v>
      </c>
      <c r="S393" s="99">
        <v>0</v>
      </c>
      <c r="T393" s="88">
        <f t="shared" si="6"/>
        <v>1</v>
      </c>
      <c r="U393" s="85" t="s">
        <v>4754</v>
      </c>
      <c r="V393" s="88" t="s">
        <v>4595</v>
      </c>
      <c r="W393" s="109" t="s">
        <v>6341</v>
      </c>
      <c r="X393" s="109" t="s">
        <v>4376</v>
      </c>
      <c r="Y393" s="109" t="s">
        <v>4419</v>
      </c>
      <c r="Z393" s="109" t="s">
        <v>6342</v>
      </c>
      <c r="AA393" s="109" t="s">
        <v>4494</v>
      </c>
      <c r="AB393" s="109" t="s">
        <v>4451</v>
      </c>
      <c r="AC393" s="109">
        <v>40534</v>
      </c>
      <c r="AD393" s="85" t="s">
        <v>6343</v>
      </c>
      <c r="AE393" s="88" t="s">
        <v>5252</v>
      </c>
      <c r="AF393" s="113">
        <v>424</v>
      </c>
      <c r="AG393" s="85" t="s">
        <v>6344</v>
      </c>
      <c r="AH393" s="85" t="s">
        <v>6345</v>
      </c>
      <c r="AI393" s="85" t="s">
        <v>6346</v>
      </c>
      <c r="AJ393" s="85" t="s">
        <v>6346</v>
      </c>
      <c r="AK393" s="85" t="s">
        <v>4337</v>
      </c>
      <c r="AL393" s="85" t="s">
        <v>6347</v>
      </c>
      <c r="AM393" s="85" t="s">
        <v>4372</v>
      </c>
      <c r="AN393" s="85" t="s">
        <v>6348</v>
      </c>
      <c r="AO393" s="90"/>
      <c r="AP393" s="88">
        <v>155</v>
      </c>
      <c r="AQ393" s="88" t="s">
        <v>6349</v>
      </c>
      <c r="AR393" s="90"/>
    </row>
    <row r="394" spans="2:44">
      <c r="B394" s="69" t="s">
        <v>4386</v>
      </c>
      <c r="C394" s="81">
        <v>391</v>
      </c>
      <c r="D394" s="82">
        <v>252610369</v>
      </c>
      <c r="E394" s="83" t="s">
        <v>1347</v>
      </c>
      <c r="F394" s="84" t="s">
        <v>1348</v>
      </c>
      <c r="G394" s="156" t="s">
        <v>1348</v>
      </c>
      <c r="H394" s="104" t="s">
        <v>6350</v>
      </c>
      <c r="I394" s="156" t="s">
        <v>1347</v>
      </c>
      <c r="J394" s="157" t="s">
        <v>1347</v>
      </c>
      <c r="K394" s="104" t="s">
        <v>90</v>
      </c>
      <c r="L394" s="104" t="s">
        <v>4327</v>
      </c>
      <c r="M394" s="105">
        <v>40178</v>
      </c>
      <c r="N394" s="104" t="s">
        <v>4460</v>
      </c>
      <c r="O394" s="104" t="s">
        <v>5545</v>
      </c>
      <c r="P394" s="88">
        <v>2</v>
      </c>
      <c r="Q394" s="88">
        <v>1</v>
      </c>
      <c r="R394" s="88">
        <v>2</v>
      </c>
      <c r="S394" s="88">
        <v>0</v>
      </c>
      <c r="T394" s="88">
        <f t="shared" si="6"/>
        <v>3</v>
      </c>
      <c r="U394" s="104" t="s">
        <v>6351</v>
      </c>
      <c r="V394" s="99" t="s">
        <v>4358</v>
      </c>
      <c r="W394" s="108" t="s">
        <v>6352</v>
      </c>
      <c r="X394" s="108" t="s">
        <v>4477</v>
      </c>
      <c r="Y394" s="108" t="s">
        <v>4360</v>
      </c>
      <c r="Z394" s="108" t="s">
        <v>6164</v>
      </c>
      <c r="AA394" s="108" t="s">
        <v>6164</v>
      </c>
      <c r="AB394" s="108" t="s">
        <v>4705</v>
      </c>
      <c r="AC394" s="108">
        <v>40214</v>
      </c>
      <c r="AD394" s="104" t="s">
        <v>6353</v>
      </c>
      <c r="AE394" s="99" t="s">
        <v>6354</v>
      </c>
      <c r="AF394" s="99" t="s">
        <v>4502</v>
      </c>
      <c r="AG394" s="104" t="s">
        <v>6355</v>
      </c>
      <c r="AH394" s="104" t="s">
        <v>6356</v>
      </c>
      <c r="AI394" s="104" t="s">
        <v>5390</v>
      </c>
      <c r="AJ394" s="104" t="s">
        <v>5390</v>
      </c>
      <c r="AK394" s="104" t="s">
        <v>4320</v>
      </c>
      <c r="AL394" s="106"/>
      <c r="AM394" s="104" t="s">
        <v>4338</v>
      </c>
      <c r="AN394" s="104" t="s">
        <v>6357</v>
      </c>
      <c r="AO394" s="106"/>
      <c r="AP394" s="99">
        <v>155</v>
      </c>
      <c r="AQ394" s="99">
        <v>40</v>
      </c>
      <c r="AR394" s="104" t="s">
        <v>4340</v>
      </c>
    </row>
    <row r="395" s="66" customFormat="1" spans="2:44">
      <c r="B395" s="91" t="s">
        <v>4304</v>
      </c>
      <c r="C395" s="92">
        <v>392</v>
      </c>
      <c r="D395" s="93">
        <v>252610463</v>
      </c>
      <c r="E395" s="94" t="s">
        <v>1277</v>
      </c>
      <c r="F395" s="95" t="s">
        <v>1278</v>
      </c>
      <c r="G395" s="160" t="s">
        <v>1278</v>
      </c>
      <c r="H395" s="97"/>
      <c r="I395" s="160" t="s">
        <v>1277</v>
      </c>
      <c r="J395" s="160" t="s">
        <v>1277</v>
      </c>
      <c r="K395" s="97"/>
      <c r="L395" s="97"/>
      <c r="M395" s="98"/>
      <c r="N395" s="97"/>
      <c r="O395" s="97"/>
      <c r="P395" s="99"/>
      <c r="Q395" s="96"/>
      <c r="R395" s="96"/>
      <c r="S395" s="96"/>
      <c r="T395" s="88">
        <f t="shared" si="6"/>
        <v>0</v>
      </c>
      <c r="U395" s="97"/>
      <c r="V395" s="100"/>
      <c r="W395" s="101"/>
      <c r="X395" s="101"/>
      <c r="Y395" s="101"/>
      <c r="Z395" s="101"/>
      <c r="AA395" s="101"/>
      <c r="AB395" s="101"/>
      <c r="AC395" s="101"/>
      <c r="AD395" s="97"/>
      <c r="AE395" s="100"/>
      <c r="AF395" s="100"/>
      <c r="AG395" s="97"/>
      <c r="AH395" s="97"/>
      <c r="AI395" s="97"/>
      <c r="AJ395" s="97"/>
      <c r="AK395" s="97"/>
      <c r="AL395" s="97"/>
      <c r="AM395" s="97"/>
      <c r="AN395" s="97"/>
      <c r="AO395" s="97"/>
      <c r="AP395" s="100"/>
      <c r="AQ395" s="100"/>
      <c r="AR395" s="97"/>
    </row>
    <row r="396" s="66" customFormat="1" spans="2:44">
      <c r="B396" s="91" t="s">
        <v>4304</v>
      </c>
      <c r="C396" s="92">
        <v>393</v>
      </c>
      <c r="D396" s="93">
        <v>252610464</v>
      </c>
      <c r="E396" s="94" t="s">
        <v>1841</v>
      </c>
      <c r="F396" s="95" t="s">
        <v>1842</v>
      </c>
      <c r="G396" s="161" t="s">
        <v>1842</v>
      </c>
      <c r="H396" s="97"/>
      <c r="I396" s="161" t="s">
        <v>1841</v>
      </c>
      <c r="J396" s="161" t="s">
        <v>1841</v>
      </c>
      <c r="K396" s="97"/>
      <c r="L396" s="97"/>
      <c r="M396" s="98"/>
      <c r="N396" s="97"/>
      <c r="O396" s="97"/>
      <c r="P396" s="88"/>
      <c r="Q396" s="96"/>
      <c r="R396" s="96"/>
      <c r="S396" s="96"/>
      <c r="T396" s="88">
        <f t="shared" si="6"/>
        <v>0</v>
      </c>
      <c r="U396" s="97"/>
      <c r="V396" s="100"/>
      <c r="W396" s="101"/>
      <c r="X396" s="101"/>
      <c r="Y396" s="101"/>
      <c r="Z396" s="101"/>
      <c r="AA396" s="101"/>
      <c r="AB396" s="101"/>
      <c r="AC396" s="101"/>
      <c r="AD396" s="97"/>
      <c r="AE396" s="100"/>
      <c r="AF396" s="100"/>
      <c r="AG396" s="97"/>
      <c r="AH396" s="97"/>
      <c r="AI396" s="97"/>
      <c r="AJ396" s="97"/>
      <c r="AK396" s="97"/>
      <c r="AL396" s="97"/>
      <c r="AM396" s="97"/>
      <c r="AN396" s="97"/>
      <c r="AO396" s="97"/>
      <c r="AP396" s="100"/>
      <c r="AQ396" s="100"/>
      <c r="AR396" s="97"/>
    </row>
    <row r="397" spans="2:44">
      <c r="B397" s="69" t="s">
        <v>4373</v>
      </c>
      <c r="C397" s="81">
        <v>394</v>
      </c>
      <c r="D397" s="82">
        <v>252610510</v>
      </c>
      <c r="E397" s="83" t="s">
        <v>968</v>
      </c>
      <c r="F397" s="84" t="s">
        <v>969</v>
      </c>
      <c r="G397" s="162" t="s">
        <v>969</v>
      </c>
      <c r="H397" s="85" t="s">
        <v>6358</v>
      </c>
      <c r="I397" s="162" t="s">
        <v>968</v>
      </c>
      <c r="J397" s="163" t="s">
        <v>968</v>
      </c>
      <c r="K397" s="85" t="s">
        <v>90</v>
      </c>
      <c r="L397" s="85" t="s">
        <v>4343</v>
      </c>
      <c r="M397" s="87">
        <v>40112</v>
      </c>
      <c r="N397" s="85" t="s">
        <v>4307</v>
      </c>
      <c r="O397" s="85" t="s">
        <v>4344</v>
      </c>
      <c r="P397" s="99">
        <v>1</v>
      </c>
      <c r="Q397" s="99">
        <v>1</v>
      </c>
      <c r="R397" s="99">
        <v>0</v>
      </c>
      <c r="S397" s="99">
        <v>0</v>
      </c>
      <c r="T397" s="88">
        <f t="shared" si="6"/>
        <v>1</v>
      </c>
      <c r="U397" s="85" t="s">
        <v>4462</v>
      </c>
      <c r="V397" s="88">
        <v>0</v>
      </c>
      <c r="W397" s="109" t="s">
        <v>6359</v>
      </c>
      <c r="X397" s="109" t="s">
        <v>4464</v>
      </c>
      <c r="Y397" s="109">
        <v>14</v>
      </c>
      <c r="Z397" s="109" t="s">
        <v>6360</v>
      </c>
      <c r="AA397" s="109" t="s">
        <v>6361</v>
      </c>
      <c r="AB397" s="109" t="s">
        <v>4378</v>
      </c>
      <c r="AC397" s="109">
        <v>40534</v>
      </c>
      <c r="AD397" s="85" t="s">
        <v>6362</v>
      </c>
      <c r="AE397" s="88" t="s">
        <v>4366</v>
      </c>
      <c r="AF397" s="88" t="s">
        <v>4588</v>
      </c>
      <c r="AG397" s="85" t="s">
        <v>6363</v>
      </c>
      <c r="AH397" s="85" t="s">
        <v>6364</v>
      </c>
      <c r="AI397" s="85" t="s">
        <v>4318</v>
      </c>
      <c r="AJ397" s="85" t="s">
        <v>5758</v>
      </c>
      <c r="AK397" s="85" t="s">
        <v>4651</v>
      </c>
      <c r="AL397" s="85" t="s">
        <v>4406</v>
      </c>
      <c r="AM397" s="85" t="s">
        <v>4372</v>
      </c>
      <c r="AN397" s="85" t="s">
        <v>3124</v>
      </c>
      <c r="AO397" s="85"/>
      <c r="AP397" s="88">
        <v>153</v>
      </c>
      <c r="AQ397" s="88">
        <v>44</v>
      </c>
      <c r="AR397" s="85" t="s">
        <v>4415</v>
      </c>
    </row>
    <row r="398" s="66" customFormat="1" spans="2:44">
      <c r="B398" s="91" t="s">
        <v>4642</v>
      </c>
      <c r="C398" s="92">
        <v>395</v>
      </c>
      <c r="D398" s="93">
        <v>252610561</v>
      </c>
      <c r="E398" s="94" t="s">
        <v>970</v>
      </c>
      <c r="F398" s="95" t="s">
        <v>971</v>
      </c>
      <c r="G398" s="161" t="s">
        <v>4196</v>
      </c>
      <c r="H398" s="97"/>
      <c r="I398" s="161">
        <v>3106616419</v>
      </c>
      <c r="J398" s="161">
        <v>3106616419</v>
      </c>
      <c r="K398" s="97"/>
      <c r="L398" s="97"/>
      <c r="M398" s="98"/>
      <c r="N398" s="97"/>
      <c r="O398" s="97"/>
      <c r="P398" s="88"/>
      <c r="Q398" s="96"/>
      <c r="R398" s="96"/>
      <c r="S398" s="96"/>
      <c r="T398" s="88">
        <f t="shared" si="6"/>
        <v>0</v>
      </c>
      <c r="U398" s="97"/>
      <c r="V398" s="100"/>
      <c r="W398" s="101"/>
      <c r="X398" s="101"/>
      <c r="Y398" s="101"/>
      <c r="Z398" s="101"/>
      <c r="AA398" s="101"/>
      <c r="AB398" s="101"/>
      <c r="AC398" s="101"/>
      <c r="AD398" s="97"/>
      <c r="AE398" s="100"/>
      <c r="AF398" s="100"/>
      <c r="AG398" s="97"/>
      <c r="AH398" s="97"/>
      <c r="AI398" s="97"/>
      <c r="AJ398" s="97"/>
      <c r="AK398" s="97"/>
      <c r="AL398" s="97"/>
      <c r="AM398" s="97"/>
      <c r="AN398" s="97"/>
      <c r="AO398" s="97"/>
      <c r="AP398" s="100"/>
      <c r="AQ398" s="100"/>
      <c r="AR398" s="97"/>
    </row>
    <row r="399" s="66" customFormat="1" spans="2:44">
      <c r="B399" s="91" t="s">
        <v>4324</v>
      </c>
      <c r="C399" s="92">
        <v>396</v>
      </c>
      <c r="D399" s="93">
        <v>252610129</v>
      </c>
      <c r="E399" s="94" t="s">
        <v>1453</v>
      </c>
      <c r="F399" s="95" t="s">
        <v>1454</v>
      </c>
      <c r="G399" s="160" t="s">
        <v>4197</v>
      </c>
      <c r="H399" s="97"/>
      <c r="I399" s="160" t="s">
        <v>1453</v>
      </c>
      <c r="J399" s="160" t="s">
        <v>1453</v>
      </c>
      <c r="K399" s="97"/>
      <c r="L399" s="97"/>
      <c r="M399" s="98"/>
      <c r="N399" s="97"/>
      <c r="O399" s="97"/>
      <c r="P399" s="99"/>
      <c r="Q399" s="96"/>
      <c r="R399" s="96"/>
      <c r="S399" s="96"/>
      <c r="T399" s="88">
        <f t="shared" si="6"/>
        <v>0</v>
      </c>
      <c r="U399" s="97"/>
      <c r="V399" s="100"/>
      <c r="W399" s="101"/>
      <c r="X399" s="101"/>
      <c r="Y399" s="101"/>
      <c r="Z399" s="101"/>
      <c r="AA399" s="101"/>
      <c r="AB399" s="101"/>
      <c r="AC399" s="101"/>
      <c r="AD399" s="97"/>
      <c r="AE399" s="100"/>
      <c r="AF399" s="100"/>
      <c r="AG399" s="97"/>
      <c r="AH399" s="97"/>
      <c r="AI399" s="97"/>
      <c r="AJ399" s="97"/>
      <c r="AK399" s="97"/>
      <c r="AL399" s="97"/>
      <c r="AM399" s="97"/>
      <c r="AN399" s="97"/>
      <c r="AO399" s="97"/>
      <c r="AP399" s="100"/>
      <c r="AQ399" s="100"/>
      <c r="AR399" s="97"/>
    </row>
    <row r="400" s="66" customFormat="1" spans="2:44">
      <c r="B400" s="91" t="s">
        <v>4674</v>
      </c>
      <c r="C400" s="92">
        <v>397</v>
      </c>
      <c r="D400" s="93">
        <v>252610417</v>
      </c>
      <c r="E400" s="94" t="s">
        <v>2036</v>
      </c>
      <c r="F400" s="95" t="s">
        <v>2037</v>
      </c>
      <c r="G400" s="161" t="s">
        <v>4198</v>
      </c>
      <c r="H400" s="97"/>
      <c r="I400" s="161" t="s">
        <v>2036</v>
      </c>
      <c r="J400" s="161" t="s">
        <v>2036</v>
      </c>
      <c r="K400" s="97"/>
      <c r="L400" s="97"/>
      <c r="M400" s="98"/>
      <c r="N400" s="97"/>
      <c r="O400" s="97"/>
      <c r="P400" s="88"/>
      <c r="Q400" s="96"/>
      <c r="R400" s="96"/>
      <c r="S400" s="96"/>
      <c r="T400" s="88">
        <f t="shared" si="6"/>
        <v>0</v>
      </c>
      <c r="U400" s="97"/>
      <c r="V400" s="100"/>
      <c r="W400" s="101"/>
      <c r="X400" s="101"/>
      <c r="Y400" s="101"/>
      <c r="Z400" s="101"/>
      <c r="AA400" s="101"/>
      <c r="AB400" s="101"/>
      <c r="AC400" s="101"/>
      <c r="AD400" s="97"/>
      <c r="AE400" s="100"/>
      <c r="AF400" s="100"/>
      <c r="AG400" s="97"/>
      <c r="AH400" s="97"/>
      <c r="AI400" s="97"/>
      <c r="AJ400" s="97"/>
      <c r="AK400" s="97"/>
      <c r="AL400" s="97"/>
      <c r="AM400" s="97"/>
      <c r="AN400" s="97"/>
      <c r="AO400" s="97"/>
      <c r="AP400" s="100"/>
      <c r="AQ400" s="100"/>
      <c r="AR400" s="97"/>
    </row>
    <row r="401" spans="2:44">
      <c r="B401" s="69" t="s">
        <v>4373</v>
      </c>
      <c r="C401" s="81">
        <v>398</v>
      </c>
      <c r="D401" s="82">
        <v>252610511</v>
      </c>
      <c r="E401" s="83" t="s">
        <v>972</v>
      </c>
      <c r="F401" s="84" t="s">
        <v>973</v>
      </c>
      <c r="G401" s="162" t="s">
        <v>973</v>
      </c>
      <c r="H401" s="85" t="s">
        <v>6365</v>
      </c>
      <c r="I401" s="162" t="s">
        <v>972</v>
      </c>
      <c r="J401" s="163" t="s">
        <v>972</v>
      </c>
      <c r="K401" s="85" t="s">
        <v>90</v>
      </c>
      <c r="L401" s="85" t="s">
        <v>4343</v>
      </c>
      <c r="M401" s="87">
        <v>40071</v>
      </c>
      <c r="N401" s="85" t="s">
        <v>4307</v>
      </c>
      <c r="O401" s="85" t="s">
        <v>4308</v>
      </c>
      <c r="P401" s="99">
        <v>3</v>
      </c>
      <c r="Q401" s="99">
        <v>2</v>
      </c>
      <c r="R401" s="99">
        <v>0</v>
      </c>
      <c r="S401" s="99">
        <v>0</v>
      </c>
      <c r="T401" s="88">
        <f t="shared" si="6"/>
        <v>2</v>
      </c>
      <c r="U401" s="85" t="s">
        <v>6236</v>
      </c>
      <c r="V401" s="88" t="s">
        <v>4310</v>
      </c>
      <c r="W401" s="109" t="s">
        <v>6366</v>
      </c>
      <c r="X401" s="109" t="s">
        <v>4464</v>
      </c>
      <c r="Y401" s="109" t="s">
        <v>4492</v>
      </c>
      <c r="Z401" s="109" t="s">
        <v>6367</v>
      </c>
      <c r="AA401" s="109" t="s">
        <v>6368</v>
      </c>
      <c r="AB401" s="109" t="s">
        <v>4511</v>
      </c>
      <c r="AC401" s="109">
        <v>40214</v>
      </c>
      <c r="AD401" s="85" t="s">
        <v>6369</v>
      </c>
      <c r="AE401" s="88" t="s">
        <v>4422</v>
      </c>
      <c r="AF401" s="88" t="s">
        <v>4348</v>
      </c>
      <c r="AG401" s="85" t="s">
        <v>6370</v>
      </c>
      <c r="AH401" s="85" t="s">
        <v>6371</v>
      </c>
      <c r="AI401" s="85" t="s">
        <v>5830</v>
      </c>
      <c r="AJ401" s="85" t="s">
        <v>5830</v>
      </c>
      <c r="AK401" s="85" t="s">
        <v>4337</v>
      </c>
      <c r="AL401" s="90"/>
      <c r="AM401" s="85" t="s">
        <v>4372</v>
      </c>
      <c r="AN401" s="85" t="s">
        <v>6372</v>
      </c>
      <c r="AO401" s="90"/>
      <c r="AP401" s="88">
        <v>146</v>
      </c>
      <c r="AQ401" s="88">
        <v>47</v>
      </c>
      <c r="AR401" s="85" t="s">
        <v>4428</v>
      </c>
    </row>
    <row r="402" s="66" customFormat="1" spans="2:44">
      <c r="B402" s="91" t="s">
        <v>4323</v>
      </c>
      <c r="C402" s="92">
        <v>399</v>
      </c>
      <c r="D402" s="93">
        <v>252610275</v>
      </c>
      <c r="E402" s="94" t="s">
        <v>1074</v>
      </c>
      <c r="F402" s="95" t="s">
        <v>1075</v>
      </c>
      <c r="G402" s="161" t="s">
        <v>1075</v>
      </c>
      <c r="H402" s="97"/>
      <c r="I402" s="161" t="s">
        <v>1074</v>
      </c>
      <c r="J402" s="161" t="s">
        <v>1074</v>
      </c>
      <c r="K402" s="97"/>
      <c r="L402" s="97"/>
      <c r="M402" s="98"/>
      <c r="N402" s="97"/>
      <c r="O402" s="97"/>
      <c r="P402" s="88"/>
      <c r="Q402" s="96"/>
      <c r="R402" s="96"/>
      <c r="S402" s="96"/>
      <c r="T402" s="88">
        <f t="shared" si="6"/>
        <v>0</v>
      </c>
      <c r="U402" s="97"/>
      <c r="V402" s="100"/>
      <c r="W402" s="101"/>
      <c r="X402" s="101"/>
      <c r="Y402" s="101"/>
      <c r="Z402" s="101"/>
      <c r="AA402" s="101"/>
      <c r="AB402" s="101"/>
      <c r="AC402" s="101"/>
      <c r="AD402" s="97"/>
      <c r="AE402" s="100"/>
      <c r="AF402" s="100"/>
      <c r="AG402" s="97"/>
      <c r="AH402" s="97"/>
      <c r="AI402" s="97"/>
      <c r="AJ402" s="97"/>
      <c r="AK402" s="97"/>
      <c r="AL402" s="97"/>
      <c r="AM402" s="97"/>
      <c r="AN402" s="97"/>
      <c r="AO402" s="97"/>
      <c r="AP402" s="100"/>
      <c r="AQ402" s="100"/>
      <c r="AR402" s="97"/>
    </row>
    <row r="403" spans="2:44">
      <c r="B403" s="69" t="s">
        <v>4325</v>
      </c>
      <c r="C403" s="81">
        <v>400</v>
      </c>
      <c r="D403" s="82">
        <v>252610036</v>
      </c>
      <c r="E403" s="102" t="s">
        <v>974</v>
      </c>
      <c r="F403" s="171" t="s">
        <v>975</v>
      </c>
      <c r="G403" s="162" t="s">
        <v>975</v>
      </c>
      <c r="H403" s="85" t="s">
        <v>6373</v>
      </c>
      <c r="I403" s="162" t="s">
        <v>974</v>
      </c>
      <c r="J403" s="163" t="s">
        <v>974</v>
      </c>
      <c r="K403" s="85" t="s">
        <v>90</v>
      </c>
      <c r="L403" s="85" t="s">
        <v>4357</v>
      </c>
      <c r="M403" s="87">
        <v>40125</v>
      </c>
      <c r="N403" s="85" t="s">
        <v>4460</v>
      </c>
      <c r="O403" s="85" t="s">
        <v>4462</v>
      </c>
      <c r="P403" s="99">
        <v>1</v>
      </c>
      <c r="Q403" s="99">
        <v>1</v>
      </c>
      <c r="R403" s="99">
        <v>0</v>
      </c>
      <c r="S403" s="99">
        <v>0</v>
      </c>
      <c r="T403" s="88">
        <f t="shared" si="6"/>
        <v>1</v>
      </c>
      <c r="U403" s="85" t="s">
        <v>5128</v>
      </c>
      <c r="V403" s="88" t="s">
        <v>4358</v>
      </c>
      <c r="W403" s="109" t="s">
        <v>6374</v>
      </c>
      <c r="X403" s="109" t="s">
        <v>4419</v>
      </c>
      <c r="Y403" s="109" t="s">
        <v>4419</v>
      </c>
      <c r="Z403" s="109" t="s">
        <v>4406</v>
      </c>
      <c r="AA403" s="109" t="s">
        <v>4634</v>
      </c>
      <c r="AB403" s="109" t="s">
        <v>4378</v>
      </c>
      <c r="AC403" s="109">
        <v>40534</v>
      </c>
      <c r="AD403" s="85" t="s">
        <v>6375</v>
      </c>
      <c r="AE403" s="88" t="s">
        <v>6376</v>
      </c>
      <c r="AF403" s="88" t="s">
        <v>6377</v>
      </c>
      <c r="AG403" s="85" t="s">
        <v>6378</v>
      </c>
      <c r="AH403" s="85" t="s">
        <v>6379</v>
      </c>
      <c r="AI403" s="85" t="s">
        <v>4473</v>
      </c>
      <c r="AJ403" s="85" t="s">
        <v>4473</v>
      </c>
      <c r="AK403" s="85" t="s">
        <v>4402</v>
      </c>
      <c r="AL403" s="85" t="s">
        <v>4406</v>
      </c>
      <c r="AM403" s="85" t="s">
        <v>4337</v>
      </c>
      <c r="AN403" s="85" t="s">
        <v>6275</v>
      </c>
      <c r="AO403" s="85" t="s">
        <v>6380</v>
      </c>
      <c r="AP403" s="88">
        <v>157</v>
      </c>
      <c r="AQ403" s="88">
        <v>51</v>
      </c>
      <c r="AR403" s="85" t="s">
        <v>4415</v>
      </c>
    </row>
    <row r="404" s="66" customFormat="1" spans="2:44">
      <c r="B404" s="91" t="s">
        <v>4642</v>
      </c>
      <c r="C404" s="92">
        <v>401</v>
      </c>
      <c r="D404" s="93">
        <v>252610562</v>
      </c>
      <c r="E404" s="94" t="s">
        <v>1157</v>
      </c>
      <c r="F404" s="95" t="s">
        <v>1158</v>
      </c>
      <c r="G404" s="160" t="s">
        <v>1158</v>
      </c>
      <c r="H404" s="97"/>
      <c r="I404" s="160" t="s">
        <v>1157</v>
      </c>
      <c r="J404" s="160" t="s">
        <v>1157</v>
      </c>
      <c r="K404" s="97"/>
      <c r="L404" s="97"/>
      <c r="M404" s="98"/>
      <c r="N404" s="97"/>
      <c r="O404" s="97"/>
      <c r="P404" s="88"/>
      <c r="Q404" s="96"/>
      <c r="R404" s="96"/>
      <c r="S404" s="96"/>
      <c r="T404" s="88">
        <f t="shared" si="6"/>
        <v>0</v>
      </c>
      <c r="U404" s="97"/>
      <c r="V404" s="100"/>
      <c r="W404" s="101"/>
      <c r="X404" s="101"/>
      <c r="Y404" s="101"/>
      <c r="Z404" s="101"/>
      <c r="AA404" s="101"/>
      <c r="AB404" s="101"/>
      <c r="AC404" s="101"/>
      <c r="AD404" s="97"/>
      <c r="AE404" s="100"/>
      <c r="AF404" s="100"/>
      <c r="AG404" s="97"/>
      <c r="AH404" s="97"/>
      <c r="AI404" s="97"/>
      <c r="AJ404" s="97"/>
      <c r="AK404" s="97"/>
      <c r="AL404" s="97"/>
      <c r="AM404" s="97"/>
      <c r="AN404" s="97"/>
      <c r="AO404" s="97"/>
      <c r="AP404" s="100"/>
      <c r="AQ404" s="100"/>
      <c r="AR404" s="97"/>
    </row>
    <row r="405" spans="2:44">
      <c r="B405" s="69" t="s">
        <v>4304</v>
      </c>
      <c r="C405" s="81">
        <v>402</v>
      </c>
      <c r="D405" s="82">
        <v>252610465</v>
      </c>
      <c r="E405" s="83" t="s">
        <v>1455</v>
      </c>
      <c r="F405" s="84" t="s">
        <v>1456</v>
      </c>
      <c r="G405" s="156" t="s">
        <v>4199</v>
      </c>
      <c r="H405" s="104" t="s">
        <v>5116</v>
      </c>
      <c r="I405" s="156" t="s">
        <v>1455</v>
      </c>
      <c r="J405" s="157" t="s">
        <v>1455</v>
      </c>
      <c r="K405" s="104" t="s">
        <v>90</v>
      </c>
      <c r="L405" s="104" t="s">
        <v>6381</v>
      </c>
      <c r="M405" s="105">
        <v>40023</v>
      </c>
      <c r="N405" s="104" t="s">
        <v>4460</v>
      </c>
      <c r="O405" s="104" t="s">
        <v>5545</v>
      </c>
      <c r="P405" s="88">
        <v>1</v>
      </c>
      <c r="Q405" s="88">
        <v>0</v>
      </c>
      <c r="R405" s="88">
        <v>2</v>
      </c>
      <c r="S405" s="88">
        <v>0</v>
      </c>
      <c r="T405" s="88">
        <f t="shared" si="6"/>
        <v>2</v>
      </c>
      <c r="U405" s="104" t="s">
        <v>5545</v>
      </c>
      <c r="V405" s="99" t="s">
        <v>4595</v>
      </c>
      <c r="W405" s="108" t="s">
        <v>6382</v>
      </c>
      <c r="X405" s="108" t="s">
        <v>4714</v>
      </c>
      <c r="Y405" s="108" t="s">
        <v>4392</v>
      </c>
      <c r="Z405" s="108" t="s">
        <v>6383</v>
      </c>
      <c r="AA405" s="108" t="s">
        <v>6383</v>
      </c>
      <c r="AB405" s="108" t="s">
        <v>6384</v>
      </c>
      <c r="AC405" s="108">
        <v>40256</v>
      </c>
      <c r="AD405" s="104" t="s">
        <v>6385</v>
      </c>
      <c r="AE405" s="99" t="s">
        <v>4990</v>
      </c>
      <c r="AF405" s="99" t="s">
        <v>4411</v>
      </c>
      <c r="AG405" s="104" t="s">
        <v>6386</v>
      </c>
      <c r="AH405" s="104" t="s">
        <v>6387</v>
      </c>
      <c r="AI405" s="104" t="s">
        <v>5390</v>
      </c>
      <c r="AJ405" s="104" t="s">
        <v>4473</v>
      </c>
      <c r="AK405" s="104" t="s">
        <v>4320</v>
      </c>
      <c r="AL405" s="104" t="s">
        <v>4406</v>
      </c>
      <c r="AM405" s="104" t="s">
        <v>4338</v>
      </c>
      <c r="AN405" s="104" t="s">
        <v>6096</v>
      </c>
      <c r="AO405" s="104" t="s">
        <v>6388</v>
      </c>
      <c r="AP405" s="99">
        <v>156</v>
      </c>
      <c r="AQ405" s="99">
        <v>45</v>
      </c>
      <c r="AR405" s="104" t="s">
        <v>4322</v>
      </c>
    </row>
    <row r="406" spans="2:44">
      <c r="B406" s="69" t="s">
        <v>4354</v>
      </c>
      <c r="C406" s="81">
        <v>403</v>
      </c>
      <c r="D406" s="82">
        <v>252610083</v>
      </c>
      <c r="E406" s="83" t="s">
        <v>1741</v>
      </c>
      <c r="F406" s="84" t="s">
        <v>1742</v>
      </c>
      <c r="G406" s="162" t="s">
        <v>1742</v>
      </c>
      <c r="H406" s="85" t="s">
        <v>6389</v>
      </c>
      <c r="I406" s="162" t="s">
        <v>1741</v>
      </c>
      <c r="J406" s="163" t="s">
        <v>1741</v>
      </c>
      <c r="K406" s="85" t="s">
        <v>89</v>
      </c>
      <c r="L406" s="85" t="s">
        <v>6390</v>
      </c>
      <c r="M406" s="87">
        <v>40106</v>
      </c>
      <c r="N406" s="85" t="s">
        <v>4328</v>
      </c>
      <c r="O406" s="85" t="s">
        <v>4619</v>
      </c>
      <c r="P406" s="99">
        <v>2</v>
      </c>
      <c r="Q406" s="99">
        <v>2</v>
      </c>
      <c r="R406" s="99">
        <v>0</v>
      </c>
      <c r="S406" s="99">
        <v>0</v>
      </c>
      <c r="T406" s="88">
        <f t="shared" si="6"/>
        <v>2</v>
      </c>
      <c r="U406" s="85" t="s">
        <v>6391</v>
      </c>
      <c r="V406" s="88" t="s">
        <v>4595</v>
      </c>
      <c r="W406" s="109" t="s">
        <v>6392</v>
      </c>
      <c r="X406" s="109">
        <v>1</v>
      </c>
      <c r="Y406" s="109">
        <v>31</v>
      </c>
      <c r="Z406" s="109" t="s">
        <v>4494</v>
      </c>
      <c r="AA406" s="109" t="s">
        <v>4494</v>
      </c>
      <c r="AB406" s="109" t="s">
        <v>4451</v>
      </c>
      <c r="AC406" s="109">
        <v>40534</v>
      </c>
      <c r="AD406" s="85" t="s">
        <v>6393</v>
      </c>
      <c r="AE406" s="88" t="s">
        <v>4917</v>
      </c>
      <c r="AF406" s="88" t="s">
        <v>6394</v>
      </c>
      <c r="AG406" s="85" t="s">
        <v>6395</v>
      </c>
      <c r="AH406" s="85" t="s">
        <v>6396</v>
      </c>
      <c r="AI406" s="85" t="s">
        <v>4788</v>
      </c>
      <c r="AJ406" s="85" t="s">
        <v>5758</v>
      </c>
      <c r="AK406" s="85" t="s">
        <v>4319</v>
      </c>
      <c r="AL406" s="85" t="s">
        <v>4406</v>
      </c>
      <c r="AM406" s="85" t="s">
        <v>4372</v>
      </c>
      <c r="AN406" s="85" t="s">
        <v>3487</v>
      </c>
      <c r="AO406" s="90"/>
      <c r="AP406" s="88">
        <v>175</v>
      </c>
      <c r="AQ406" s="88">
        <v>51</v>
      </c>
      <c r="AR406" s="85" t="s">
        <v>4415</v>
      </c>
    </row>
    <row r="407" s="66" customFormat="1" spans="2:44">
      <c r="B407" s="91" t="s">
        <v>4354</v>
      </c>
      <c r="C407" s="92">
        <v>404</v>
      </c>
      <c r="D407" s="93">
        <v>252610084</v>
      </c>
      <c r="E407" s="94" t="s">
        <v>1843</v>
      </c>
      <c r="F407" s="95" t="s">
        <v>1844</v>
      </c>
      <c r="G407" s="161" t="s">
        <v>1844</v>
      </c>
      <c r="H407" s="97"/>
      <c r="I407" s="161">
        <v>3098727235</v>
      </c>
      <c r="J407" s="161">
        <v>3098727235</v>
      </c>
      <c r="K407" s="97"/>
      <c r="L407" s="97"/>
      <c r="M407" s="98"/>
      <c r="N407" s="97"/>
      <c r="O407" s="97"/>
      <c r="P407" s="99"/>
      <c r="Q407" s="96"/>
      <c r="R407" s="96"/>
      <c r="S407" s="96"/>
      <c r="T407" s="88">
        <f t="shared" si="6"/>
        <v>0</v>
      </c>
      <c r="U407" s="97"/>
      <c r="V407" s="100"/>
      <c r="W407" s="101"/>
      <c r="X407" s="101"/>
      <c r="Y407" s="101"/>
      <c r="Z407" s="101"/>
      <c r="AA407" s="101"/>
      <c r="AB407" s="101"/>
      <c r="AC407" s="101"/>
      <c r="AD407" s="97"/>
      <c r="AE407" s="100"/>
      <c r="AF407" s="100"/>
      <c r="AG407" s="97"/>
      <c r="AH407" s="97"/>
      <c r="AI407" s="97"/>
      <c r="AJ407" s="97"/>
      <c r="AK407" s="97"/>
      <c r="AL407" s="97"/>
      <c r="AM407" s="97"/>
      <c r="AN407" s="97"/>
      <c r="AO407" s="97"/>
      <c r="AP407" s="100"/>
      <c r="AQ407" s="100"/>
      <c r="AR407" s="97"/>
    </row>
    <row r="408" s="66" customFormat="1" spans="2:44">
      <c r="B408" s="91" t="s">
        <v>4324</v>
      </c>
      <c r="C408" s="92">
        <v>405</v>
      </c>
      <c r="D408" s="93">
        <v>252610130</v>
      </c>
      <c r="E408" s="94" t="s">
        <v>976</v>
      </c>
      <c r="F408" s="95" t="s">
        <v>977</v>
      </c>
      <c r="G408" s="160" t="s">
        <v>977</v>
      </c>
      <c r="H408" s="97"/>
      <c r="I408" s="160" t="s">
        <v>976</v>
      </c>
      <c r="J408" s="160" t="s">
        <v>976</v>
      </c>
      <c r="K408" s="97"/>
      <c r="L408" s="97"/>
      <c r="M408" s="98"/>
      <c r="N408" s="97"/>
      <c r="O408" s="97"/>
      <c r="P408" s="88"/>
      <c r="Q408" s="96"/>
      <c r="R408" s="96"/>
      <c r="S408" s="96"/>
      <c r="T408" s="88">
        <f t="shared" si="6"/>
        <v>0</v>
      </c>
      <c r="U408" s="97"/>
      <c r="V408" s="100"/>
      <c r="W408" s="101"/>
      <c r="X408" s="101"/>
      <c r="Y408" s="101"/>
      <c r="Z408" s="101"/>
      <c r="AA408" s="101"/>
      <c r="AB408" s="101"/>
      <c r="AC408" s="101"/>
      <c r="AD408" s="97"/>
      <c r="AE408" s="100"/>
      <c r="AF408" s="100"/>
      <c r="AG408" s="97"/>
      <c r="AH408" s="97"/>
      <c r="AI408" s="97"/>
      <c r="AJ408" s="97"/>
      <c r="AK408" s="97"/>
      <c r="AL408" s="97"/>
      <c r="AM408" s="97"/>
      <c r="AN408" s="97"/>
      <c r="AO408" s="97"/>
      <c r="AP408" s="100"/>
      <c r="AQ408" s="100"/>
      <c r="AR408" s="97"/>
    </row>
    <row r="409" spans="2:44">
      <c r="B409" s="69" t="s">
        <v>4642</v>
      </c>
      <c r="C409" s="81">
        <v>406</v>
      </c>
      <c r="D409" s="82">
        <v>252610563</v>
      </c>
      <c r="E409" s="83" t="s">
        <v>1550</v>
      </c>
      <c r="F409" s="84" t="s">
        <v>1551</v>
      </c>
      <c r="G409" s="156" t="s">
        <v>1551</v>
      </c>
      <c r="H409" s="104" t="s">
        <v>6397</v>
      </c>
      <c r="I409" s="156" t="s">
        <v>1550</v>
      </c>
      <c r="J409" s="157" t="s">
        <v>1550</v>
      </c>
      <c r="K409" s="104" t="s">
        <v>90</v>
      </c>
      <c r="L409" s="104" t="s">
        <v>4343</v>
      </c>
      <c r="M409" s="105">
        <v>40045</v>
      </c>
      <c r="N409" s="104" t="s">
        <v>4307</v>
      </c>
      <c r="O409" s="104" t="s">
        <v>4619</v>
      </c>
      <c r="P409" s="88">
        <v>2</v>
      </c>
      <c r="Q409" s="88">
        <v>2</v>
      </c>
      <c r="R409" s="88">
        <v>0</v>
      </c>
      <c r="S409" s="88">
        <v>0</v>
      </c>
      <c r="T409" s="88">
        <f t="shared" si="6"/>
        <v>2</v>
      </c>
      <c r="U409" s="104" t="s">
        <v>4344</v>
      </c>
      <c r="V409" s="99">
        <v>0</v>
      </c>
      <c r="W409" s="108" t="s">
        <v>6398</v>
      </c>
      <c r="X409" s="108" t="s">
        <v>4492</v>
      </c>
      <c r="Y409" s="108" t="s">
        <v>4492</v>
      </c>
      <c r="Z409" s="108" t="s">
        <v>5267</v>
      </c>
      <c r="AA409" s="108" t="s">
        <v>6399</v>
      </c>
      <c r="AB409" s="108" t="s">
        <v>4766</v>
      </c>
      <c r="AC409" s="108">
        <v>40212</v>
      </c>
      <c r="AD409" s="104" t="s">
        <v>6400</v>
      </c>
      <c r="AE409" s="99" t="s">
        <v>4496</v>
      </c>
      <c r="AF409" s="99" t="s">
        <v>4502</v>
      </c>
      <c r="AG409" s="104" t="s">
        <v>6401</v>
      </c>
      <c r="AH409" s="104" t="s">
        <v>6402</v>
      </c>
      <c r="AI409" s="104" t="s">
        <v>4318</v>
      </c>
      <c r="AJ409" s="104" t="s">
        <v>4318</v>
      </c>
      <c r="AK409" s="104" t="s">
        <v>4320</v>
      </c>
      <c r="AL409" s="106"/>
      <c r="AM409" s="104" t="s">
        <v>4320</v>
      </c>
      <c r="AN409" s="104" t="s">
        <v>6403</v>
      </c>
      <c r="AO409" s="104" t="s">
        <v>6404</v>
      </c>
      <c r="AP409" s="99">
        <v>157</v>
      </c>
      <c r="AQ409" s="99">
        <v>42</v>
      </c>
      <c r="AR409" s="104" t="s">
        <v>4428</v>
      </c>
    </row>
    <row r="410" spans="2:44">
      <c r="B410" s="69" t="s">
        <v>4304</v>
      </c>
      <c r="C410" s="81">
        <v>407</v>
      </c>
      <c r="D410" s="82">
        <v>252610466</v>
      </c>
      <c r="E410" s="83" t="s">
        <v>1743</v>
      </c>
      <c r="F410" s="84" t="s">
        <v>1744</v>
      </c>
      <c r="G410" s="162" t="s">
        <v>1744</v>
      </c>
      <c r="H410" s="85" t="s">
        <v>6405</v>
      </c>
      <c r="I410" s="162" t="s">
        <v>1743</v>
      </c>
      <c r="J410" s="163" t="s">
        <v>1743</v>
      </c>
      <c r="K410" s="85" t="s">
        <v>90</v>
      </c>
      <c r="L410" s="85" t="s">
        <v>4629</v>
      </c>
      <c r="M410" s="87">
        <v>40263</v>
      </c>
      <c r="N410" s="85" t="s">
        <v>4328</v>
      </c>
      <c r="O410" s="85" t="s">
        <v>4489</v>
      </c>
      <c r="P410" s="99">
        <v>1</v>
      </c>
      <c r="Q410" s="99">
        <v>1</v>
      </c>
      <c r="R410" s="99">
        <v>0</v>
      </c>
      <c r="S410" s="99">
        <v>0</v>
      </c>
      <c r="T410" s="88">
        <f t="shared" si="6"/>
        <v>1</v>
      </c>
      <c r="U410" s="85" t="s">
        <v>6175</v>
      </c>
      <c r="V410" s="88" t="s">
        <v>4595</v>
      </c>
      <c r="W410" s="109" t="s">
        <v>6406</v>
      </c>
      <c r="X410" s="109" t="s">
        <v>4392</v>
      </c>
      <c r="Y410" s="109" t="s">
        <v>4431</v>
      </c>
      <c r="Z410" s="109" t="s">
        <v>6342</v>
      </c>
      <c r="AA410" s="109" t="s">
        <v>4494</v>
      </c>
      <c r="AB410" s="109" t="s">
        <v>4451</v>
      </c>
      <c r="AC410" s="109">
        <v>40534</v>
      </c>
      <c r="AD410" s="85" t="s">
        <v>6407</v>
      </c>
      <c r="AE410" s="88" t="s">
        <v>4410</v>
      </c>
      <c r="AF410" s="88" t="s">
        <v>4381</v>
      </c>
      <c r="AG410" s="85" t="s">
        <v>6408</v>
      </c>
      <c r="AH410" s="85" t="s">
        <v>6409</v>
      </c>
      <c r="AI410" s="85" t="s">
        <v>4351</v>
      </c>
      <c r="AJ410" s="85" t="s">
        <v>4352</v>
      </c>
      <c r="AK410" s="85" t="s">
        <v>4320</v>
      </c>
      <c r="AL410" s="90"/>
      <c r="AM410" s="85" t="s">
        <v>4372</v>
      </c>
      <c r="AN410" s="85" t="s">
        <v>3780</v>
      </c>
      <c r="AO410" s="85" t="s">
        <v>6410</v>
      </c>
      <c r="AP410" s="88">
        <v>156</v>
      </c>
      <c r="AQ410" s="88">
        <v>50</v>
      </c>
      <c r="AR410" s="85" t="s">
        <v>5393</v>
      </c>
    </row>
    <row r="411" s="66" customFormat="1" spans="2:44">
      <c r="B411" s="91" t="s">
        <v>4355</v>
      </c>
      <c r="C411" s="92">
        <v>408</v>
      </c>
      <c r="D411" s="93">
        <v>252610180</v>
      </c>
      <c r="E411" s="94" t="s">
        <v>1745</v>
      </c>
      <c r="F411" s="95" t="s">
        <v>1746</v>
      </c>
      <c r="G411" s="161" t="s">
        <v>1746</v>
      </c>
      <c r="H411" s="97"/>
      <c r="I411" s="161" t="s">
        <v>1745</v>
      </c>
      <c r="J411" s="161" t="s">
        <v>1745</v>
      </c>
      <c r="K411" s="97"/>
      <c r="L411" s="97"/>
      <c r="M411" s="98"/>
      <c r="N411" s="97"/>
      <c r="O411" s="97"/>
      <c r="P411" s="99"/>
      <c r="Q411" s="96"/>
      <c r="R411" s="96"/>
      <c r="S411" s="96"/>
      <c r="T411" s="88">
        <f t="shared" si="6"/>
        <v>0</v>
      </c>
      <c r="U411" s="97"/>
      <c r="V411" s="100"/>
      <c r="W411" s="101"/>
      <c r="X411" s="101"/>
      <c r="Y411" s="101"/>
      <c r="Z411" s="101"/>
      <c r="AA411" s="101"/>
      <c r="AB411" s="101"/>
      <c r="AC411" s="101"/>
      <c r="AD411" s="97"/>
      <c r="AE411" s="100"/>
      <c r="AF411" s="100"/>
      <c r="AG411" s="97"/>
      <c r="AH411" s="97"/>
      <c r="AI411" s="97"/>
      <c r="AJ411" s="97"/>
      <c r="AK411" s="97"/>
      <c r="AL411" s="97"/>
      <c r="AM411" s="97"/>
      <c r="AN411" s="97"/>
      <c r="AO411" s="97"/>
      <c r="AP411" s="100"/>
      <c r="AQ411" s="100"/>
      <c r="AR411" s="97"/>
    </row>
    <row r="412" spans="2:44">
      <c r="B412" s="69" t="s">
        <v>4373</v>
      </c>
      <c r="C412" s="81">
        <v>409</v>
      </c>
      <c r="D412" s="82">
        <v>252610512</v>
      </c>
      <c r="E412" s="83" t="s">
        <v>1076</v>
      </c>
      <c r="F412" s="84" t="s">
        <v>1077</v>
      </c>
      <c r="G412" s="162" t="s">
        <v>4200</v>
      </c>
      <c r="H412" s="85" t="s">
        <v>6411</v>
      </c>
      <c r="I412" s="162" t="s">
        <v>1076</v>
      </c>
      <c r="J412" s="163" t="s">
        <v>1076</v>
      </c>
      <c r="K412" s="85" t="s">
        <v>90</v>
      </c>
      <c r="L412" s="85" t="s">
        <v>6412</v>
      </c>
      <c r="M412" s="87">
        <v>40106</v>
      </c>
      <c r="N412" s="85" t="s">
        <v>4307</v>
      </c>
      <c r="O412" s="85" t="s">
        <v>4308</v>
      </c>
      <c r="P412" s="99">
        <v>2</v>
      </c>
      <c r="Q412" s="99">
        <v>3</v>
      </c>
      <c r="R412" s="99">
        <v>0</v>
      </c>
      <c r="S412" s="99">
        <v>0</v>
      </c>
      <c r="T412" s="88">
        <f t="shared" si="6"/>
        <v>3</v>
      </c>
      <c r="U412" s="85" t="s">
        <v>6413</v>
      </c>
      <c r="V412" s="88">
        <v>0</v>
      </c>
      <c r="W412" s="109" t="s">
        <v>6414</v>
      </c>
      <c r="X412" s="109" t="s">
        <v>4464</v>
      </c>
      <c r="Y412" s="109" t="s">
        <v>4360</v>
      </c>
      <c r="Z412" s="109" t="s">
        <v>4432</v>
      </c>
      <c r="AA412" s="109" t="s">
        <v>6415</v>
      </c>
      <c r="AB412" s="109" t="s">
        <v>4434</v>
      </c>
      <c r="AC412" s="109">
        <v>40184</v>
      </c>
      <c r="AD412" s="85" t="s">
        <v>6416</v>
      </c>
      <c r="AE412" s="88" t="s">
        <v>4669</v>
      </c>
      <c r="AF412" s="88">
        <v>2</v>
      </c>
      <c r="AG412" s="85" t="s">
        <v>6417</v>
      </c>
      <c r="AH412" s="85" t="s">
        <v>6418</v>
      </c>
      <c r="AI412" s="85" t="s">
        <v>5168</v>
      </c>
      <c r="AJ412" s="85" t="s">
        <v>4351</v>
      </c>
      <c r="AK412" s="85" t="s">
        <v>4338</v>
      </c>
      <c r="AL412" s="85" t="s">
        <v>6419</v>
      </c>
      <c r="AM412" s="85" t="s">
        <v>4372</v>
      </c>
      <c r="AN412" s="85" t="s">
        <v>3648</v>
      </c>
      <c r="AO412" s="90"/>
      <c r="AP412" s="88">
        <v>144</v>
      </c>
      <c r="AQ412" s="88">
        <v>40</v>
      </c>
      <c r="AR412" s="85" t="s">
        <v>4428</v>
      </c>
    </row>
    <row r="413" spans="2:44">
      <c r="B413" s="69" t="s">
        <v>4568</v>
      </c>
      <c r="C413" s="81">
        <v>410</v>
      </c>
      <c r="D413" s="82">
        <v>252610226</v>
      </c>
      <c r="E413" s="83" t="s">
        <v>1941</v>
      </c>
      <c r="F413" s="84" t="s">
        <v>1942</v>
      </c>
      <c r="G413" s="156" t="s">
        <v>4201</v>
      </c>
      <c r="H413" s="104" t="s">
        <v>6420</v>
      </c>
      <c r="I413" s="156" t="s">
        <v>1941</v>
      </c>
      <c r="J413" s="157" t="s">
        <v>1941</v>
      </c>
      <c r="K413" s="104" t="s">
        <v>90</v>
      </c>
      <c r="L413" s="104" t="s">
        <v>4343</v>
      </c>
      <c r="M413" s="105">
        <v>40027</v>
      </c>
      <c r="N413" s="104" t="s">
        <v>4307</v>
      </c>
      <c r="O413" s="104" t="s">
        <v>4344</v>
      </c>
      <c r="P413" s="88">
        <v>2</v>
      </c>
      <c r="Q413" s="88">
        <v>2</v>
      </c>
      <c r="R413" s="88">
        <v>0</v>
      </c>
      <c r="S413" s="88">
        <v>0</v>
      </c>
      <c r="T413" s="88">
        <f t="shared" si="6"/>
        <v>2</v>
      </c>
      <c r="U413" s="104" t="s">
        <v>4462</v>
      </c>
      <c r="V413" s="99">
        <v>0</v>
      </c>
      <c r="W413" s="108" t="s">
        <v>6421</v>
      </c>
      <c r="X413" s="108" t="s">
        <v>4544</v>
      </c>
      <c r="Y413" s="108" t="s">
        <v>6422</v>
      </c>
      <c r="Z413" s="108" t="s">
        <v>4494</v>
      </c>
      <c r="AA413" s="108" t="s">
        <v>4494</v>
      </c>
      <c r="AB413" s="108" t="s">
        <v>4451</v>
      </c>
      <c r="AC413" s="108">
        <v>40534</v>
      </c>
      <c r="AD413" s="104" t="s">
        <v>6423</v>
      </c>
      <c r="AE413" s="99" t="s">
        <v>4422</v>
      </c>
      <c r="AF413" s="99" t="s">
        <v>6424</v>
      </c>
      <c r="AG413" s="104" t="s">
        <v>6425</v>
      </c>
      <c r="AH413" s="104" t="s">
        <v>6426</v>
      </c>
      <c r="AI413" s="104" t="s">
        <v>4318</v>
      </c>
      <c r="AJ413" s="104" t="s">
        <v>4318</v>
      </c>
      <c r="AK413" s="104" t="s">
        <v>4319</v>
      </c>
      <c r="AL413" s="104" t="s">
        <v>6427</v>
      </c>
      <c r="AM413" s="104" t="s">
        <v>4372</v>
      </c>
      <c r="AN413" s="104" t="s">
        <v>3124</v>
      </c>
      <c r="AO413" s="106"/>
      <c r="AP413" s="99">
        <v>163</v>
      </c>
      <c r="AQ413" s="99">
        <v>42</v>
      </c>
      <c r="AR413" s="104" t="s">
        <v>4415</v>
      </c>
    </row>
    <row r="414" s="66" customFormat="1" spans="2:44">
      <c r="B414" s="91" t="s">
        <v>4324</v>
      </c>
      <c r="C414" s="92">
        <v>411</v>
      </c>
      <c r="D414" s="93">
        <v>252610131</v>
      </c>
      <c r="E414" s="94" t="s">
        <v>1552</v>
      </c>
      <c r="F414" s="95" t="s">
        <v>1553</v>
      </c>
      <c r="G414" s="160" t="s">
        <v>4202</v>
      </c>
      <c r="H414" s="97"/>
      <c r="I414" s="160" t="s">
        <v>1552</v>
      </c>
      <c r="J414" s="160" t="s">
        <v>1552</v>
      </c>
      <c r="K414" s="97"/>
      <c r="L414" s="97"/>
      <c r="M414" s="98"/>
      <c r="N414" s="97"/>
      <c r="O414" s="97"/>
      <c r="P414" s="88"/>
      <c r="Q414" s="96"/>
      <c r="R414" s="96"/>
      <c r="S414" s="96"/>
      <c r="T414" s="88">
        <f t="shared" si="6"/>
        <v>0</v>
      </c>
      <c r="U414" s="97"/>
      <c r="V414" s="100"/>
      <c r="W414" s="101"/>
      <c r="X414" s="101"/>
      <c r="Y414" s="101"/>
      <c r="Z414" s="101"/>
      <c r="AA414" s="101"/>
      <c r="AB414" s="101"/>
      <c r="AC414" s="101"/>
      <c r="AD414" s="97"/>
      <c r="AE414" s="100"/>
      <c r="AF414" s="100"/>
      <c r="AG414" s="97"/>
      <c r="AH414" s="97"/>
      <c r="AI414" s="97"/>
      <c r="AJ414" s="97"/>
      <c r="AK414" s="97"/>
      <c r="AL414" s="97"/>
      <c r="AM414" s="97"/>
      <c r="AN414" s="97"/>
      <c r="AO414" s="97"/>
      <c r="AP414" s="100"/>
      <c r="AQ414" s="100"/>
      <c r="AR414" s="97"/>
    </row>
    <row r="415" s="66" customFormat="1" spans="2:44">
      <c r="B415" s="91" t="s">
        <v>4373</v>
      </c>
      <c r="C415" s="92">
        <v>412</v>
      </c>
      <c r="D415" s="93">
        <v>252610513</v>
      </c>
      <c r="E415" s="94" t="s">
        <v>1943</v>
      </c>
      <c r="F415" s="95" t="s">
        <v>1944</v>
      </c>
      <c r="G415" s="161" t="s">
        <v>1944</v>
      </c>
      <c r="H415" s="97"/>
      <c r="I415" s="161" t="s">
        <v>1943</v>
      </c>
      <c r="J415" s="161" t="s">
        <v>1943</v>
      </c>
      <c r="K415" s="97"/>
      <c r="L415" s="97"/>
      <c r="M415" s="98"/>
      <c r="N415" s="97"/>
      <c r="O415" s="97"/>
      <c r="P415" s="99"/>
      <c r="Q415" s="96"/>
      <c r="R415" s="96"/>
      <c r="S415" s="96"/>
      <c r="T415" s="88">
        <f t="shared" si="6"/>
        <v>0</v>
      </c>
      <c r="U415" s="97"/>
      <c r="V415" s="100"/>
      <c r="W415" s="101"/>
      <c r="X415" s="101"/>
      <c r="Y415" s="101"/>
      <c r="Z415" s="101"/>
      <c r="AA415" s="101"/>
      <c r="AB415" s="101"/>
      <c r="AC415" s="101"/>
      <c r="AD415" s="97"/>
      <c r="AE415" s="100"/>
      <c r="AF415" s="100"/>
      <c r="AG415" s="97"/>
      <c r="AH415" s="97"/>
      <c r="AI415" s="97"/>
      <c r="AJ415" s="97"/>
      <c r="AK415" s="97"/>
      <c r="AL415" s="97"/>
      <c r="AM415" s="97"/>
      <c r="AN415" s="97"/>
      <c r="AO415" s="97"/>
      <c r="AP415" s="100"/>
      <c r="AQ415" s="100"/>
      <c r="AR415" s="97"/>
    </row>
    <row r="416" s="66" customFormat="1" spans="2:44">
      <c r="B416" s="91" t="s">
        <v>4642</v>
      </c>
      <c r="C416" s="92">
        <v>413</v>
      </c>
      <c r="D416" s="93">
        <v>252610564</v>
      </c>
      <c r="E416" s="94" t="s">
        <v>1845</v>
      </c>
      <c r="F416" s="95" t="s">
        <v>1846</v>
      </c>
      <c r="G416" s="160" t="s">
        <v>1846</v>
      </c>
      <c r="H416" s="97"/>
      <c r="I416" s="160" t="s">
        <v>1845</v>
      </c>
      <c r="J416" s="160" t="s">
        <v>1845</v>
      </c>
      <c r="K416" s="97"/>
      <c r="L416" s="97"/>
      <c r="M416" s="98"/>
      <c r="N416" s="97"/>
      <c r="O416" s="97"/>
      <c r="P416" s="88"/>
      <c r="Q416" s="96"/>
      <c r="R416" s="96"/>
      <c r="S416" s="96"/>
      <c r="T416" s="88">
        <f t="shared" si="6"/>
        <v>0</v>
      </c>
      <c r="U416" s="97"/>
      <c r="V416" s="100"/>
      <c r="W416" s="101"/>
      <c r="X416" s="101"/>
      <c r="Y416" s="101"/>
      <c r="Z416" s="101"/>
      <c r="AA416" s="101"/>
      <c r="AB416" s="101"/>
      <c r="AC416" s="101"/>
      <c r="AD416" s="97"/>
      <c r="AE416" s="100"/>
      <c r="AF416" s="100"/>
      <c r="AG416" s="97"/>
      <c r="AH416" s="97"/>
      <c r="AI416" s="97"/>
      <c r="AJ416" s="97"/>
      <c r="AK416" s="97"/>
      <c r="AL416" s="97"/>
      <c r="AM416" s="97"/>
      <c r="AN416" s="97"/>
      <c r="AO416" s="97"/>
      <c r="AP416" s="100"/>
      <c r="AQ416" s="100"/>
      <c r="AR416" s="97"/>
    </row>
    <row r="417" spans="2:44">
      <c r="B417" s="69" t="s">
        <v>4355</v>
      </c>
      <c r="C417" s="81">
        <v>414</v>
      </c>
      <c r="D417" s="82">
        <v>252610181</v>
      </c>
      <c r="E417" s="83" t="s">
        <v>1349</v>
      </c>
      <c r="F417" s="84" t="s">
        <v>1350</v>
      </c>
      <c r="G417" s="156" t="s">
        <v>1350</v>
      </c>
      <c r="H417" s="104" t="s">
        <v>6428</v>
      </c>
      <c r="I417" s="156">
        <v>3105531281</v>
      </c>
      <c r="J417" s="157">
        <v>3105531281</v>
      </c>
      <c r="K417" s="104" t="s">
        <v>89</v>
      </c>
      <c r="L417" s="104" t="s">
        <v>4343</v>
      </c>
      <c r="M417" s="105">
        <v>40275</v>
      </c>
      <c r="N417" s="104" t="s">
        <v>4307</v>
      </c>
      <c r="O417" s="104" t="s">
        <v>4344</v>
      </c>
      <c r="P417" s="88">
        <v>2</v>
      </c>
      <c r="Q417" s="88">
        <v>1</v>
      </c>
      <c r="R417" s="88">
        <v>0</v>
      </c>
      <c r="S417" s="88">
        <v>0</v>
      </c>
      <c r="T417" s="88">
        <f t="shared" si="6"/>
        <v>1</v>
      </c>
      <c r="U417" s="104" t="s">
        <v>4344</v>
      </c>
      <c r="V417" s="99" t="s">
        <v>4595</v>
      </c>
      <c r="W417" s="108" t="s">
        <v>6429</v>
      </c>
      <c r="X417" s="108" t="s">
        <v>6430</v>
      </c>
      <c r="Y417" s="108" t="s">
        <v>6431</v>
      </c>
      <c r="Z417" s="108" t="s">
        <v>4406</v>
      </c>
      <c r="AA417" s="108" t="s">
        <v>4478</v>
      </c>
      <c r="AB417" s="108" t="s">
        <v>4656</v>
      </c>
      <c r="AC417" s="108">
        <v>40213</v>
      </c>
      <c r="AD417" s="104" t="s">
        <v>6432</v>
      </c>
      <c r="AE417" s="99" t="s">
        <v>4496</v>
      </c>
      <c r="AF417" s="99" t="s">
        <v>4348</v>
      </c>
      <c r="AG417" s="104" t="s">
        <v>6433</v>
      </c>
      <c r="AH417" s="104" t="s">
        <v>6434</v>
      </c>
      <c r="AI417" s="104" t="s">
        <v>4318</v>
      </c>
      <c r="AJ417" s="104" t="s">
        <v>4318</v>
      </c>
      <c r="AK417" s="104" t="s">
        <v>4319</v>
      </c>
      <c r="AL417" s="104" t="s">
        <v>4319</v>
      </c>
      <c r="AM417" s="104" t="s">
        <v>4320</v>
      </c>
      <c r="AN417" s="104" t="s">
        <v>6435</v>
      </c>
      <c r="AO417" s="104"/>
      <c r="AP417" s="99">
        <v>162</v>
      </c>
      <c r="AQ417" s="99">
        <v>51</v>
      </c>
      <c r="AR417" s="104" t="s">
        <v>4415</v>
      </c>
    </row>
    <row r="418" s="66" customFormat="1" spans="2:44">
      <c r="B418" s="91" t="s">
        <v>4568</v>
      </c>
      <c r="C418" s="92">
        <v>415</v>
      </c>
      <c r="D418" s="93">
        <v>252610227</v>
      </c>
      <c r="E418" s="94" t="s">
        <v>1457</v>
      </c>
      <c r="F418" s="95" t="s">
        <v>1458</v>
      </c>
      <c r="G418" s="160" t="s">
        <v>1458</v>
      </c>
      <c r="H418" s="97"/>
      <c r="I418" s="160" t="s">
        <v>1457</v>
      </c>
      <c r="J418" s="160" t="s">
        <v>1457</v>
      </c>
      <c r="K418" s="97"/>
      <c r="L418" s="97"/>
      <c r="M418" s="98"/>
      <c r="N418" s="97"/>
      <c r="O418" s="97"/>
      <c r="P418" s="88"/>
      <c r="Q418" s="96"/>
      <c r="R418" s="96"/>
      <c r="S418" s="96"/>
      <c r="T418" s="88">
        <f t="shared" si="6"/>
        <v>0</v>
      </c>
      <c r="U418" s="97"/>
      <c r="V418" s="100"/>
      <c r="W418" s="101"/>
      <c r="X418" s="101"/>
      <c r="Y418" s="101"/>
      <c r="Z418" s="101"/>
      <c r="AA418" s="101"/>
      <c r="AB418" s="101"/>
      <c r="AC418" s="101"/>
      <c r="AD418" s="97"/>
      <c r="AE418" s="100"/>
      <c r="AF418" s="100"/>
      <c r="AG418" s="97"/>
      <c r="AH418" s="97"/>
      <c r="AI418" s="97"/>
      <c r="AJ418" s="97"/>
      <c r="AK418" s="97"/>
      <c r="AL418" s="97"/>
      <c r="AM418" s="97"/>
      <c r="AN418" s="97"/>
      <c r="AO418" s="97"/>
      <c r="AP418" s="100"/>
      <c r="AQ418" s="100"/>
      <c r="AR418" s="97"/>
    </row>
    <row r="419" s="66" customFormat="1" spans="2:44">
      <c r="B419" s="91" t="s">
        <v>4325</v>
      </c>
      <c r="C419" s="92">
        <v>416</v>
      </c>
      <c r="D419" s="93">
        <v>252610037</v>
      </c>
      <c r="E419" s="118" t="s">
        <v>2038</v>
      </c>
      <c r="F419" s="172" t="s">
        <v>2039</v>
      </c>
      <c r="G419" s="161" t="s">
        <v>2039</v>
      </c>
      <c r="H419" s="97"/>
      <c r="I419" s="161" t="s">
        <v>2038</v>
      </c>
      <c r="J419" s="161" t="s">
        <v>2038</v>
      </c>
      <c r="K419" s="97"/>
      <c r="L419" s="97"/>
      <c r="M419" s="98"/>
      <c r="N419" s="97"/>
      <c r="O419" s="97"/>
      <c r="P419" s="99"/>
      <c r="Q419" s="96"/>
      <c r="R419" s="96"/>
      <c r="S419" s="96"/>
      <c r="T419" s="88">
        <f t="shared" si="6"/>
        <v>0</v>
      </c>
      <c r="U419" s="97"/>
      <c r="V419" s="100"/>
      <c r="W419" s="101"/>
      <c r="X419" s="101"/>
      <c r="Y419" s="101"/>
      <c r="Z419" s="101"/>
      <c r="AA419" s="101"/>
      <c r="AB419" s="101"/>
      <c r="AC419" s="101"/>
      <c r="AD419" s="97"/>
      <c r="AE419" s="100"/>
      <c r="AF419" s="100"/>
      <c r="AG419" s="97"/>
      <c r="AH419" s="97"/>
      <c r="AI419" s="97"/>
      <c r="AJ419" s="97"/>
      <c r="AK419" s="97"/>
      <c r="AL419" s="97"/>
      <c r="AM419" s="97"/>
      <c r="AN419" s="97"/>
      <c r="AO419" s="97"/>
      <c r="AP419" s="100"/>
      <c r="AQ419" s="100"/>
      <c r="AR419" s="97"/>
    </row>
    <row r="420" s="66" customFormat="1" spans="2:44">
      <c r="B420" s="91" t="s">
        <v>4323</v>
      </c>
      <c r="C420" s="92">
        <v>417</v>
      </c>
      <c r="D420" s="93">
        <v>252610276</v>
      </c>
      <c r="E420" s="94" t="s">
        <v>1554</v>
      </c>
      <c r="F420" s="95" t="s">
        <v>1555</v>
      </c>
      <c r="G420" s="160" t="s">
        <v>1555</v>
      </c>
      <c r="H420" s="97"/>
      <c r="I420" s="160" t="s">
        <v>1554</v>
      </c>
      <c r="J420" s="160" t="s">
        <v>1554</v>
      </c>
      <c r="K420" s="97"/>
      <c r="L420" s="97"/>
      <c r="M420" s="98"/>
      <c r="N420" s="97"/>
      <c r="O420" s="97"/>
      <c r="P420" s="88"/>
      <c r="Q420" s="96"/>
      <c r="R420" s="96"/>
      <c r="S420" s="96"/>
      <c r="T420" s="88">
        <f t="shared" si="6"/>
        <v>0</v>
      </c>
      <c r="U420" s="97"/>
      <c r="V420" s="100"/>
      <c r="W420" s="101"/>
      <c r="X420" s="101"/>
      <c r="Y420" s="101"/>
      <c r="Z420" s="101"/>
      <c r="AA420" s="101"/>
      <c r="AB420" s="101"/>
      <c r="AC420" s="101"/>
      <c r="AD420" s="97"/>
      <c r="AE420" s="100"/>
      <c r="AF420" s="100"/>
      <c r="AG420" s="97"/>
      <c r="AH420" s="97"/>
      <c r="AI420" s="97"/>
      <c r="AJ420" s="97"/>
      <c r="AK420" s="97"/>
      <c r="AL420" s="97"/>
      <c r="AM420" s="97"/>
      <c r="AN420" s="97"/>
      <c r="AO420" s="97"/>
      <c r="AP420" s="100"/>
      <c r="AQ420" s="100"/>
      <c r="AR420" s="97"/>
    </row>
    <row r="421" s="66" customFormat="1" spans="2:44">
      <c r="B421" s="91" t="s">
        <v>4341</v>
      </c>
      <c r="C421" s="92">
        <v>418</v>
      </c>
      <c r="D421" s="93">
        <v>252610321</v>
      </c>
      <c r="E421" s="94" t="s">
        <v>2040</v>
      </c>
      <c r="F421" s="95" t="s">
        <v>2041</v>
      </c>
      <c r="G421" s="161" t="s">
        <v>4203</v>
      </c>
      <c r="H421" s="97"/>
      <c r="I421" s="161" t="s">
        <v>2040</v>
      </c>
      <c r="J421" s="161" t="s">
        <v>2040</v>
      </c>
      <c r="K421" s="97"/>
      <c r="L421" s="97"/>
      <c r="M421" s="98"/>
      <c r="N421" s="97"/>
      <c r="O421" s="97"/>
      <c r="P421" s="99"/>
      <c r="Q421" s="96"/>
      <c r="R421" s="96"/>
      <c r="S421" s="96"/>
      <c r="T421" s="88">
        <f t="shared" si="6"/>
        <v>0</v>
      </c>
      <c r="U421" s="97"/>
      <c r="V421" s="100"/>
      <c r="W421" s="101"/>
      <c r="X421" s="101"/>
      <c r="Y421" s="101"/>
      <c r="Z421" s="101"/>
      <c r="AA421" s="101"/>
      <c r="AB421" s="101"/>
      <c r="AC421" s="101"/>
      <c r="AD421" s="97"/>
      <c r="AE421" s="100"/>
      <c r="AF421" s="100"/>
      <c r="AG421" s="97"/>
      <c r="AH421" s="97"/>
      <c r="AI421" s="97"/>
      <c r="AJ421" s="97"/>
      <c r="AK421" s="97"/>
      <c r="AL421" s="97"/>
      <c r="AM421" s="97"/>
      <c r="AN421" s="97"/>
      <c r="AO421" s="97"/>
      <c r="AP421" s="100"/>
      <c r="AQ421" s="100"/>
      <c r="AR421" s="97"/>
    </row>
    <row r="422" s="66" customFormat="1" spans="2:44">
      <c r="B422" s="91" t="s">
        <v>4386</v>
      </c>
      <c r="C422" s="92">
        <v>419</v>
      </c>
      <c r="D422" s="93">
        <v>252610370</v>
      </c>
      <c r="E422" s="94" t="s">
        <v>1459</v>
      </c>
      <c r="F422" s="95" t="s">
        <v>1460</v>
      </c>
      <c r="G422" s="160" t="s">
        <v>1460</v>
      </c>
      <c r="H422" s="97"/>
      <c r="I422" s="160" t="s">
        <v>1459</v>
      </c>
      <c r="J422" s="160" t="s">
        <v>1459</v>
      </c>
      <c r="K422" s="97"/>
      <c r="L422" s="97"/>
      <c r="M422" s="98"/>
      <c r="N422" s="97"/>
      <c r="O422" s="97"/>
      <c r="P422" s="88"/>
      <c r="Q422" s="96"/>
      <c r="R422" s="96"/>
      <c r="S422" s="96"/>
      <c r="T422" s="88">
        <f t="shared" si="6"/>
        <v>0</v>
      </c>
      <c r="U422" s="97"/>
      <c r="V422" s="100"/>
      <c r="W422" s="101"/>
      <c r="X422" s="101"/>
      <c r="Y422" s="101"/>
      <c r="Z422" s="101"/>
      <c r="AA422" s="101"/>
      <c r="AB422" s="101"/>
      <c r="AC422" s="101"/>
      <c r="AD422" s="97"/>
      <c r="AE422" s="100"/>
      <c r="AF422" s="100"/>
      <c r="AG422" s="97"/>
      <c r="AH422" s="97"/>
      <c r="AI422" s="97"/>
      <c r="AJ422" s="97"/>
      <c r="AK422" s="97"/>
      <c r="AL422" s="97"/>
      <c r="AM422" s="97"/>
      <c r="AN422" s="97"/>
      <c r="AO422" s="97"/>
      <c r="AP422" s="100"/>
      <c r="AQ422" s="100"/>
      <c r="AR422" s="97"/>
    </row>
    <row r="423" s="66" customFormat="1" spans="2:44">
      <c r="B423" s="91" t="s">
        <v>4674</v>
      </c>
      <c r="C423" s="92">
        <v>420</v>
      </c>
      <c r="D423" s="93">
        <v>252610418</v>
      </c>
      <c r="E423" s="94" t="s">
        <v>1279</v>
      </c>
      <c r="F423" s="95" t="s">
        <v>1280</v>
      </c>
      <c r="G423" s="161" t="s">
        <v>1280</v>
      </c>
      <c r="H423" s="97"/>
      <c r="I423" s="161" t="s">
        <v>1279</v>
      </c>
      <c r="J423" s="161" t="s">
        <v>1279</v>
      </c>
      <c r="K423" s="97"/>
      <c r="L423" s="97"/>
      <c r="M423" s="98"/>
      <c r="N423" s="97"/>
      <c r="O423" s="97"/>
      <c r="P423" s="99"/>
      <c r="Q423" s="96"/>
      <c r="R423" s="96"/>
      <c r="S423" s="96"/>
      <c r="T423" s="88">
        <f t="shared" si="6"/>
        <v>0</v>
      </c>
      <c r="U423" s="97"/>
      <c r="V423" s="100"/>
      <c r="W423" s="101"/>
      <c r="X423" s="101"/>
      <c r="Y423" s="101"/>
      <c r="Z423" s="101"/>
      <c r="AA423" s="101"/>
      <c r="AB423" s="101"/>
      <c r="AC423" s="101"/>
      <c r="AD423" s="97"/>
      <c r="AE423" s="100"/>
      <c r="AF423" s="100"/>
      <c r="AG423" s="97"/>
      <c r="AH423" s="97"/>
      <c r="AI423" s="97"/>
      <c r="AJ423" s="97"/>
      <c r="AK423" s="97"/>
      <c r="AL423" s="97"/>
      <c r="AM423" s="97"/>
      <c r="AN423" s="97"/>
      <c r="AO423" s="97"/>
      <c r="AP423" s="100"/>
      <c r="AQ423" s="100"/>
      <c r="AR423" s="97"/>
    </row>
    <row r="424" s="66" customFormat="1" spans="2:44">
      <c r="B424" s="91" t="s">
        <v>4568</v>
      </c>
      <c r="C424" s="92">
        <v>421</v>
      </c>
      <c r="D424" s="93">
        <v>252610228</v>
      </c>
      <c r="E424" s="160" t="s">
        <v>4206</v>
      </c>
      <c r="F424" s="95" t="s">
        <v>1557</v>
      </c>
      <c r="G424" s="160" t="s">
        <v>1557</v>
      </c>
      <c r="H424" s="97"/>
      <c r="I424" s="160" t="s">
        <v>4206</v>
      </c>
      <c r="J424" s="160" t="s">
        <v>4206</v>
      </c>
      <c r="K424" s="97"/>
      <c r="L424" s="97"/>
      <c r="M424" s="98"/>
      <c r="N424" s="97"/>
      <c r="O424" s="97"/>
      <c r="P424" s="88"/>
      <c r="Q424" s="96"/>
      <c r="R424" s="96"/>
      <c r="S424" s="96"/>
      <c r="T424" s="88">
        <f t="shared" si="6"/>
        <v>0</v>
      </c>
      <c r="U424" s="97"/>
      <c r="V424" s="100"/>
      <c r="W424" s="101"/>
      <c r="X424" s="101"/>
      <c r="Y424" s="101"/>
      <c r="Z424" s="101"/>
      <c r="AA424" s="101"/>
      <c r="AB424" s="101"/>
      <c r="AC424" s="101"/>
      <c r="AD424" s="97"/>
      <c r="AE424" s="100"/>
      <c r="AF424" s="100"/>
      <c r="AG424" s="97"/>
      <c r="AH424" s="97"/>
      <c r="AI424" s="97"/>
      <c r="AJ424" s="97"/>
      <c r="AK424" s="97"/>
      <c r="AL424" s="97"/>
      <c r="AM424" s="97"/>
      <c r="AN424" s="97"/>
      <c r="AO424" s="97"/>
      <c r="AP424" s="100"/>
      <c r="AQ424" s="100"/>
      <c r="AR424" s="97"/>
    </row>
    <row r="425" spans="2:44">
      <c r="B425" s="69" t="s">
        <v>4325</v>
      </c>
      <c r="C425" s="81">
        <v>422</v>
      </c>
      <c r="D425" s="82">
        <v>252610038</v>
      </c>
      <c r="E425" s="102" t="s">
        <v>1078</v>
      </c>
      <c r="F425" s="171" t="s">
        <v>1079</v>
      </c>
      <c r="G425" s="156" t="s">
        <v>4205</v>
      </c>
      <c r="H425" s="104" t="s">
        <v>6436</v>
      </c>
      <c r="I425" s="156" t="s">
        <v>1078</v>
      </c>
      <c r="J425" s="157" t="s">
        <v>1078</v>
      </c>
      <c r="K425" s="104" t="s">
        <v>89</v>
      </c>
      <c r="L425" s="104" t="s">
        <v>4327</v>
      </c>
      <c r="M425" s="105">
        <v>40187</v>
      </c>
      <c r="N425" s="104" t="s">
        <v>4307</v>
      </c>
      <c r="O425" s="104" t="s">
        <v>4619</v>
      </c>
      <c r="P425" s="88">
        <v>1</v>
      </c>
      <c r="Q425" s="88">
        <v>0</v>
      </c>
      <c r="R425" s="88">
        <v>0</v>
      </c>
      <c r="S425" s="88">
        <v>0</v>
      </c>
      <c r="T425" s="88">
        <f t="shared" si="6"/>
        <v>0</v>
      </c>
      <c r="U425" s="104" t="s">
        <v>4675</v>
      </c>
      <c r="V425" s="99" t="s">
        <v>4310</v>
      </c>
      <c r="W425" s="108" t="s">
        <v>6437</v>
      </c>
      <c r="X425" s="108" t="s">
        <v>4793</v>
      </c>
      <c r="Y425" s="108">
        <v>17</v>
      </c>
      <c r="Z425" s="108" t="s">
        <v>5710</v>
      </c>
      <c r="AA425" s="108" t="s">
        <v>5710</v>
      </c>
      <c r="AB425" s="108" t="s">
        <v>5710</v>
      </c>
      <c r="AC425" s="108">
        <v>40215</v>
      </c>
      <c r="AD425" s="104" t="s">
        <v>6438</v>
      </c>
      <c r="AE425" s="99" t="s">
        <v>4924</v>
      </c>
      <c r="AF425" s="99" t="s">
        <v>5027</v>
      </c>
      <c r="AG425" s="104" t="s">
        <v>6439</v>
      </c>
      <c r="AH425" s="104" t="s">
        <v>6440</v>
      </c>
      <c r="AI425" s="104" t="s">
        <v>4370</v>
      </c>
      <c r="AJ425" s="104" t="s">
        <v>6441</v>
      </c>
      <c r="AK425" s="104" t="s">
        <v>4320</v>
      </c>
      <c r="AL425" s="106"/>
      <c r="AM425" s="104" t="s">
        <v>4320</v>
      </c>
      <c r="AN425" s="104" t="s">
        <v>5714</v>
      </c>
      <c r="AO425" s="106"/>
      <c r="AP425" s="99">
        <v>164</v>
      </c>
      <c r="AQ425" s="99">
        <v>72</v>
      </c>
      <c r="AR425" s="104" t="s">
        <v>4428</v>
      </c>
    </row>
    <row r="426" s="66" customFormat="1" spans="2:44">
      <c r="B426" s="91" t="s">
        <v>4304</v>
      </c>
      <c r="C426" s="92">
        <v>423</v>
      </c>
      <c r="D426" s="93">
        <v>252610467</v>
      </c>
      <c r="E426" s="94" t="s">
        <v>1847</v>
      </c>
      <c r="F426" s="95" t="s">
        <v>1848</v>
      </c>
      <c r="G426" s="160" t="s">
        <v>1848</v>
      </c>
      <c r="H426" s="97"/>
      <c r="I426" s="160" t="s">
        <v>1847</v>
      </c>
      <c r="J426" s="160" t="s">
        <v>1847</v>
      </c>
      <c r="K426" s="97"/>
      <c r="L426" s="97"/>
      <c r="M426" s="98"/>
      <c r="N426" s="97"/>
      <c r="O426" s="97"/>
      <c r="P426" s="88"/>
      <c r="Q426" s="96"/>
      <c r="R426" s="96"/>
      <c r="S426" s="96"/>
      <c r="T426" s="88">
        <f t="shared" si="6"/>
        <v>0</v>
      </c>
      <c r="U426" s="97"/>
      <c r="V426" s="100"/>
      <c r="W426" s="101"/>
      <c r="X426" s="101"/>
      <c r="Y426" s="101"/>
      <c r="Z426" s="101"/>
      <c r="AA426" s="101"/>
      <c r="AB426" s="101"/>
      <c r="AC426" s="101"/>
      <c r="AD426" s="97"/>
      <c r="AE426" s="100"/>
      <c r="AF426" s="100"/>
      <c r="AG426" s="97"/>
      <c r="AH426" s="97"/>
      <c r="AI426" s="97"/>
      <c r="AJ426" s="97"/>
      <c r="AK426" s="97"/>
      <c r="AL426" s="97"/>
      <c r="AM426" s="97"/>
      <c r="AN426" s="97"/>
      <c r="AO426" s="97"/>
      <c r="AP426" s="100"/>
      <c r="AQ426" s="100"/>
      <c r="AR426" s="97"/>
    </row>
    <row r="427" s="66" customFormat="1" spans="2:44">
      <c r="B427" s="91" t="s">
        <v>4373</v>
      </c>
      <c r="C427" s="92">
        <v>424</v>
      </c>
      <c r="D427" s="93">
        <v>252610514</v>
      </c>
      <c r="E427" s="94" t="s">
        <v>979</v>
      </c>
      <c r="F427" s="95" t="s">
        <v>980</v>
      </c>
      <c r="G427" s="161" t="s">
        <v>980</v>
      </c>
      <c r="H427" s="97"/>
      <c r="I427" s="161" t="s">
        <v>979</v>
      </c>
      <c r="J427" s="161" t="s">
        <v>979</v>
      </c>
      <c r="K427" s="97"/>
      <c r="L427" s="97"/>
      <c r="M427" s="98"/>
      <c r="N427" s="97"/>
      <c r="O427" s="97"/>
      <c r="P427" s="99"/>
      <c r="Q427" s="96"/>
      <c r="R427" s="96"/>
      <c r="S427" s="96"/>
      <c r="T427" s="88">
        <f t="shared" si="6"/>
        <v>0</v>
      </c>
      <c r="U427" s="97"/>
      <c r="V427" s="100"/>
      <c r="W427" s="101"/>
      <c r="X427" s="101"/>
      <c r="Y427" s="101"/>
      <c r="Z427" s="101"/>
      <c r="AA427" s="101"/>
      <c r="AB427" s="101"/>
      <c r="AC427" s="101"/>
      <c r="AD427" s="97"/>
      <c r="AE427" s="100"/>
      <c r="AF427" s="100"/>
      <c r="AG427" s="97"/>
      <c r="AH427" s="97"/>
      <c r="AI427" s="97"/>
      <c r="AJ427" s="97"/>
      <c r="AK427" s="97"/>
      <c r="AL427" s="97"/>
      <c r="AM427" s="97"/>
      <c r="AN427" s="97"/>
      <c r="AO427" s="97"/>
      <c r="AP427" s="100"/>
      <c r="AQ427" s="100"/>
      <c r="AR427" s="97"/>
    </row>
    <row r="428" spans="2:44">
      <c r="B428" s="69" t="s">
        <v>4354</v>
      </c>
      <c r="C428" s="81">
        <v>425</v>
      </c>
      <c r="D428" s="82">
        <v>252610085</v>
      </c>
      <c r="E428" s="116" t="s">
        <v>1351</v>
      </c>
      <c r="F428" s="84" t="s">
        <v>1352</v>
      </c>
      <c r="G428" s="162" t="s">
        <v>1352</v>
      </c>
      <c r="H428" s="85" t="s">
        <v>6442</v>
      </c>
      <c r="I428" s="162" t="s">
        <v>1351</v>
      </c>
      <c r="J428" s="163" t="s">
        <v>1351</v>
      </c>
      <c r="K428" s="85" t="s">
        <v>89</v>
      </c>
      <c r="L428" s="85" t="s">
        <v>4343</v>
      </c>
      <c r="M428" s="87">
        <v>39829</v>
      </c>
      <c r="N428" s="85" t="s">
        <v>4460</v>
      </c>
      <c r="O428" s="85" t="s">
        <v>4344</v>
      </c>
      <c r="P428" s="99">
        <v>1</v>
      </c>
      <c r="Q428" s="99">
        <v>2</v>
      </c>
      <c r="R428" s="99">
        <v>0</v>
      </c>
      <c r="S428" s="99">
        <v>0</v>
      </c>
      <c r="T428" s="88">
        <f t="shared" si="6"/>
        <v>2</v>
      </c>
      <c r="U428" s="85" t="s">
        <v>4345</v>
      </c>
      <c r="V428" s="88" t="s">
        <v>4595</v>
      </c>
      <c r="W428" s="109" t="s">
        <v>6443</v>
      </c>
      <c r="X428" s="109" t="s">
        <v>4492</v>
      </c>
      <c r="Y428" s="109" t="s">
        <v>4419</v>
      </c>
      <c r="Z428" s="109" t="s">
        <v>4520</v>
      </c>
      <c r="AA428" s="109" t="s">
        <v>6444</v>
      </c>
      <c r="AB428" s="109" t="s">
        <v>4656</v>
      </c>
      <c r="AC428" s="109">
        <v>40215</v>
      </c>
      <c r="AD428" s="85" t="s">
        <v>6445</v>
      </c>
      <c r="AE428" s="88" t="s">
        <v>4410</v>
      </c>
      <c r="AF428" s="88" t="s">
        <v>5560</v>
      </c>
      <c r="AG428" s="85" t="s">
        <v>6446</v>
      </c>
      <c r="AH428" s="85" t="s">
        <v>6447</v>
      </c>
      <c r="AI428" s="85" t="s">
        <v>5830</v>
      </c>
      <c r="AJ428" s="85" t="s">
        <v>5830</v>
      </c>
      <c r="AK428" s="85" t="s">
        <v>4320</v>
      </c>
      <c r="AL428" s="90"/>
      <c r="AM428" s="85" t="s">
        <v>4372</v>
      </c>
      <c r="AN428" s="85" t="s">
        <v>6241</v>
      </c>
      <c r="AO428" s="90"/>
      <c r="AP428" s="88">
        <v>165</v>
      </c>
      <c r="AQ428" s="88">
        <v>40</v>
      </c>
      <c r="AR428" s="85" t="s">
        <v>4322</v>
      </c>
    </row>
    <row r="429" spans="2:44">
      <c r="B429" s="69" t="s">
        <v>4373</v>
      </c>
      <c r="C429" s="81">
        <v>426</v>
      </c>
      <c r="D429" s="82">
        <v>252610515</v>
      </c>
      <c r="E429" s="83" t="s">
        <v>1747</v>
      </c>
      <c r="F429" s="84" t="s">
        <v>1748</v>
      </c>
      <c r="G429" s="156" t="s">
        <v>4207</v>
      </c>
      <c r="H429" s="104" t="s">
        <v>6448</v>
      </c>
      <c r="I429" s="156" t="s">
        <v>1747</v>
      </c>
      <c r="J429" s="157" t="s">
        <v>1747</v>
      </c>
      <c r="K429" s="104" t="s">
        <v>90</v>
      </c>
      <c r="L429" s="104" t="s">
        <v>4540</v>
      </c>
      <c r="M429" s="105">
        <v>40453</v>
      </c>
      <c r="N429" s="104" t="s">
        <v>5109</v>
      </c>
      <c r="O429" s="104" t="s">
        <v>4619</v>
      </c>
      <c r="P429" s="88">
        <v>3</v>
      </c>
      <c r="Q429" s="88">
        <v>3</v>
      </c>
      <c r="R429" s="88">
        <v>4</v>
      </c>
      <c r="S429" s="88">
        <v>0</v>
      </c>
      <c r="T429" s="88">
        <f t="shared" si="6"/>
        <v>7</v>
      </c>
      <c r="U429" s="104" t="s">
        <v>5786</v>
      </c>
      <c r="V429" s="99">
        <v>0</v>
      </c>
      <c r="W429" s="108" t="s">
        <v>6449</v>
      </c>
      <c r="X429" s="108" t="s">
        <v>4391</v>
      </c>
      <c r="Y429" s="108" t="s">
        <v>5397</v>
      </c>
      <c r="Z429" s="108" t="s">
        <v>5623</v>
      </c>
      <c r="AA429" s="108" t="s">
        <v>4450</v>
      </c>
      <c r="AB429" s="108" t="s">
        <v>4408</v>
      </c>
      <c r="AC429" s="108">
        <v>40535</v>
      </c>
      <c r="AD429" s="104" t="s">
        <v>6450</v>
      </c>
      <c r="AE429" s="99" t="s">
        <v>4333</v>
      </c>
      <c r="AF429" s="99">
        <v>1</v>
      </c>
      <c r="AG429" s="104" t="s">
        <v>6451</v>
      </c>
      <c r="AH429" s="104" t="s">
        <v>6452</v>
      </c>
      <c r="AI429" s="104" t="s">
        <v>5390</v>
      </c>
      <c r="AJ429" s="104" t="s">
        <v>6453</v>
      </c>
      <c r="AK429" s="104" t="s">
        <v>4319</v>
      </c>
      <c r="AL429" s="106"/>
      <c r="AM429" s="104" t="s">
        <v>4338</v>
      </c>
      <c r="AN429" s="104" t="s">
        <v>4592</v>
      </c>
      <c r="AO429" s="106"/>
      <c r="AP429" s="99">
        <v>157</v>
      </c>
      <c r="AQ429" s="99">
        <v>50</v>
      </c>
      <c r="AR429" s="104" t="s">
        <v>4322</v>
      </c>
    </row>
    <row r="430" s="66" customFormat="1" spans="2:44">
      <c r="B430" s="91" t="s">
        <v>4341</v>
      </c>
      <c r="C430" s="92">
        <v>427</v>
      </c>
      <c r="D430" s="93">
        <v>252610322</v>
      </c>
      <c r="E430" s="94" t="s">
        <v>1849</v>
      </c>
      <c r="F430" s="95" t="s">
        <v>1850</v>
      </c>
      <c r="G430" s="160" t="s">
        <v>1850</v>
      </c>
      <c r="H430" s="97"/>
      <c r="I430" s="160" t="s">
        <v>1849</v>
      </c>
      <c r="J430" s="160" t="s">
        <v>1849</v>
      </c>
      <c r="K430" s="97"/>
      <c r="L430" s="97"/>
      <c r="M430" s="98"/>
      <c r="N430" s="97"/>
      <c r="O430" s="97"/>
      <c r="P430" s="88"/>
      <c r="Q430" s="96"/>
      <c r="R430" s="96"/>
      <c r="S430" s="96"/>
      <c r="T430" s="88">
        <f t="shared" si="6"/>
        <v>0</v>
      </c>
      <c r="U430" s="97"/>
      <c r="V430" s="100"/>
      <c r="W430" s="101"/>
      <c r="X430" s="101"/>
      <c r="Y430" s="101"/>
      <c r="Z430" s="101"/>
      <c r="AA430" s="101"/>
      <c r="AB430" s="101"/>
      <c r="AC430" s="101"/>
      <c r="AD430" s="97"/>
      <c r="AE430" s="100"/>
      <c r="AF430" s="100"/>
      <c r="AG430" s="97"/>
      <c r="AH430" s="97"/>
      <c r="AI430" s="97"/>
      <c r="AJ430" s="97"/>
      <c r="AK430" s="97"/>
      <c r="AL430" s="97"/>
      <c r="AM430" s="97"/>
      <c r="AN430" s="97"/>
      <c r="AO430" s="97"/>
      <c r="AP430" s="100"/>
      <c r="AQ430" s="100"/>
      <c r="AR430" s="97"/>
    </row>
    <row r="431" s="66" customFormat="1" spans="2:44">
      <c r="B431" s="91" t="s">
        <v>4642</v>
      </c>
      <c r="C431" s="92">
        <v>428</v>
      </c>
      <c r="D431" s="93">
        <v>252610565</v>
      </c>
      <c r="E431" s="94" t="s">
        <v>1749</v>
      </c>
      <c r="F431" s="95" t="s">
        <v>1750</v>
      </c>
      <c r="G431" s="161" t="s">
        <v>1750</v>
      </c>
      <c r="H431" s="97"/>
      <c r="I431" s="161" t="s">
        <v>1749</v>
      </c>
      <c r="J431" s="161" t="s">
        <v>1749</v>
      </c>
      <c r="K431" s="97"/>
      <c r="L431" s="97"/>
      <c r="M431" s="98"/>
      <c r="N431" s="97"/>
      <c r="O431" s="97"/>
      <c r="P431" s="99"/>
      <c r="Q431" s="96"/>
      <c r="R431" s="96"/>
      <c r="S431" s="96"/>
      <c r="T431" s="88">
        <f t="shared" si="6"/>
        <v>0</v>
      </c>
      <c r="U431" s="97"/>
      <c r="V431" s="100"/>
      <c r="W431" s="101"/>
      <c r="X431" s="101"/>
      <c r="Y431" s="101"/>
      <c r="Z431" s="101"/>
      <c r="AA431" s="101"/>
      <c r="AB431" s="101"/>
      <c r="AC431" s="101"/>
      <c r="AD431" s="97"/>
      <c r="AE431" s="100"/>
      <c r="AF431" s="100"/>
      <c r="AG431" s="97"/>
      <c r="AH431" s="97"/>
      <c r="AI431" s="97"/>
      <c r="AJ431" s="97"/>
      <c r="AK431" s="97"/>
      <c r="AL431" s="97"/>
      <c r="AM431" s="97"/>
      <c r="AN431" s="97"/>
      <c r="AO431" s="97"/>
      <c r="AP431" s="100"/>
      <c r="AQ431" s="100"/>
      <c r="AR431" s="97"/>
    </row>
    <row r="432" s="66" customFormat="1" spans="2:44">
      <c r="B432" s="91" t="s">
        <v>4323</v>
      </c>
      <c r="C432" s="92">
        <v>429</v>
      </c>
      <c r="D432" s="93">
        <v>252610277</v>
      </c>
      <c r="E432" s="94" t="s">
        <v>1644</v>
      </c>
      <c r="F432" s="95" t="s">
        <v>1645</v>
      </c>
      <c r="G432" s="160" t="s">
        <v>1645</v>
      </c>
      <c r="H432" s="97"/>
      <c r="I432" s="160" t="s">
        <v>1644</v>
      </c>
      <c r="J432" s="160" t="s">
        <v>1644</v>
      </c>
      <c r="K432" s="97"/>
      <c r="L432" s="97"/>
      <c r="M432" s="98"/>
      <c r="N432" s="97"/>
      <c r="O432" s="97"/>
      <c r="P432" s="88"/>
      <c r="Q432" s="96"/>
      <c r="R432" s="96"/>
      <c r="S432" s="96"/>
      <c r="T432" s="88">
        <f t="shared" si="6"/>
        <v>0</v>
      </c>
      <c r="U432" s="97"/>
      <c r="V432" s="100"/>
      <c r="W432" s="101"/>
      <c r="X432" s="101"/>
      <c r="Y432" s="101"/>
      <c r="Z432" s="101"/>
      <c r="AA432" s="101"/>
      <c r="AB432" s="101"/>
      <c r="AC432" s="101"/>
      <c r="AD432" s="97"/>
      <c r="AE432" s="100"/>
      <c r="AF432" s="100"/>
      <c r="AG432" s="97"/>
      <c r="AH432" s="97"/>
      <c r="AI432" s="97"/>
      <c r="AJ432" s="97"/>
      <c r="AK432" s="97"/>
      <c r="AL432" s="97"/>
      <c r="AM432" s="97"/>
      <c r="AN432" s="97"/>
      <c r="AO432" s="97"/>
      <c r="AP432" s="100"/>
      <c r="AQ432" s="100"/>
      <c r="AR432" s="97"/>
    </row>
    <row r="433" s="66" customFormat="1" spans="2:44">
      <c r="B433" s="91" t="s">
        <v>4341</v>
      </c>
      <c r="C433" s="92">
        <v>430</v>
      </c>
      <c r="D433" s="93">
        <v>252610323</v>
      </c>
      <c r="E433" s="94" t="s">
        <v>1851</v>
      </c>
      <c r="F433" s="95" t="s">
        <v>1852</v>
      </c>
      <c r="G433" s="161" t="s">
        <v>1852</v>
      </c>
      <c r="H433" s="97"/>
      <c r="I433" s="161" t="s">
        <v>1851</v>
      </c>
      <c r="J433" s="161" t="s">
        <v>1851</v>
      </c>
      <c r="K433" s="97"/>
      <c r="L433" s="97"/>
      <c r="M433" s="98"/>
      <c r="N433" s="97"/>
      <c r="O433" s="97"/>
      <c r="P433" s="99"/>
      <c r="Q433" s="96"/>
      <c r="R433" s="96"/>
      <c r="S433" s="96"/>
      <c r="T433" s="88">
        <f t="shared" si="6"/>
        <v>0</v>
      </c>
      <c r="U433" s="97"/>
      <c r="V433" s="100"/>
      <c r="W433" s="101"/>
      <c r="X433" s="101"/>
      <c r="Y433" s="101"/>
      <c r="Z433" s="101"/>
      <c r="AA433" s="101"/>
      <c r="AB433" s="101"/>
      <c r="AC433" s="101"/>
      <c r="AD433" s="97"/>
      <c r="AE433" s="100"/>
      <c r="AF433" s="100"/>
      <c r="AG433" s="97"/>
      <c r="AH433" s="97"/>
      <c r="AI433" s="97"/>
      <c r="AJ433" s="97"/>
      <c r="AK433" s="97"/>
      <c r="AL433" s="97"/>
      <c r="AM433" s="97"/>
      <c r="AN433" s="97"/>
      <c r="AO433" s="97"/>
      <c r="AP433" s="100"/>
      <c r="AQ433" s="100"/>
      <c r="AR433" s="97"/>
    </row>
    <row r="434" s="66" customFormat="1" spans="2:44">
      <c r="B434" s="91" t="s">
        <v>4386</v>
      </c>
      <c r="C434" s="92">
        <v>431</v>
      </c>
      <c r="D434" s="93">
        <v>252610371</v>
      </c>
      <c r="E434" s="94" t="s">
        <v>1080</v>
      </c>
      <c r="F434" s="95" t="s">
        <v>1081</v>
      </c>
      <c r="G434" s="160" t="s">
        <v>4208</v>
      </c>
      <c r="H434" s="97"/>
      <c r="I434" s="160" t="s">
        <v>1080</v>
      </c>
      <c r="J434" s="160" t="s">
        <v>1080</v>
      </c>
      <c r="K434" s="97"/>
      <c r="L434" s="97"/>
      <c r="M434" s="98"/>
      <c r="N434" s="97"/>
      <c r="O434" s="97"/>
      <c r="P434" s="88"/>
      <c r="Q434" s="96"/>
      <c r="R434" s="96"/>
      <c r="S434" s="96"/>
      <c r="T434" s="88">
        <f t="shared" si="6"/>
        <v>0</v>
      </c>
      <c r="U434" s="97"/>
      <c r="V434" s="100"/>
      <c r="W434" s="101"/>
      <c r="X434" s="101"/>
      <c r="Y434" s="101"/>
      <c r="Z434" s="101"/>
      <c r="AA434" s="101"/>
      <c r="AB434" s="101"/>
      <c r="AC434" s="101"/>
      <c r="AD434" s="97"/>
      <c r="AE434" s="100"/>
      <c r="AF434" s="100"/>
      <c r="AG434" s="97"/>
      <c r="AH434" s="97"/>
      <c r="AI434" s="97"/>
      <c r="AJ434" s="97"/>
      <c r="AK434" s="97"/>
      <c r="AL434" s="97"/>
      <c r="AM434" s="97"/>
      <c r="AN434" s="97"/>
      <c r="AO434" s="97"/>
      <c r="AP434" s="100"/>
      <c r="AQ434" s="100"/>
      <c r="AR434" s="97"/>
    </row>
    <row r="435" spans="2:44">
      <c r="B435" s="69" t="s">
        <v>4325</v>
      </c>
      <c r="C435" s="81">
        <v>432</v>
      </c>
      <c r="D435" s="121">
        <v>252610039</v>
      </c>
      <c r="E435" s="102" t="s">
        <v>1558</v>
      </c>
      <c r="F435" s="171" t="s">
        <v>1559</v>
      </c>
      <c r="G435" s="156" t="s">
        <v>1559</v>
      </c>
      <c r="H435" s="104" t="s">
        <v>6454</v>
      </c>
      <c r="I435" s="156" t="s">
        <v>1558</v>
      </c>
      <c r="J435" s="157" t="s">
        <v>1558</v>
      </c>
      <c r="K435" s="104" t="s">
        <v>89</v>
      </c>
      <c r="L435" s="104" t="s">
        <v>4557</v>
      </c>
      <c r="M435" s="105">
        <v>40106</v>
      </c>
      <c r="N435" s="104" t="s">
        <v>4328</v>
      </c>
      <c r="O435" s="104" t="s">
        <v>4489</v>
      </c>
      <c r="P435" s="88">
        <v>2</v>
      </c>
      <c r="Q435" s="88">
        <v>2</v>
      </c>
      <c r="R435" s="88">
        <v>0</v>
      </c>
      <c r="S435" s="88">
        <v>0</v>
      </c>
      <c r="T435" s="88">
        <f t="shared" si="6"/>
        <v>2</v>
      </c>
      <c r="U435" s="104" t="s">
        <v>4489</v>
      </c>
      <c r="V435" s="99">
        <v>0</v>
      </c>
      <c r="W435" s="108" t="s">
        <v>6455</v>
      </c>
      <c r="X435" s="108" t="s">
        <v>4392</v>
      </c>
      <c r="Y435" s="108" t="s">
        <v>5230</v>
      </c>
      <c r="Z435" s="114"/>
      <c r="AA435" s="108" t="s">
        <v>4494</v>
      </c>
      <c r="AB435" s="108" t="s">
        <v>4451</v>
      </c>
      <c r="AC435" s="108">
        <v>40534</v>
      </c>
      <c r="AD435" s="104" t="s">
        <v>6456</v>
      </c>
      <c r="AE435" s="99" t="s">
        <v>4410</v>
      </c>
      <c r="AF435" s="99" t="s">
        <v>4750</v>
      </c>
      <c r="AG435" s="104" t="s">
        <v>6457</v>
      </c>
      <c r="AH435" s="104" t="s">
        <v>6458</v>
      </c>
      <c r="AI435" s="104" t="s">
        <v>4351</v>
      </c>
      <c r="AJ435" s="104" t="s">
        <v>4318</v>
      </c>
      <c r="AK435" s="104" t="s">
        <v>4319</v>
      </c>
      <c r="AL435" s="106"/>
      <c r="AM435" s="104" t="s">
        <v>4372</v>
      </c>
      <c r="AN435" s="104" t="s">
        <v>4846</v>
      </c>
      <c r="AO435" s="104" t="s">
        <v>6459</v>
      </c>
      <c r="AP435" s="99">
        <v>167</v>
      </c>
      <c r="AQ435" s="99">
        <v>50</v>
      </c>
      <c r="AR435" s="104" t="s">
        <v>4415</v>
      </c>
    </row>
    <row r="436" spans="2:44">
      <c r="B436" s="69" t="s">
        <v>4386</v>
      </c>
      <c r="C436" s="81">
        <v>433</v>
      </c>
      <c r="D436" s="82">
        <v>252610372</v>
      </c>
      <c r="E436" s="83" t="s">
        <v>1159</v>
      </c>
      <c r="F436" s="84" t="s">
        <v>1160</v>
      </c>
      <c r="G436" s="159" t="s">
        <v>1160</v>
      </c>
      <c r="H436" s="85" t="s">
        <v>6460</v>
      </c>
      <c r="I436" s="159" t="s">
        <v>4209</v>
      </c>
      <c r="J436" s="157" t="s">
        <v>1159</v>
      </c>
      <c r="K436" s="85" t="s">
        <v>90</v>
      </c>
      <c r="L436" s="85" t="s">
        <v>4557</v>
      </c>
      <c r="M436" s="87">
        <v>39945</v>
      </c>
      <c r="N436" s="85" t="s">
        <v>4460</v>
      </c>
      <c r="O436" s="85" t="s">
        <v>4344</v>
      </c>
      <c r="P436" s="99">
        <v>1</v>
      </c>
      <c r="Q436" s="99">
        <v>0</v>
      </c>
      <c r="R436" s="99">
        <v>2</v>
      </c>
      <c r="S436" s="99">
        <v>0</v>
      </c>
      <c r="T436" s="88">
        <f t="shared" si="6"/>
        <v>2</v>
      </c>
      <c r="U436" s="85" t="s">
        <v>4791</v>
      </c>
      <c r="V436" s="88" t="s">
        <v>4310</v>
      </c>
      <c r="W436" s="109" t="s">
        <v>6461</v>
      </c>
      <c r="X436" s="109" t="s">
        <v>4391</v>
      </c>
      <c r="Y436" s="109" t="s">
        <v>5230</v>
      </c>
      <c r="Z436" s="109" t="s">
        <v>4363</v>
      </c>
      <c r="AA436" s="109" t="s">
        <v>4363</v>
      </c>
      <c r="AB436" s="109" t="s">
        <v>4451</v>
      </c>
      <c r="AC436" s="109">
        <v>40534</v>
      </c>
      <c r="AD436" s="85" t="s">
        <v>6462</v>
      </c>
      <c r="AE436" s="88" t="s">
        <v>4990</v>
      </c>
      <c r="AF436" s="88" t="s">
        <v>6463</v>
      </c>
      <c r="AG436" s="85" t="s">
        <v>6464</v>
      </c>
      <c r="AH436" s="85" t="s">
        <v>6465</v>
      </c>
      <c r="AI436" s="85" t="s">
        <v>4638</v>
      </c>
      <c r="AJ436" s="85" t="s">
        <v>4318</v>
      </c>
      <c r="AK436" s="85" t="s">
        <v>4441</v>
      </c>
      <c r="AL436" s="85" t="s">
        <v>4406</v>
      </c>
      <c r="AM436" s="85" t="s">
        <v>4372</v>
      </c>
      <c r="AN436" s="85" t="s">
        <v>4846</v>
      </c>
      <c r="AO436" s="85"/>
      <c r="AP436" s="88">
        <v>146</v>
      </c>
      <c r="AQ436" s="88">
        <v>45</v>
      </c>
      <c r="AR436" s="85" t="s">
        <v>4415</v>
      </c>
    </row>
    <row r="437" s="66" customFormat="1" spans="2:44">
      <c r="B437" s="91" t="s">
        <v>4373</v>
      </c>
      <c r="C437" s="92">
        <v>434</v>
      </c>
      <c r="D437" s="93">
        <v>252610516</v>
      </c>
      <c r="E437" s="94" t="s">
        <v>1646</v>
      </c>
      <c r="F437" s="95" t="s">
        <v>1647</v>
      </c>
      <c r="G437" s="160" t="s">
        <v>1647</v>
      </c>
      <c r="H437" s="97"/>
      <c r="I437" s="160" t="s">
        <v>1646</v>
      </c>
      <c r="J437" s="160" t="s">
        <v>1646</v>
      </c>
      <c r="K437" s="97"/>
      <c r="L437" s="97"/>
      <c r="M437" s="98"/>
      <c r="N437" s="97"/>
      <c r="O437" s="97"/>
      <c r="P437" s="99"/>
      <c r="Q437" s="96"/>
      <c r="R437" s="96"/>
      <c r="S437" s="96"/>
      <c r="T437" s="88">
        <f t="shared" si="6"/>
        <v>0</v>
      </c>
      <c r="U437" s="97"/>
      <c r="V437" s="100"/>
      <c r="W437" s="101"/>
      <c r="X437" s="101"/>
      <c r="Y437" s="101"/>
      <c r="Z437" s="101"/>
      <c r="AA437" s="101"/>
      <c r="AB437" s="101"/>
      <c r="AC437" s="101"/>
      <c r="AD437" s="97"/>
      <c r="AE437" s="100"/>
      <c r="AF437" s="100"/>
      <c r="AG437" s="97"/>
      <c r="AH437" s="97"/>
      <c r="AI437" s="97"/>
      <c r="AJ437" s="97"/>
      <c r="AK437" s="97"/>
      <c r="AL437" s="97"/>
      <c r="AM437" s="97"/>
      <c r="AN437" s="97"/>
      <c r="AO437" s="97"/>
      <c r="AP437" s="100"/>
      <c r="AQ437" s="100"/>
      <c r="AR437" s="97"/>
    </row>
    <row r="438" s="66" customFormat="1" spans="2:44">
      <c r="B438" s="91" t="s">
        <v>4674</v>
      </c>
      <c r="C438" s="92">
        <v>435</v>
      </c>
      <c r="D438" s="93">
        <v>252610419</v>
      </c>
      <c r="E438" s="94" t="s">
        <v>1161</v>
      </c>
      <c r="F438" s="95" t="s">
        <v>1162</v>
      </c>
      <c r="G438" s="161" t="s">
        <v>1162</v>
      </c>
      <c r="H438" s="97"/>
      <c r="I438" s="161" t="s">
        <v>1161</v>
      </c>
      <c r="J438" s="161" t="s">
        <v>1161</v>
      </c>
      <c r="K438" s="97"/>
      <c r="L438" s="97"/>
      <c r="M438" s="98"/>
      <c r="N438" s="97"/>
      <c r="O438" s="97"/>
      <c r="P438" s="88"/>
      <c r="Q438" s="96"/>
      <c r="R438" s="96"/>
      <c r="S438" s="96"/>
      <c r="T438" s="88">
        <f t="shared" si="6"/>
        <v>0</v>
      </c>
      <c r="U438" s="97"/>
      <c r="V438" s="100"/>
      <c r="W438" s="101"/>
      <c r="X438" s="101"/>
      <c r="Y438" s="101"/>
      <c r="Z438" s="101"/>
      <c r="AA438" s="101"/>
      <c r="AB438" s="101"/>
      <c r="AC438" s="101"/>
      <c r="AD438" s="97"/>
      <c r="AE438" s="100"/>
      <c r="AF438" s="100"/>
      <c r="AG438" s="97"/>
      <c r="AH438" s="97"/>
      <c r="AI438" s="97"/>
      <c r="AJ438" s="97"/>
      <c r="AK438" s="97"/>
      <c r="AL438" s="97"/>
      <c r="AM438" s="97"/>
      <c r="AN438" s="97"/>
      <c r="AO438" s="97"/>
      <c r="AP438" s="100"/>
      <c r="AQ438" s="100"/>
      <c r="AR438" s="97"/>
    </row>
    <row r="439" s="66" customFormat="1" spans="2:44">
      <c r="B439" s="91" t="s">
        <v>4354</v>
      </c>
      <c r="C439" s="92">
        <v>436</v>
      </c>
      <c r="D439" s="93">
        <v>252610086</v>
      </c>
      <c r="E439" s="94" t="s">
        <v>1163</v>
      </c>
      <c r="F439" s="95" t="s">
        <v>1164</v>
      </c>
      <c r="G439" s="160" t="s">
        <v>4210</v>
      </c>
      <c r="H439" s="97"/>
      <c r="I439" s="160" t="s">
        <v>1163</v>
      </c>
      <c r="J439" s="160" t="s">
        <v>1163</v>
      </c>
      <c r="K439" s="97"/>
      <c r="L439" s="97"/>
      <c r="M439" s="98"/>
      <c r="N439" s="97"/>
      <c r="O439" s="97"/>
      <c r="P439" s="99"/>
      <c r="Q439" s="96"/>
      <c r="R439" s="96"/>
      <c r="S439" s="96"/>
      <c r="T439" s="88">
        <f t="shared" si="6"/>
        <v>0</v>
      </c>
      <c r="U439" s="97"/>
      <c r="V439" s="100"/>
      <c r="W439" s="101"/>
      <c r="X439" s="101"/>
      <c r="Y439" s="101"/>
      <c r="Z439" s="101"/>
      <c r="AA439" s="101"/>
      <c r="AB439" s="101"/>
      <c r="AC439" s="101"/>
      <c r="AD439" s="97"/>
      <c r="AE439" s="100"/>
      <c r="AF439" s="100"/>
      <c r="AG439" s="97"/>
      <c r="AH439" s="97"/>
      <c r="AI439" s="97"/>
      <c r="AJ439" s="97"/>
      <c r="AK439" s="97"/>
      <c r="AL439" s="97"/>
      <c r="AM439" s="97"/>
      <c r="AN439" s="97"/>
      <c r="AO439" s="97"/>
      <c r="AP439" s="100"/>
      <c r="AQ439" s="100"/>
      <c r="AR439" s="97"/>
    </row>
    <row r="440" spans="2:44">
      <c r="B440" s="69" t="s">
        <v>4304</v>
      </c>
      <c r="C440" s="81">
        <v>437</v>
      </c>
      <c r="D440" s="82">
        <v>252610468</v>
      </c>
      <c r="E440" s="83" t="s">
        <v>1165</v>
      </c>
      <c r="F440" s="84" t="s">
        <v>1166</v>
      </c>
      <c r="G440" s="159" t="s">
        <v>1166</v>
      </c>
      <c r="H440" s="85" t="s">
        <v>6466</v>
      </c>
      <c r="I440" s="159" t="s">
        <v>1165</v>
      </c>
      <c r="J440" s="157" t="s">
        <v>1165</v>
      </c>
      <c r="K440" s="85" t="s">
        <v>90</v>
      </c>
      <c r="L440" s="85" t="s">
        <v>6467</v>
      </c>
      <c r="M440" s="87">
        <v>39951</v>
      </c>
      <c r="N440" s="85" t="s">
        <v>4307</v>
      </c>
      <c r="O440" s="85" t="s">
        <v>4308</v>
      </c>
      <c r="P440" s="99">
        <v>2</v>
      </c>
      <c r="Q440" s="99">
        <v>2</v>
      </c>
      <c r="R440" s="99">
        <v>0</v>
      </c>
      <c r="S440" s="99">
        <v>0</v>
      </c>
      <c r="T440" s="88">
        <f t="shared" si="6"/>
        <v>2</v>
      </c>
      <c r="U440" s="85" t="s">
        <v>4308</v>
      </c>
      <c r="V440" s="88" t="s">
        <v>4310</v>
      </c>
      <c r="W440" s="109" t="s">
        <v>6468</v>
      </c>
      <c r="X440" s="109">
        <v>1</v>
      </c>
      <c r="Y440" s="109">
        <v>36</v>
      </c>
      <c r="Z440" s="109" t="s">
        <v>6469</v>
      </c>
      <c r="AA440" s="109" t="s">
        <v>4407</v>
      </c>
      <c r="AB440" s="109" t="s">
        <v>4451</v>
      </c>
      <c r="AC440" s="109">
        <v>40534</v>
      </c>
      <c r="AD440" s="85" t="s">
        <v>6470</v>
      </c>
      <c r="AE440" s="88" t="s">
        <v>4422</v>
      </c>
      <c r="AF440" s="88">
        <v>2</v>
      </c>
      <c r="AG440" s="85" t="s">
        <v>6471</v>
      </c>
      <c r="AH440" s="85" t="s">
        <v>5052</v>
      </c>
      <c r="AI440" s="85" t="s">
        <v>6037</v>
      </c>
      <c r="AJ440" s="85" t="s">
        <v>4439</v>
      </c>
      <c r="AK440" s="85" t="s">
        <v>4338</v>
      </c>
      <c r="AL440" s="85" t="s">
        <v>6472</v>
      </c>
      <c r="AM440" s="85" t="s">
        <v>4372</v>
      </c>
      <c r="AN440" s="85" t="s">
        <v>6473</v>
      </c>
      <c r="AO440" s="85">
        <v>0</v>
      </c>
      <c r="AP440" s="88">
        <v>153</v>
      </c>
      <c r="AQ440" s="88">
        <v>60</v>
      </c>
      <c r="AR440" s="85" t="s">
        <v>4428</v>
      </c>
    </row>
    <row r="441" s="66" customFormat="1" spans="2:44">
      <c r="B441" s="91" t="s">
        <v>4324</v>
      </c>
      <c r="C441" s="92">
        <v>438</v>
      </c>
      <c r="D441" s="93">
        <v>252610132</v>
      </c>
      <c r="E441" s="94" t="s">
        <v>2042</v>
      </c>
      <c r="F441" s="95" t="s">
        <v>2043</v>
      </c>
      <c r="G441" s="160" t="s">
        <v>4211</v>
      </c>
      <c r="H441" s="97"/>
      <c r="I441" s="160" t="s">
        <v>2042</v>
      </c>
      <c r="J441" s="160" t="s">
        <v>2042</v>
      </c>
      <c r="K441" s="97"/>
      <c r="L441" s="97"/>
      <c r="M441" s="98"/>
      <c r="N441" s="97"/>
      <c r="O441" s="97"/>
      <c r="P441" s="99"/>
      <c r="Q441" s="96"/>
      <c r="R441" s="96"/>
      <c r="S441" s="96"/>
      <c r="T441" s="88">
        <f t="shared" si="6"/>
        <v>0</v>
      </c>
      <c r="U441" s="97"/>
      <c r="V441" s="100"/>
      <c r="W441" s="101"/>
      <c r="X441" s="101"/>
      <c r="Y441" s="101"/>
      <c r="Z441" s="101"/>
      <c r="AA441" s="101"/>
      <c r="AB441" s="101"/>
      <c r="AC441" s="101"/>
      <c r="AD441" s="97"/>
      <c r="AE441" s="100"/>
      <c r="AF441" s="100"/>
      <c r="AG441" s="97"/>
      <c r="AH441" s="97"/>
      <c r="AI441" s="97"/>
      <c r="AJ441" s="97"/>
      <c r="AK441" s="97"/>
      <c r="AL441" s="97"/>
      <c r="AM441" s="97"/>
      <c r="AN441" s="97"/>
      <c r="AO441" s="97"/>
      <c r="AP441" s="100"/>
      <c r="AQ441" s="100"/>
      <c r="AR441" s="97"/>
    </row>
    <row r="442" s="66" customFormat="1" spans="2:44">
      <c r="B442" s="91" t="s">
        <v>4304</v>
      </c>
      <c r="C442" s="92">
        <v>439</v>
      </c>
      <c r="D442" s="93">
        <v>252610469</v>
      </c>
      <c r="E442" s="94" t="s">
        <v>2044</v>
      </c>
      <c r="F442" s="95" t="s">
        <v>2045</v>
      </c>
      <c r="G442" s="161" t="s">
        <v>4212</v>
      </c>
      <c r="H442" s="97"/>
      <c r="I442" s="173">
        <v>3093067279</v>
      </c>
      <c r="J442" s="173">
        <v>3093067279</v>
      </c>
      <c r="K442" s="97"/>
      <c r="L442" s="97"/>
      <c r="M442" s="98"/>
      <c r="N442" s="97"/>
      <c r="O442" s="97"/>
      <c r="P442" s="88"/>
      <c r="Q442" s="96"/>
      <c r="R442" s="96"/>
      <c r="S442" s="96"/>
      <c r="T442" s="88">
        <f t="shared" si="6"/>
        <v>0</v>
      </c>
      <c r="U442" s="97"/>
      <c r="V442" s="100"/>
      <c r="W442" s="101"/>
      <c r="X442" s="101"/>
      <c r="Y442" s="101"/>
      <c r="Z442" s="101"/>
      <c r="AA442" s="101"/>
      <c r="AB442" s="101"/>
      <c r="AC442" s="101"/>
      <c r="AD442" s="97"/>
      <c r="AE442" s="100"/>
      <c r="AF442" s="100"/>
      <c r="AG442" s="97"/>
      <c r="AH442" s="97"/>
      <c r="AI442" s="97"/>
      <c r="AJ442" s="97"/>
      <c r="AK442" s="97"/>
      <c r="AL442" s="97"/>
      <c r="AM442" s="97"/>
      <c r="AN442" s="97"/>
      <c r="AO442" s="97"/>
      <c r="AP442" s="100"/>
      <c r="AQ442" s="100"/>
      <c r="AR442" s="97"/>
    </row>
    <row r="443" spans="2:44">
      <c r="B443" s="69" t="s">
        <v>4642</v>
      </c>
      <c r="C443" s="81">
        <v>440</v>
      </c>
      <c r="D443" s="82">
        <v>252610566</v>
      </c>
      <c r="E443" s="83" t="s">
        <v>2046</v>
      </c>
      <c r="F443" s="174" t="s">
        <v>2047</v>
      </c>
      <c r="G443" s="165" t="s">
        <v>4213</v>
      </c>
      <c r="H443" s="104" t="s">
        <v>6474</v>
      </c>
      <c r="I443" s="165" t="s">
        <v>2046</v>
      </c>
      <c r="J443" s="163" t="s">
        <v>2046</v>
      </c>
      <c r="K443" s="104" t="s">
        <v>90</v>
      </c>
      <c r="L443" s="104" t="s">
        <v>4343</v>
      </c>
      <c r="M443" s="105">
        <v>40134</v>
      </c>
      <c r="N443" s="104" t="s">
        <v>4307</v>
      </c>
      <c r="O443" s="104" t="s">
        <v>4329</v>
      </c>
      <c r="P443" s="88">
        <v>1</v>
      </c>
      <c r="Q443" s="88">
        <v>3</v>
      </c>
      <c r="R443" s="88">
        <v>0</v>
      </c>
      <c r="S443" s="88">
        <v>0</v>
      </c>
      <c r="T443" s="88">
        <f t="shared" si="6"/>
        <v>3</v>
      </c>
      <c r="U443" s="104" t="s">
        <v>6475</v>
      </c>
      <c r="V443" s="99">
        <v>0</v>
      </c>
      <c r="W443" s="108" t="s">
        <v>6476</v>
      </c>
      <c r="X443" s="108" t="s">
        <v>4464</v>
      </c>
      <c r="Y443" s="108" t="s">
        <v>4361</v>
      </c>
      <c r="Z443" s="108" t="s">
        <v>6477</v>
      </c>
      <c r="AA443" s="108" t="s">
        <v>6478</v>
      </c>
      <c r="AB443" s="108" t="s">
        <v>4562</v>
      </c>
      <c r="AC443" s="108">
        <v>40215</v>
      </c>
      <c r="AD443" s="104" t="s">
        <v>6479</v>
      </c>
      <c r="AE443" s="99" t="s">
        <v>4496</v>
      </c>
      <c r="AF443" s="99" t="s">
        <v>4367</v>
      </c>
      <c r="AG443" s="104" t="s">
        <v>6480</v>
      </c>
      <c r="AH443" s="104" t="s">
        <v>6481</v>
      </c>
      <c r="AI443" s="104" t="s">
        <v>4626</v>
      </c>
      <c r="AJ443" s="104" t="s">
        <v>4626</v>
      </c>
      <c r="AK443" s="104" t="s">
        <v>4320</v>
      </c>
      <c r="AL443" s="106"/>
      <c r="AM443" s="104" t="s">
        <v>4338</v>
      </c>
      <c r="AN443" s="104" t="s">
        <v>6482</v>
      </c>
      <c r="AO443" s="106"/>
      <c r="AP443" s="99">
        <v>168</v>
      </c>
      <c r="AQ443" s="99">
        <v>43</v>
      </c>
      <c r="AR443" s="104" t="s">
        <v>4322</v>
      </c>
    </row>
    <row r="444" spans="2:44">
      <c r="B444" s="69" t="s">
        <v>4325</v>
      </c>
      <c r="C444" s="81">
        <v>441</v>
      </c>
      <c r="D444" s="82">
        <v>252610040</v>
      </c>
      <c r="E444" s="102" t="s">
        <v>1648</v>
      </c>
      <c r="F444" s="171" t="s">
        <v>1649</v>
      </c>
      <c r="G444" s="159" t="s">
        <v>1649</v>
      </c>
      <c r="H444" s="85" t="s">
        <v>6483</v>
      </c>
      <c r="I444" s="159" t="s">
        <v>1648</v>
      </c>
      <c r="J444" s="159" t="s">
        <v>1648</v>
      </c>
      <c r="K444" s="85" t="s">
        <v>90</v>
      </c>
      <c r="L444" s="85" t="s">
        <v>4343</v>
      </c>
      <c r="M444" s="87">
        <v>40134</v>
      </c>
      <c r="N444" s="85" t="s">
        <v>4328</v>
      </c>
      <c r="O444" s="85" t="s">
        <v>4344</v>
      </c>
      <c r="P444" s="99">
        <v>2</v>
      </c>
      <c r="Q444" s="99">
        <v>4</v>
      </c>
      <c r="R444" s="99">
        <v>0</v>
      </c>
      <c r="S444" s="99">
        <v>0</v>
      </c>
      <c r="T444" s="88">
        <f t="shared" si="6"/>
        <v>4</v>
      </c>
      <c r="U444" s="85" t="s">
        <v>4345</v>
      </c>
      <c r="V444" s="88">
        <v>0</v>
      </c>
      <c r="W444" s="109" t="s">
        <v>6484</v>
      </c>
      <c r="X444" s="109" t="s">
        <v>4391</v>
      </c>
      <c r="Y444" s="109" t="s">
        <v>4632</v>
      </c>
      <c r="Z444" s="109" t="s">
        <v>4655</v>
      </c>
      <c r="AA444" s="109" t="s">
        <v>4655</v>
      </c>
      <c r="AB444" s="109" t="s">
        <v>4656</v>
      </c>
      <c r="AC444" s="109">
        <v>40215</v>
      </c>
      <c r="AD444" s="85" t="s">
        <v>6485</v>
      </c>
      <c r="AE444" s="88" t="s">
        <v>4366</v>
      </c>
      <c r="AF444" s="88" t="s">
        <v>4367</v>
      </c>
      <c r="AG444" s="85" t="s">
        <v>6486</v>
      </c>
      <c r="AH444" s="85" t="s">
        <v>6481</v>
      </c>
      <c r="AI444" s="85" t="s">
        <v>4699</v>
      </c>
      <c r="AJ444" s="85" t="s">
        <v>4699</v>
      </c>
      <c r="AK444" s="85" t="s">
        <v>4320</v>
      </c>
      <c r="AL444" s="90"/>
      <c r="AM444" s="85" t="s">
        <v>4372</v>
      </c>
      <c r="AN444" s="85" t="s">
        <v>5135</v>
      </c>
      <c r="AO444" s="90"/>
      <c r="AP444" s="88">
        <v>169</v>
      </c>
      <c r="AQ444" s="88">
        <v>45</v>
      </c>
      <c r="AR444" s="85" t="s">
        <v>4322</v>
      </c>
    </row>
    <row r="445" s="66" customFormat="1" spans="2:44">
      <c r="B445" s="91" t="s">
        <v>4373</v>
      </c>
      <c r="C445" s="92">
        <v>442</v>
      </c>
      <c r="D445" s="93">
        <v>252610517</v>
      </c>
      <c r="E445" s="94" t="s">
        <v>1353</v>
      </c>
      <c r="F445" s="95" t="s">
        <v>1354</v>
      </c>
      <c r="G445" s="160" t="s">
        <v>1354</v>
      </c>
      <c r="H445" s="97"/>
      <c r="I445" s="160" t="s">
        <v>1353</v>
      </c>
      <c r="J445" s="160" t="s">
        <v>1353</v>
      </c>
      <c r="K445" s="97"/>
      <c r="L445" s="97"/>
      <c r="M445" s="98"/>
      <c r="N445" s="97"/>
      <c r="O445" s="97"/>
      <c r="P445" s="99"/>
      <c r="Q445" s="96"/>
      <c r="R445" s="96"/>
      <c r="S445" s="96"/>
      <c r="T445" s="88">
        <f t="shared" si="6"/>
        <v>0</v>
      </c>
      <c r="U445" s="97"/>
      <c r="V445" s="100"/>
      <c r="W445" s="101"/>
      <c r="X445" s="101"/>
      <c r="Y445" s="101"/>
      <c r="Z445" s="101"/>
      <c r="AA445" s="101"/>
      <c r="AB445" s="101"/>
      <c r="AC445" s="101"/>
      <c r="AD445" s="97"/>
      <c r="AE445" s="100"/>
      <c r="AF445" s="100"/>
      <c r="AG445" s="97"/>
      <c r="AH445" s="97"/>
      <c r="AI445" s="97"/>
      <c r="AJ445" s="97"/>
      <c r="AK445" s="97"/>
      <c r="AL445" s="97"/>
      <c r="AM445" s="97"/>
      <c r="AN445" s="97"/>
      <c r="AO445" s="97"/>
      <c r="AP445" s="100"/>
      <c r="AQ445" s="100"/>
      <c r="AR445" s="97"/>
    </row>
    <row r="446" spans="2:44">
      <c r="B446" s="69" t="s">
        <v>4325</v>
      </c>
      <c r="C446" s="81">
        <v>443</v>
      </c>
      <c r="D446" s="82">
        <v>252610041</v>
      </c>
      <c r="E446" s="102" t="s">
        <v>1167</v>
      </c>
      <c r="F446" s="171" t="s">
        <v>1168</v>
      </c>
      <c r="G446" s="162" t="s">
        <v>4214</v>
      </c>
      <c r="H446" s="85" t="s">
        <v>6487</v>
      </c>
      <c r="I446" s="162" t="s">
        <v>1167</v>
      </c>
      <c r="J446" s="163" t="s">
        <v>1167</v>
      </c>
      <c r="K446" s="85" t="s">
        <v>90</v>
      </c>
      <c r="L446" s="85" t="s">
        <v>5467</v>
      </c>
      <c r="M446" s="87">
        <v>40156</v>
      </c>
      <c r="N446" s="85" t="s">
        <v>4307</v>
      </c>
      <c r="O446" s="85" t="s">
        <v>4308</v>
      </c>
      <c r="P446" s="99">
        <v>1</v>
      </c>
      <c r="Q446" s="99">
        <v>1</v>
      </c>
      <c r="R446" s="99">
        <v>1</v>
      </c>
      <c r="S446" s="99">
        <v>0</v>
      </c>
      <c r="T446" s="88">
        <f t="shared" si="6"/>
        <v>2</v>
      </c>
      <c r="U446" s="85" t="s">
        <v>4805</v>
      </c>
      <c r="V446" s="88" t="s">
        <v>4358</v>
      </c>
      <c r="W446" s="109" t="s">
        <v>6488</v>
      </c>
      <c r="X446" s="109" t="s">
        <v>4360</v>
      </c>
      <c r="Y446" s="109">
        <v>26</v>
      </c>
      <c r="Z446" s="112"/>
      <c r="AA446" s="109" t="s">
        <v>4573</v>
      </c>
      <c r="AB446" s="109" t="s">
        <v>4378</v>
      </c>
      <c r="AC446" s="109">
        <v>40535</v>
      </c>
      <c r="AD446" s="85" t="s">
        <v>6489</v>
      </c>
      <c r="AE446" s="88" t="s">
        <v>4898</v>
      </c>
      <c r="AF446" s="88" t="s">
        <v>4680</v>
      </c>
      <c r="AG446" s="85" t="s">
        <v>6490</v>
      </c>
      <c r="AH446" s="85" t="s">
        <v>6491</v>
      </c>
      <c r="AI446" s="85" t="s">
        <v>4370</v>
      </c>
      <c r="AJ446" s="85" t="s">
        <v>4370</v>
      </c>
      <c r="AK446" s="85" t="s">
        <v>4337</v>
      </c>
      <c r="AL446" s="90"/>
      <c r="AM446" s="85" t="s">
        <v>4338</v>
      </c>
      <c r="AN446" s="85" t="s">
        <v>6492</v>
      </c>
      <c r="AO446" s="90"/>
      <c r="AP446" s="88">
        <v>147</v>
      </c>
      <c r="AQ446" s="88">
        <v>43</v>
      </c>
      <c r="AR446" s="85" t="s">
        <v>4428</v>
      </c>
    </row>
    <row r="447" spans="2:44">
      <c r="B447" s="69" t="s">
        <v>4354</v>
      </c>
      <c r="C447" s="81">
        <v>444</v>
      </c>
      <c r="D447" s="82">
        <v>252610087</v>
      </c>
      <c r="E447" s="116" t="s">
        <v>1650</v>
      </c>
      <c r="F447" s="84" t="s">
        <v>1651</v>
      </c>
      <c r="G447" s="156" t="s">
        <v>1651</v>
      </c>
      <c r="H447" s="104" t="s">
        <v>6493</v>
      </c>
      <c r="I447" s="156" t="s">
        <v>1650</v>
      </c>
      <c r="J447" s="157" t="s">
        <v>1650</v>
      </c>
      <c r="K447" s="104" t="s">
        <v>90</v>
      </c>
      <c r="L447" s="104" t="s">
        <v>4343</v>
      </c>
      <c r="M447" s="105">
        <v>40116</v>
      </c>
      <c r="N447" s="104" t="s">
        <v>4307</v>
      </c>
      <c r="O447" s="104" t="s">
        <v>4344</v>
      </c>
      <c r="P447" s="88">
        <v>1</v>
      </c>
      <c r="Q447" s="88">
        <v>2</v>
      </c>
      <c r="R447" s="88">
        <v>1</v>
      </c>
      <c r="S447" s="88">
        <v>0</v>
      </c>
      <c r="T447" s="88">
        <f t="shared" si="6"/>
        <v>3</v>
      </c>
      <c r="U447" s="104" t="s">
        <v>6494</v>
      </c>
      <c r="V447" s="99" t="s">
        <v>4595</v>
      </c>
      <c r="W447" s="108" t="s">
        <v>6495</v>
      </c>
      <c r="X447" s="108" t="s">
        <v>4492</v>
      </c>
      <c r="Y447" s="108" t="s">
        <v>4376</v>
      </c>
      <c r="Z447" s="108" t="s">
        <v>6496</v>
      </c>
      <c r="AA447" s="108" t="s">
        <v>6497</v>
      </c>
      <c r="AB447" s="108" t="s">
        <v>5503</v>
      </c>
      <c r="AC447" s="108">
        <v>40225</v>
      </c>
      <c r="AD447" s="104" t="s">
        <v>6498</v>
      </c>
      <c r="AE447" s="99" t="s">
        <v>6020</v>
      </c>
      <c r="AF447" s="99" t="s">
        <v>6499</v>
      </c>
      <c r="AG447" s="104" t="s">
        <v>6500</v>
      </c>
      <c r="AH447" s="104" t="s">
        <v>6501</v>
      </c>
      <c r="AI447" s="104" t="s">
        <v>4384</v>
      </c>
      <c r="AJ447" s="104" t="s">
        <v>4318</v>
      </c>
      <c r="AK447" s="104" t="s">
        <v>4320</v>
      </c>
      <c r="AL447" s="106"/>
      <c r="AM447" s="104" t="s">
        <v>4372</v>
      </c>
      <c r="AN447" s="104" t="s">
        <v>3186</v>
      </c>
      <c r="AO447" s="104" t="s">
        <v>6502</v>
      </c>
      <c r="AP447" s="99">
        <v>155</v>
      </c>
      <c r="AQ447" s="99">
        <v>49</v>
      </c>
      <c r="AR447" s="104" t="s">
        <v>4322</v>
      </c>
    </row>
    <row r="448" spans="2:44">
      <c r="B448" s="69" t="s">
        <v>4568</v>
      </c>
      <c r="C448" s="81">
        <v>445</v>
      </c>
      <c r="D448" s="82">
        <v>252610229</v>
      </c>
      <c r="E448" s="83" t="s">
        <v>1945</v>
      </c>
      <c r="F448" s="84" t="s">
        <v>1946</v>
      </c>
      <c r="G448" s="162" t="s">
        <v>4215</v>
      </c>
      <c r="H448" s="85" t="s">
        <v>6503</v>
      </c>
      <c r="I448" s="162" t="s">
        <v>1945</v>
      </c>
      <c r="J448" s="163" t="s">
        <v>1945</v>
      </c>
      <c r="K448" s="85" t="s">
        <v>89</v>
      </c>
      <c r="L448" s="85" t="s">
        <v>4343</v>
      </c>
      <c r="M448" s="87">
        <v>40063</v>
      </c>
      <c r="N448" s="85" t="s">
        <v>4307</v>
      </c>
      <c r="O448" s="85" t="s">
        <v>4344</v>
      </c>
      <c r="P448" s="99">
        <v>1</v>
      </c>
      <c r="Q448" s="99">
        <v>0</v>
      </c>
      <c r="R448" s="99">
        <v>0</v>
      </c>
      <c r="S448" s="99">
        <v>0</v>
      </c>
      <c r="T448" s="88">
        <f t="shared" si="6"/>
        <v>0</v>
      </c>
      <c r="U448" s="85" t="s">
        <v>4344</v>
      </c>
      <c r="V448" s="88" t="s">
        <v>4310</v>
      </c>
      <c r="W448" s="109" t="s">
        <v>6504</v>
      </c>
      <c r="X448" s="109" t="s">
        <v>4606</v>
      </c>
      <c r="Y448" s="109" t="s">
        <v>4825</v>
      </c>
      <c r="Z448" s="112"/>
      <c r="AA448" s="109" t="s">
        <v>4363</v>
      </c>
      <c r="AB448" s="109" t="s">
        <v>4479</v>
      </c>
      <c r="AC448" s="109">
        <v>40534</v>
      </c>
      <c r="AD448" s="85" t="s">
        <v>6505</v>
      </c>
      <c r="AE448" s="88" t="s">
        <v>4815</v>
      </c>
      <c r="AF448" s="113">
        <v>99</v>
      </c>
      <c r="AG448" s="85" t="s">
        <v>6506</v>
      </c>
      <c r="AH448" s="85" t="s">
        <v>6507</v>
      </c>
      <c r="AI448" s="85" t="s">
        <v>4318</v>
      </c>
      <c r="AJ448" s="85" t="s">
        <v>4318</v>
      </c>
      <c r="AK448" s="85" t="s">
        <v>6508</v>
      </c>
      <c r="AL448" s="90"/>
      <c r="AM448" s="85" t="s">
        <v>4441</v>
      </c>
      <c r="AN448" s="85" t="s">
        <v>6509</v>
      </c>
      <c r="AO448" s="90"/>
      <c r="AP448" s="88">
        <v>160</v>
      </c>
      <c r="AQ448" s="88">
        <v>40</v>
      </c>
      <c r="AR448" s="85" t="s">
        <v>4428</v>
      </c>
    </row>
    <row r="449" spans="2:44">
      <c r="B449" s="69" t="s">
        <v>4355</v>
      </c>
      <c r="C449" s="81">
        <v>446</v>
      </c>
      <c r="D449" s="82">
        <v>252610182</v>
      </c>
      <c r="E449" s="83" t="s">
        <v>1169</v>
      </c>
      <c r="F449" s="84" t="s">
        <v>1170</v>
      </c>
      <c r="G449" s="156" t="s">
        <v>4216</v>
      </c>
      <c r="H449" s="104" t="s">
        <v>6510</v>
      </c>
      <c r="I449" s="156" t="s">
        <v>1169</v>
      </c>
      <c r="J449" s="157" t="s">
        <v>1169</v>
      </c>
      <c r="K449" s="104" t="s">
        <v>89</v>
      </c>
      <c r="L449" s="104" t="s">
        <v>4343</v>
      </c>
      <c r="M449" s="105">
        <v>39970</v>
      </c>
      <c r="N449" s="104" t="s">
        <v>4307</v>
      </c>
      <c r="O449" s="104" t="s">
        <v>4329</v>
      </c>
      <c r="P449" s="88">
        <v>1</v>
      </c>
      <c r="Q449" s="88">
        <v>1</v>
      </c>
      <c r="R449" s="88">
        <v>0</v>
      </c>
      <c r="S449" s="88">
        <v>0</v>
      </c>
      <c r="T449" s="88">
        <f t="shared" si="6"/>
        <v>1</v>
      </c>
      <c r="U449" s="104" t="s">
        <v>5373</v>
      </c>
      <c r="V449" s="99" t="s">
        <v>4595</v>
      </c>
      <c r="W449" s="108" t="s">
        <v>6511</v>
      </c>
      <c r="X449" s="108" t="s">
        <v>4492</v>
      </c>
      <c r="Y449" s="108" t="s">
        <v>4376</v>
      </c>
      <c r="Z449" s="108" t="s">
        <v>6511</v>
      </c>
      <c r="AA449" s="108" t="s">
        <v>4478</v>
      </c>
      <c r="AB449" s="108" t="s">
        <v>4656</v>
      </c>
      <c r="AC449" s="108">
        <v>40213</v>
      </c>
      <c r="AD449" s="104" t="s">
        <v>6512</v>
      </c>
      <c r="AE449" s="99" t="s">
        <v>4422</v>
      </c>
      <c r="AF449" s="117">
        <v>952</v>
      </c>
      <c r="AG449" s="104" t="s">
        <v>6513</v>
      </c>
      <c r="AH449" s="104" t="s">
        <v>6514</v>
      </c>
      <c r="AI449" s="104" t="s">
        <v>4456</v>
      </c>
      <c r="AJ449" s="104" t="s">
        <v>4318</v>
      </c>
      <c r="AK449" s="104" t="s">
        <v>4320</v>
      </c>
      <c r="AL449" s="106"/>
      <c r="AM449" s="104" t="s">
        <v>4372</v>
      </c>
      <c r="AN449" s="104" t="s">
        <v>6515</v>
      </c>
      <c r="AO449" s="106"/>
      <c r="AP449" s="99">
        <v>160</v>
      </c>
      <c r="AQ449" s="99">
        <v>43</v>
      </c>
      <c r="AR449" s="104" t="s">
        <v>4538</v>
      </c>
    </row>
    <row r="450" spans="2:44">
      <c r="B450" s="69" t="s">
        <v>4325</v>
      </c>
      <c r="C450" s="81">
        <v>447</v>
      </c>
      <c r="D450" s="82">
        <v>252610042</v>
      </c>
      <c r="E450" s="102" t="s">
        <v>1947</v>
      </c>
      <c r="F450" s="171" t="s">
        <v>1948</v>
      </c>
      <c r="G450" s="162" t="s">
        <v>4217</v>
      </c>
      <c r="H450" s="85" t="s">
        <v>6516</v>
      </c>
      <c r="I450" s="162" t="s">
        <v>1947</v>
      </c>
      <c r="J450" s="163" t="s">
        <v>1947</v>
      </c>
      <c r="K450" s="85" t="s">
        <v>90</v>
      </c>
      <c r="L450" s="85" t="s">
        <v>4343</v>
      </c>
      <c r="M450" s="87">
        <v>40001</v>
      </c>
      <c r="N450" s="85" t="s">
        <v>4328</v>
      </c>
      <c r="O450" s="85" t="s">
        <v>4329</v>
      </c>
      <c r="P450" s="99">
        <v>5</v>
      </c>
      <c r="Q450" s="99">
        <v>7</v>
      </c>
      <c r="R450" s="99">
        <v>0</v>
      </c>
      <c r="S450" s="99">
        <v>0</v>
      </c>
      <c r="T450" s="88">
        <f t="shared" si="6"/>
        <v>7</v>
      </c>
      <c r="U450" s="85" t="s">
        <v>6517</v>
      </c>
      <c r="V450" s="88" t="s">
        <v>4358</v>
      </c>
      <c r="W450" s="109" t="s">
        <v>6518</v>
      </c>
      <c r="X450" s="109" t="s">
        <v>4376</v>
      </c>
      <c r="Y450" s="109">
        <v>10</v>
      </c>
      <c r="Z450" s="112"/>
      <c r="AA450" s="109" t="s">
        <v>6519</v>
      </c>
      <c r="AB450" s="109" t="s">
        <v>4562</v>
      </c>
      <c r="AC450" s="109">
        <v>40211</v>
      </c>
      <c r="AD450" s="85" t="s">
        <v>6520</v>
      </c>
      <c r="AE450" s="88" t="s">
        <v>6521</v>
      </c>
      <c r="AF450" s="88" t="s">
        <v>5560</v>
      </c>
      <c r="AG450" s="85" t="s">
        <v>6522</v>
      </c>
      <c r="AH450" s="85" t="s">
        <v>6523</v>
      </c>
      <c r="AI450" s="85" t="s">
        <v>4384</v>
      </c>
      <c r="AJ450" s="85" t="s">
        <v>4384</v>
      </c>
      <c r="AK450" s="85" t="s">
        <v>4337</v>
      </c>
      <c r="AL450" s="90"/>
      <c r="AM450" s="85" t="s">
        <v>4372</v>
      </c>
      <c r="AN450" s="85" t="s">
        <v>6524</v>
      </c>
      <c r="AO450" s="90"/>
      <c r="AP450" s="88">
        <v>150</v>
      </c>
      <c r="AQ450" s="88">
        <v>60</v>
      </c>
      <c r="AR450" s="85" t="s">
        <v>4340</v>
      </c>
    </row>
    <row r="451" spans="2:44">
      <c r="B451" s="69" t="s">
        <v>4355</v>
      </c>
      <c r="C451" s="81">
        <v>448</v>
      </c>
      <c r="D451" s="82">
        <v>252610183</v>
      </c>
      <c r="E451" s="83" t="s">
        <v>1853</v>
      </c>
      <c r="F451" s="84" t="s">
        <v>1854</v>
      </c>
      <c r="G451" s="156" t="s">
        <v>1854</v>
      </c>
      <c r="H451" s="104" t="s">
        <v>6525</v>
      </c>
      <c r="I451" s="156" t="s">
        <v>1853</v>
      </c>
      <c r="J451" s="157" t="s">
        <v>1853</v>
      </c>
      <c r="K451" s="104" t="s">
        <v>89</v>
      </c>
      <c r="L451" s="104" t="s">
        <v>4343</v>
      </c>
      <c r="M451" s="105">
        <v>39945</v>
      </c>
      <c r="N451" s="104" t="s">
        <v>4460</v>
      </c>
      <c r="O451" s="104" t="s">
        <v>4619</v>
      </c>
      <c r="P451" s="88">
        <v>2</v>
      </c>
      <c r="Q451" s="88">
        <v>1</v>
      </c>
      <c r="R451" s="88">
        <v>0</v>
      </c>
      <c r="S451" s="88">
        <v>0</v>
      </c>
      <c r="T451" s="88">
        <f t="shared" si="6"/>
        <v>1</v>
      </c>
      <c r="U451" s="104" t="s">
        <v>6526</v>
      </c>
      <c r="V451" s="99" t="s">
        <v>4595</v>
      </c>
      <c r="W451" s="108" t="s">
        <v>6527</v>
      </c>
      <c r="X451" s="108" t="s">
        <v>4793</v>
      </c>
      <c r="Y451" s="108" t="s">
        <v>4360</v>
      </c>
      <c r="Z451" s="108" t="s">
        <v>4677</v>
      </c>
      <c r="AA451" s="108" t="s">
        <v>4494</v>
      </c>
      <c r="AB451" s="108" t="s">
        <v>4451</v>
      </c>
      <c r="AC451" s="108">
        <v>40534</v>
      </c>
      <c r="AD451" s="104" t="s">
        <v>6528</v>
      </c>
      <c r="AE451" s="99" t="s">
        <v>4481</v>
      </c>
      <c r="AF451" s="99" t="s">
        <v>5269</v>
      </c>
      <c r="AG451" s="104" t="s">
        <v>6529</v>
      </c>
      <c r="AH451" s="104" t="s">
        <v>6530</v>
      </c>
      <c r="AI451" s="104" t="s">
        <v>4318</v>
      </c>
      <c r="AJ451" s="104" t="s">
        <v>4352</v>
      </c>
      <c r="AK451" s="104" t="s">
        <v>4337</v>
      </c>
      <c r="AL451" s="106"/>
      <c r="AM451" s="104" t="s">
        <v>4651</v>
      </c>
      <c r="AN451" s="104" t="s">
        <v>6531</v>
      </c>
      <c r="AO451" s="106"/>
      <c r="AP451" s="99">
        <v>166</v>
      </c>
      <c r="AQ451" s="99">
        <v>50</v>
      </c>
      <c r="AR451" s="104" t="s">
        <v>4428</v>
      </c>
    </row>
    <row r="452" spans="2:44">
      <c r="B452" s="69" t="s">
        <v>4642</v>
      </c>
      <c r="C452" s="81">
        <v>449</v>
      </c>
      <c r="D452" s="82">
        <v>252610567</v>
      </c>
      <c r="E452" s="83" t="s">
        <v>981</v>
      </c>
      <c r="F452" s="84" t="s">
        <v>982</v>
      </c>
      <c r="G452" s="162" t="s">
        <v>4218</v>
      </c>
      <c r="H452" s="85" t="s">
        <v>6532</v>
      </c>
      <c r="I452" s="162" t="s">
        <v>981</v>
      </c>
      <c r="J452" s="163" t="s">
        <v>981</v>
      </c>
      <c r="K452" s="85" t="s">
        <v>90</v>
      </c>
      <c r="L452" s="85" t="s">
        <v>4905</v>
      </c>
      <c r="M452" s="87">
        <v>40105</v>
      </c>
      <c r="N452" s="85" t="s">
        <v>4958</v>
      </c>
      <c r="O452" s="85" t="s">
        <v>4619</v>
      </c>
      <c r="P452" s="99">
        <v>3</v>
      </c>
      <c r="Q452" s="99">
        <v>2</v>
      </c>
      <c r="R452" s="99">
        <v>0</v>
      </c>
      <c r="S452" s="99">
        <v>0</v>
      </c>
      <c r="T452" s="88">
        <f t="shared" ref="T452:T515" si="7">Q452+R452+S452</f>
        <v>2</v>
      </c>
      <c r="U452" s="85" t="s">
        <v>6533</v>
      </c>
      <c r="V452" s="88" t="s">
        <v>4358</v>
      </c>
      <c r="W452" s="109" t="s">
        <v>6534</v>
      </c>
      <c r="X452" s="109" t="s">
        <v>4391</v>
      </c>
      <c r="Y452" s="109" t="s">
        <v>4431</v>
      </c>
      <c r="Z452" s="109" t="s">
        <v>4494</v>
      </c>
      <c r="AA452" s="109" t="s">
        <v>4494</v>
      </c>
      <c r="AB452" s="109" t="s">
        <v>4408</v>
      </c>
      <c r="AC452" s="109">
        <v>40534</v>
      </c>
      <c r="AD452" s="85" t="s">
        <v>6535</v>
      </c>
      <c r="AE452" s="88" t="s">
        <v>5239</v>
      </c>
      <c r="AF452" s="88" t="s">
        <v>4750</v>
      </c>
      <c r="AG452" s="85" t="s">
        <v>6536</v>
      </c>
      <c r="AH452" s="85" t="s">
        <v>6537</v>
      </c>
      <c r="AI452" s="85" t="s">
        <v>4318</v>
      </c>
      <c r="AJ452" s="85" t="s">
        <v>4318</v>
      </c>
      <c r="AK452" s="85" t="s">
        <v>4441</v>
      </c>
      <c r="AL452" s="90"/>
      <c r="AM452" s="85" t="s">
        <v>4553</v>
      </c>
      <c r="AN452" s="85" t="s">
        <v>6538</v>
      </c>
      <c r="AO452" s="85" t="s">
        <v>6539</v>
      </c>
      <c r="AP452" s="88">
        <v>154</v>
      </c>
      <c r="AQ452" s="88">
        <v>52</v>
      </c>
      <c r="AR452" s="85" t="s">
        <v>5393</v>
      </c>
    </row>
    <row r="453" s="66" customFormat="1" spans="2:44">
      <c r="B453" s="91" t="s">
        <v>4373</v>
      </c>
      <c r="C453" s="92">
        <v>450</v>
      </c>
      <c r="D453" s="93">
        <v>252610518</v>
      </c>
      <c r="E453" s="94" t="s">
        <v>1171</v>
      </c>
      <c r="F453" s="95" t="s">
        <v>1172</v>
      </c>
      <c r="G453" s="161" t="s">
        <v>1172</v>
      </c>
      <c r="H453" s="97"/>
      <c r="I453" s="161" t="s">
        <v>1171</v>
      </c>
      <c r="J453" s="161" t="s">
        <v>1171</v>
      </c>
      <c r="K453" s="97"/>
      <c r="L453" s="97"/>
      <c r="M453" s="98"/>
      <c r="N453" s="97"/>
      <c r="O453" s="97"/>
      <c r="P453" s="99"/>
      <c r="Q453" s="96"/>
      <c r="R453" s="96"/>
      <c r="S453" s="96"/>
      <c r="T453" s="88">
        <f t="shared" si="7"/>
        <v>0</v>
      </c>
      <c r="U453" s="97"/>
      <c r="V453" s="100"/>
      <c r="W453" s="101"/>
      <c r="X453" s="101"/>
      <c r="Y453" s="101"/>
      <c r="Z453" s="101"/>
      <c r="AA453" s="101"/>
      <c r="AB453" s="101"/>
      <c r="AC453" s="101"/>
      <c r="AD453" s="97"/>
      <c r="AE453" s="100"/>
      <c r="AF453" s="100"/>
      <c r="AG453" s="97"/>
      <c r="AH453" s="97"/>
      <c r="AI453" s="97"/>
      <c r="AJ453" s="97"/>
      <c r="AK453" s="97"/>
      <c r="AL453" s="97"/>
      <c r="AM453" s="97"/>
      <c r="AN453" s="97"/>
      <c r="AO453" s="97"/>
      <c r="AP453" s="100"/>
      <c r="AQ453" s="100"/>
      <c r="AR453" s="97"/>
    </row>
    <row r="454" spans="2:44">
      <c r="B454" s="69" t="s">
        <v>4354</v>
      </c>
      <c r="C454" s="81">
        <v>451</v>
      </c>
      <c r="D454" s="82">
        <v>252610088</v>
      </c>
      <c r="E454" s="83" t="s">
        <v>1652</v>
      </c>
      <c r="F454" s="84" t="s">
        <v>1653</v>
      </c>
      <c r="G454" s="162" t="s">
        <v>1653</v>
      </c>
      <c r="H454" s="85" t="s">
        <v>6540</v>
      </c>
      <c r="I454" s="162" t="s">
        <v>1652</v>
      </c>
      <c r="J454" s="163" t="s">
        <v>1652</v>
      </c>
      <c r="K454" s="85" t="s">
        <v>90</v>
      </c>
      <c r="L454" s="85" t="s">
        <v>4357</v>
      </c>
      <c r="M454" s="87">
        <v>40219</v>
      </c>
      <c r="N454" s="85" t="s">
        <v>4307</v>
      </c>
      <c r="O454" s="85" t="s">
        <v>4462</v>
      </c>
      <c r="P454" s="99">
        <v>1</v>
      </c>
      <c r="Q454" s="99">
        <v>0</v>
      </c>
      <c r="R454" s="99">
        <v>0</v>
      </c>
      <c r="S454" s="99">
        <v>0</v>
      </c>
      <c r="T454" s="88">
        <f t="shared" si="7"/>
        <v>0</v>
      </c>
      <c r="U454" s="85" t="s">
        <v>6541</v>
      </c>
      <c r="V454" s="88" t="s">
        <v>4330</v>
      </c>
      <c r="W454" s="109" t="s">
        <v>6542</v>
      </c>
      <c r="X454" s="109" t="s">
        <v>4419</v>
      </c>
      <c r="Y454" s="109" t="s">
        <v>4793</v>
      </c>
      <c r="Z454" s="112"/>
      <c r="AA454" s="109" t="s">
        <v>4363</v>
      </c>
      <c r="AB454" s="109" t="s">
        <v>4479</v>
      </c>
      <c r="AC454" s="109">
        <v>40534</v>
      </c>
      <c r="AD454" s="85" t="s">
        <v>6543</v>
      </c>
      <c r="AE454" s="88" t="s">
        <v>4333</v>
      </c>
      <c r="AF454" s="88" t="s">
        <v>5035</v>
      </c>
      <c r="AG454" s="85" t="s">
        <v>6544</v>
      </c>
      <c r="AH454" s="85" t="s">
        <v>6545</v>
      </c>
      <c r="AI454" s="85" t="s">
        <v>4472</v>
      </c>
      <c r="AJ454" s="85" t="s">
        <v>4473</v>
      </c>
      <c r="AK454" s="85" t="s">
        <v>4337</v>
      </c>
      <c r="AL454" s="90"/>
      <c r="AM454" s="85" t="s">
        <v>4372</v>
      </c>
      <c r="AN454" s="85" t="s">
        <v>3124</v>
      </c>
      <c r="AO454" s="90"/>
      <c r="AP454" s="88">
        <v>152</v>
      </c>
      <c r="AQ454" s="88">
        <v>44</v>
      </c>
      <c r="AR454" s="85" t="s">
        <v>4428</v>
      </c>
    </row>
    <row r="455" spans="2:44">
      <c r="B455" s="69" t="s">
        <v>4324</v>
      </c>
      <c r="C455" s="81">
        <v>452</v>
      </c>
      <c r="D455" s="82">
        <v>252610133</v>
      </c>
      <c r="E455" s="83" t="s">
        <v>1173</v>
      </c>
      <c r="F455" s="84" t="s">
        <v>1174</v>
      </c>
      <c r="G455" s="156" t="s">
        <v>1174</v>
      </c>
      <c r="H455" s="104" t="s">
        <v>6032</v>
      </c>
      <c r="I455" s="156" t="s">
        <v>1173</v>
      </c>
      <c r="J455" s="157" t="s">
        <v>1173</v>
      </c>
      <c r="K455" s="104" t="s">
        <v>89</v>
      </c>
      <c r="L455" s="104" t="s">
        <v>6546</v>
      </c>
      <c r="M455" s="105">
        <v>45833</v>
      </c>
      <c r="N455" s="104" t="s">
        <v>4307</v>
      </c>
      <c r="O455" s="104" t="s">
        <v>4344</v>
      </c>
      <c r="P455" s="88">
        <v>2</v>
      </c>
      <c r="Q455" s="88">
        <v>1</v>
      </c>
      <c r="R455" s="88">
        <v>0</v>
      </c>
      <c r="S455" s="88">
        <v>0</v>
      </c>
      <c r="T455" s="88">
        <f t="shared" si="7"/>
        <v>1</v>
      </c>
      <c r="U455" s="104" t="s">
        <v>4344</v>
      </c>
      <c r="V455" s="99" t="s">
        <v>4358</v>
      </c>
      <c r="W455" s="108" t="s">
        <v>6547</v>
      </c>
      <c r="X455" s="108" t="s">
        <v>4544</v>
      </c>
      <c r="Y455" s="108" t="s">
        <v>4544</v>
      </c>
      <c r="Z455" s="108" t="s">
        <v>6548</v>
      </c>
      <c r="AA455" s="108" t="s">
        <v>4757</v>
      </c>
      <c r="AB455" s="108" t="s">
        <v>4420</v>
      </c>
      <c r="AC455" s="108">
        <v>40217</v>
      </c>
      <c r="AD455" s="104" t="s">
        <v>6549</v>
      </c>
      <c r="AE455" s="99" t="s">
        <v>5239</v>
      </c>
      <c r="AF455" s="99" t="s">
        <v>5606</v>
      </c>
      <c r="AG455" s="104" t="s">
        <v>6550</v>
      </c>
      <c r="AH455" s="104" t="s">
        <v>6551</v>
      </c>
      <c r="AI455" s="104" t="s">
        <v>4384</v>
      </c>
      <c r="AJ455" s="104" t="s">
        <v>4384</v>
      </c>
      <c r="AK455" s="104" t="s">
        <v>4319</v>
      </c>
      <c r="AL455" s="106"/>
      <c r="AM455" s="104" t="s">
        <v>4372</v>
      </c>
      <c r="AN455" s="104" t="s">
        <v>4427</v>
      </c>
      <c r="AO455" s="106"/>
      <c r="AP455" s="99">
        <v>160</v>
      </c>
      <c r="AQ455" s="99">
        <v>75</v>
      </c>
      <c r="AR455" s="104" t="s">
        <v>4322</v>
      </c>
    </row>
    <row r="456" spans="2:44">
      <c r="B456" s="69" t="s">
        <v>4355</v>
      </c>
      <c r="C456" s="81">
        <v>453</v>
      </c>
      <c r="D456" s="82">
        <v>252610184</v>
      </c>
      <c r="E456" s="83" t="s">
        <v>1355</v>
      </c>
      <c r="F456" s="84" t="s">
        <v>1356</v>
      </c>
      <c r="G456" s="162" t="s">
        <v>1356</v>
      </c>
      <c r="H456" s="85" t="s">
        <v>6552</v>
      </c>
      <c r="I456" s="162" t="s">
        <v>1355</v>
      </c>
      <c r="J456" s="163" t="s">
        <v>1355</v>
      </c>
      <c r="K456" s="85" t="s">
        <v>89</v>
      </c>
      <c r="L456" s="85" t="s">
        <v>6065</v>
      </c>
      <c r="M456" s="87">
        <v>40133</v>
      </c>
      <c r="N456" s="85" t="s">
        <v>4328</v>
      </c>
      <c r="O456" s="85" t="s">
        <v>4489</v>
      </c>
      <c r="P456" s="99">
        <v>2</v>
      </c>
      <c r="Q456" s="99">
        <v>1</v>
      </c>
      <c r="R456" s="99">
        <v>0</v>
      </c>
      <c r="S456" s="99">
        <v>1</v>
      </c>
      <c r="T456" s="88">
        <f t="shared" si="7"/>
        <v>2</v>
      </c>
      <c r="U456" s="85" t="s">
        <v>6553</v>
      </c>
      <c r="V456" s="88" t="s">
        <v>4330</v>
      </c>
      <c r="W456" s="109" t="s">
        <v>6554</v>
      </c>
      <c r="X456" s="109" t="s">
        <v>4392</v>
      </c>
      <c r="Y456" s="109" t="s">
        <v>4544</v>
      </c>
      <c r="Z456" s="109" t="s">
        <v>5267</v>
      </c>
      <c r="AA456" s="109" t="s">
        <v>4795</v>
      </c>
      <c r="AB456" s="109" t="s">
        <v>4766</v>
      </c>
      <c r="AC456" s="109">
        <v>40215</v>
      </c>
      <c r="AD456" s="85" t="s">
        <v>6555</v>
      </c>
      <c r="AE456" s="88" t="s">
        <v>4333</v>
      </c>
      <c r="AF456" s="88" t="s">
        <v>4411</v>
      </c>
      <c r="AG456" s="85" t="s">
        <v>6556</v>
      </c>
      <c r="AH456" s="85" t="s">
        <v>6557</v>
      </c>
      <c r="AI456" s="85" t="s">
        <v>5168</v>
      </c>
      <c r="AJ456" s="85" t="s">
        <v>4351</v>
      </c>
      <c r="AK456" s="85" t="s">
        <v>4320</v>
      </c>
      <c r="AL456" s="85" t="s">
        <v>4406</v>
      </c>
      <c r="AM456" s="85" t="s">
        <v>4320</v>
      </c>
      <c r="AN456" s="85" t="s">
        <v>5135</v>
      </c>
      <c r="AO456" s="85"/>
      <c r="AP456" s="88">
        <v>167</v>
      </c>
      <c r="AQ456" s="88">
        <v>55</v>
      </c>
      <c r="AR456" s="85" t="s">
        <v>4322</v>
      </c>
    </row>
    <row r="457" s="66" customFormat="1" spans="2:44">
      <c r="B457" s="91" t="s">
        <v>4568</v>
      </c>
      <c r="C457" s="92">
        <v>454</v>
      </c>
      <c r="D457" s="93">
        <v>252610230</v>
      </c>
      <c r="E457" s="94" t="s">
        <v>1175</v>
      </c>
      <c r="F457" s="95" t="s">
        <v>1176</v>
      </c>
      <c r="G457" s="161" t="s">
        <v>1176</v>
      </c>
      <c r="H457" s="97"/>
      <c r="I457" s="161" t="s">
        <v>1175</v>
      </c>
      <c r="J457" s="161" t="s">
        <v>1175</v>
      </c>
      <c r="K457" s="97"/>
      <c r="L457" s="97"/>
      <c r="M457" s="98"/>
      <c r="N457" s="97"/>
      <c r="O457" s="97"/>
      <c r="P457" s="99"/>
      <c r="Q457" s="96"/>
      <c r="R457" s="96"/>
      <c r="S457" s="96"/>
      <c r="T457" s="88">
        <f t="shared" si="7"/>
        <v>0</v>
      </c>
      <c r="U457" s="97"/>
      <c r="V457" s="100"/>
      <c r="W457" s="101"/>
      <c r="X457" s="101"/>
      <c r="Y457" s="101"/>
      <c r="Z457" s="101"/>
      <c r="AA457" s="101"/>
      <c r="AB457" s="101"/>
      <c r="AC457" s="101"/>
      <c r="AD457" s="97"/>
      <c r="AE457" s="100"/>
      <c r="AF457" s="100"/>
      <c r="AG457" s="97"/>
      <c r="AH457" s="97"/>
      <c r="AI457" s="97"/>
      <c r="AJ457" s="97"/>
      <c r="AK457" s="97"/>
      <c r="AL457" s="97"/>
      <c r="AM457" s="97"/>
      <c r="AN457" s="97"/>
      <c r="AO457" s="97"/>
      <c r="AP457" s="100"/>
      <c r="AQ457" s="100"/>
      <c r="AR457" s="97"/>
    </row>
    <row r="458" s="66" customFormat="1" spans="2:44">
      <c r="B458" s="91" t="s">
        <v>4354</v>
      </c>
      <c r="C458" s="92">
        <v>455</v>
      </c>
      <c r="D458" s="93">
        <v>252610089</v>
      </c>
      <c r="E458" s="94" t="s">
        <v>1357</v>
      </c>
      <c r="F458" s="95" t="s">
        <v>1358</v>
      </c>
      <c r="G458" s="160" t="s">
        <v>4219</v>
      </c>
      <c r="H458" s="97"/>
      <c r="I458" s="160" t="s">
        <v>1357</v>
      </c>
      <c r="J458" s="160" t="s">
        <v>1357</v>
      </c>
      <c r="K458" s="97"/>
      <c r="L458" s="97"/>
      <c r="M458" s="98"/>
      <c r="N458" s="97"/>
      <c r="O458" s="97"/>
      <c r="P458" s="88"/>
      <c r="Q458" s="96"/>
      <c r="R458" s="96"/>
      <c r="S458" s="96"/>
      <c r="T458" s="88">
        <f t="shared" si="7"/>
        <v>0</v>
      </c>
      <c r="U458" s="97"/>
      <c r="V458" s="100"/>
      <c r="W458" s="101"/>
      <c r="X458" s="101"/>
      <c r="Y458" s="101"/>
      <c r="Z458" s="101"/>
      <c r="AA458" s="101"/>
      <c r="AB458" s="101"/>
      <c r="AC458" s="101"/>
      <c r="AD458" s="97"/>
      <c r="AE458" s="100"/>
      <c r="AF458" s="100"/>
      <c r="AG458" s="97"/>
      <c r="AH458" s="97"/>
      <c r="AI458" s="97"/>
      <c r="AJ458" s="97"/>
      <c r="AK458" s="97"/>
      <c r="AL458" s="97"/>
      <c r="AM458" s="97"/>
      <c r="AN458" s="97"/>
      <c r="AO458" s="97"/>
      <c r="AP458" s="100"/>
      <c r="AQ458" s="100"/>
      <c r="AR458" s="97"/>
    </row>
    <row r="459" spans="2:44">
      <c r="B459" s="69" t="s">
        <v>4568</v>
      </c>
      <c r="C459" s="81">
        <v>456</v>
      </c>
      <c r="D459" s="82">
        <v>252610231</v>
      </c>
      <c r="E459" s="83" t="s">
        <v>1461</v>
      </c>
      <c r="F459" s="84" t="s">
        <v>1462</v>
      </c>
      <c r="G459" s="156" t="s">
        <v>1462</v>
      </c>
      <c r="H459" s="104" t="s">
        <v>6558</v>
      </c>
      <c r="I459" s="156" t="s">
        <v>1461</v>
      </c>
      <c r="J459" s="157" t="s">
        <v>1461</v>
      </c>
      <c r="K459" s="104" t="s">
        <v>89</v>
      </c>
      <c r="L459" s="104" t="s">
        <v>4357</v>
      </c>
      <c r="M459" s="105">
        <v>40227</v>
      </c>
      <c r="N459" s="104" t="s">
        <v>4328</v>
      </c>
      <c r="O459" s="104" t="s">
        <v>4344</v>
      </c>
      <c r="P459" s="88">
        <v>3</v>
      </c>
      <c r="Q459" s="88">
        <v>2</v>
      </c>
      <c r="R459" s="88">
        <v>0</v>
      </c>
      <c r="S459" s="88">
        <v>0</v>
      </c>
      <c r="T459" s="88">
        <f t="shared" si="7"/>
        <v>2</v>
      </c>
      <c r="U459" s="104" t="s">
        <v>4344</v>
      </c>
      <c r="V459" s="99" t="s">
        <v>4595</v>
      </c>
      <c r="W459" s="108" t="s">
        <v>6559</v>
      </c>
      <c r="X459" s="108" t="s">
        <v>4464</v>
      </c>
      <c r="Y459" s="108">
        <v>28</v>
      </c>
      <c r="Z459" s="108" t="s">
        <v>4363</v>
      </c>
      <c r="AA459" s="108" t="s">
        <v>4363</v>
      </c>
      <c r="AB459" s="108" t="s">
        <v>4364</v>
      </c>
      <c r="AC459" s="108">
        <v>40534</v>
      </c>
      <c r="AD459" s="104" t="s">
        <v>6560</v>
      </c>
      <c r="AE459" s="99" t="s">
        <v>4422</v>
      </c>
      <c r="AF459" s="99" t="s">
        <v>5487</v>
      </c>
      <c r="AG459" s="104" t="s">
        <v>6561</v>
      </c>
      <c r="AH459" s="104" t="s">
        <v>6562</v>
      </c>
      <c r="AI459" s="104" t="s">
        <v>4401</v>
      </c>
      <c r="AJ459" s="104" t="s">
        <v>4615</v>
      </c>
      <c r="AK459" s="104" t="s">
        <v>4320</v>
      </c>
      <c r="AL459" s="106"/>
      <c r="AM459" s="104" t="s">
        <v>4338</v>
      </c>
      <c r="AN459" s="104" t="s">
        <v>4846</v>
      </c>
      <c r="AO459" s="104"/>
      <c r="AP459" s="99">
        <v>175</v>
      </c>
      <c r="AQ459" s="99">
        <v>46</v>
      </c>
      <c r="AR459" s="104" t="s">
        <v>4322</v>
      </c>
    </row>
    <row r="460" spans="2:44">
      <c r="B460" s="69" t="s">
        <v>4304</v>
      </c>
      <c r="C460" s="81">
        <v>457</v>
      </c>
      <c r="D460" s="82">
        <v>252610470</v>
      </c>
      <c r="E460" s="83" t="s">
        <v>1177</v>
      </c>
      <c r="F460" s="84" t="s">
        <v>1178</v>
      </c>
      <c r="G460" s="162" t="s">
        <v>4220</v>
      </c>
      <c r="H460" s="85" t="s">
        <v>6563</v>
      </c>
      <c r="I460" s="162" t="s">
        <v>1177</v>
      </c>
      <c r="J460" s="163" t="s">
        <v>1177</v>
      </c>
      <c r="K460" s="85" t="s">
        <v>89</v>
      </c>
      <c r="L460" s="85" t="s">
        <v>4357</v>
      </c>
      <c r="M460" s="87">
        <v>40178</v>
      </c>
      <c r="N460" s="85" t="s">
        <v>4541</v>
      </c>
      <c r="O460" s="85" t="s">
        <v>4308</v>
      </c>
      <c r="P460" s="99">
        <v>1</v>
      </c>
      <c r="Q460" s="99">
        <v>1</v>
      </c>
      <c r="R460" s="99">
        <v>0</v>
      </c>
      <c r="S460" s="99">
        <v>0</v>
      </c>
      <c r="T460" s="88">
        <f t="shared" si="7"/>
        <v>1</v>
      </c>
      <c r="U460" s="85" t="s">
        <v>4308</v>
      </c>
      <c r="V460" s="88" t="s">
        <v>4358</v>
      </c>
      <c r="W460" s="109" t="s">
        <v>6564</v>
      </c>
      <c r="X460" s="109" t="s">
        <v>4360</v>
      </c>
      <c r="Y460" s="109">
        <v>34</v>
      </c>
      <c r="Z460" s="109" t="s">
        <v>4842</v>
      </c>
      <c r="AA460" s="109" t="s">
        <v>4363</v>
      </c>
      <c r="AB460" s="109" t="s">
        <v>4364</v>
      </c>
      <c r="AC460" s="109">
        <v>40534</v>
      </c>
      <c r="AD460" s="85" t="s">
        <v>6565</v>
      </c>
      <c r="AE460" s="88" t="s">
        <v>4924</v>
      </c>
      <c r="AF460" s="113">
        <v>518</v>
      </c>
      <c r="AG460" s="85" t="s">
        <v>6566</v>
      </c>
      <c r="AH460" s="85" t="s">
        <v>6567</v>
      </c>
      <c r="AI460" s="85" t="s">
        <v>5168</v>
      </c>
      <c r="AJ460" s="85" t="s">
        <v>4318</v>
      </c>
      <c r="AK460" s="85" t="s">
        <v>4320</v>
      </c>
      <c r="AL460" s="90"/>
      <c r="AM460" s="85" t="s">
        <v>4372</v>
      </c>
      <c r="AN460" s="85" t="s">
        <v>3124</v>
      </c>
      <c r="AO460" s="90"/>
      <c r="AP460" s="88">
        <v>167</v>
      </c>
      <c r="AQ460" s="88">
        <v>45</v>
      </c>
      <c r="AR460" s="85" t="s">
        <v>4322</v>
      </c>
    </row>
    <row r="461" spans="2:44">
      <c r="B461" s="69" t="s">
        <v>4324</v>
      </c>
      <c r="C461" s="81">
        <v>458</v>
      </c>
      <c r="D461" s="82">
        <v>252610134</v>
      </c>
      <c r="E461" s="83" t="s">
        <v>1082</v>
      </c>
      <c r="F461" s="84" t="s">
        <v>1083</v>
      </c>
      <c r="G461" s="156" t="s">
        <v>1083</v>
      </c>
      <c r="H461" s="104" t="s">
        <v>6568</v>
      </c>
      <c r="I461" s="156" t="s">
        <v>1082</v>
      </c>
      <c r="J461" s="157" t="s">
        <v>1082</v>
      </c>
      <c r="K461" s="104" t="s">
        <v>90</v>
      </c>
      <c r="L461" s="104" t="s">
        <v>4557</v>
      </c>
      <c r="M461" s="105">
        <v>40424</v>
      </c>
      <c r="N461" s="104" t="s">
        <v>4307</v>
      </c>
      <c r="O461" s="104" t="s">
        <v>4489</v>
      </c>
      <c r="P461" s="88">
        <v>1</v>
      </c>
      <c r="Q461" s="88">
        <v>1</v>
      </c>
      <c r="R461" s="88">
        <v>0</v>
      </c>
      <c r="S461" s="88">
        <v>0</v>
      </c>
      <c r="T461" s="88">
        <f t="shared" si="7"/>
        <v>1</v>
      </c>
      <c r="U461" s="104" t="s">
        <v>4344</v>
      </c>
      <c r="V461" s="99">
        <v>0</v>
      </c>
      <c r="W461" s="108" t="s">
        <v>6569</v>
      </c>
      <c r="X461" s="108" t="s">
        <v>4464</v>
      </c>
      <c r="Y461" s="108" t="s">
        <v>5004</v>
      </c>
      <c r="Z461" s="114"/>
      <c r="AA461" s="108" t="s">
        <v>4450</v>
      </c>
      <c r="AB461" s="108" t="s">
        <v>4451</v>
      </c>
      <c r="AC461" s="108">
        <v>40535</v>
      </c>
      <c r="AD461" s="104" t="s">
        <v>6570</v>
      </c>
      <c r="AE461" s="99" t="s">
        <v>4410</v>
      </c>
      <c r="AF461" s="99" t="s">
        <v>4733</v>
      </c>
      <c r="AG461" s="104" t="s">
        <v>6571</v>
      </c>
      <c r="AH461" s="104" t="s">
        <v>6572</v>
      </c>
      <c r="AI461" s="104" t="s">
        <v>4638</v>
      </c>
      <c r="AJ461" s="104" t="s">
        <v>4318</v>
      </c>
      <c r="AK461" s="104" t="s">
        <v>4337</v>
      </c>
      <c r="AL461" s="106"/>
      <c r="AM461" s="104" t="s">
        <v>4372</v>
      </c>
      <c r="AN461" s="104" t="s">
        <v>6573</v>
      </c>
      <c r="AO461" s="104" t="s">
        <v>6574</v>
      </c>
      <c r="AP461" s="99">
        <v>145</v>
      </c>
      <c r="AQ461" s="99">
        <v>50</v>
      </c>
      <c r="AR461" s="104" t="s">
        <v>4322</v>
      </c>
    </row>
    <row r="462" s="66" customFormat="1" spans="2:44">
      <c r="B462" s="91" t="s">
        <v>4323</v>
      </c>
      <c r="C462" s="92">
        <v>459</v>
      </c>
      <c r="D462" s="93">
        <v>252610278</v>
      </c>
      <c r="E462" s="94" t="s">
        <v>1084</v>
      </c>
      <c r="F462" s="95" t="s">
        <v>1085</v>
      </c>
      <c r="G462" s="160" t="s">
        <v>1085</v>
      </c>
      <c r="H462" s="97"/>
      <c r="I462" s="160" t="s">
        <v>1084</v>
      </c>
      <c r="J462" s="160" t="s">
        <v>1084</v>
      </c>
      <c r="K462" s="97"/>
      <c r="L462" s="97"/>
      <c r="M462" s="98"/>
      <c r="N462" s="97"/>
      <c r="O462" s="97"/>
      <c r="P462" s="88"/>
      <c r="Q462" s="96"/>
      <c r="R462" s="96"/>
      <c r="S462" s="96"/>
      <c r="T462" s="88">
        <f t="shared" si="7"/>
        <v>0</v>
      </c>
      <c r="U462" s="97"/>
      <c r="V462" s="100"/>
      <c r="W462" s="101"/>
      <c r="X462" s="101"/>
      <c r="Y462" s="101"/>
      <c r="Z462" s="101"/>
      <c r="AA462" s="101"/>
      <c r="AB462" s="101"/>
      <c r="AC462" s="101"/>
      <c r="AD462" s="97"/>
      <c r="AE462" s="100"/>
      <c r="AF462" s="100"/>
      <c r="AG462" s="97"/>
      <c r="AH462" s="97"/>
      <c r="AI462" s="97"/>
      <c r="AJ462" s="97"/>
      <c r="AK462" s="97"/>
      <c r="AL462" s="97"/>
      <c r="AM462" s="97"/>
      <c r="AN462" s="97"/>
      <c r="AO462" s="97"/>
      <c r="AP462" s="100"/>
      <c r="AQ462" s="100"/>
      <c r="AR462" s="97"/>
    </row>
    <row r="463" s="66" customFormat="1" spans="2:44">
      <c r="B463" s="91" t="s">
        <v>4642</v>
      </c>
      <c r="C463" s="92">
        <v>460</v>
      </c>
      <c r="D463" s="93">
        <v>252610568</v>
      </c>
      <c r="E463" s="94" t="s">
        <v>1359</v>
      </c>
      <c r="F463" s="95" t="s">
        <v>1360</v>
      </c>
      <c r="G463" s="160" t="s">
        <v>1360</v>
      </c>
      <c r="H463" s="97"/>
      <c r="I463" s="160" t="s">
        <v>1359</v>
      </c>
      <c r="J463" s="160" t="s">
        <v>1359</v>
      </c>
      <c r="K463" s="97"/>
      <c r="L463" s="97"/>
      <c r="M463" s="98"/>
      <c r="N463" s="97"/>
      <c r="O463" s="97"/>
      <c r="P463" s="99"/>
      <c r="Q463" s="96"/>
      <c r="R463" s="96"/>
      <c r="S463" s="96"/>
      <c r="T463" s="88">
        <f t="shared" si="7"/>
        <v>0</v>
      </c>
      <c r="U463" s="97"/>
      <c r="V463" s="100"/>
      <c r="W463" s="101"/>
      <c r="X463" s="101"/>
      <c r="Y463" s="101"/>
      <c r="Z463" s="101"/>
      <c r="AA463" s="101"/>
      <c r="AB463" s="101"/>
      <c r="AC463" s="101"/>
      <c r="AD463" s="97"/>
      <c r="AE463" s="100"/>
      <c r="AF463" s="100"/>
      <c r="AG463" s="97"/>
      <c r="AH463" s="97"/>
      <c r="AI463" s="97"/>
      <c r="AJ463" s="97"/>
      <c r="AK463" s="97"/>
      <c r="AL463" s="97"/>
      <c r="AM463" s="97"/>
      <c r="AN463" s="97"/>
      <c r="AO463" s="97"/>
      <c r="AP463" s="100"/>
      <c r="AQ463" s="100"/>
      <c r="AR463" s="97"/>
    </row>
    <row r="464" s="66" customFormat="1" spans="2:44">
      <c r="B464" s="91" t="s">
        <v>4354</v>
      </c>
      <c r="C464" s="92">
        <v>461</v>
      </c>
      <c r="D464" s="93">
        <v>252610090</v>
      </c>
      <c r="E464" s="175" t="s">
        <v>2048</v>
      </c>
      <c r="F464" s="95" t="s">
        <v>2049</v>
      </c>
      <c r="G464" s="161" t="s">
        <v>2049</v>
      </c>
      <c r="H464" s="97"/>
      <c r="I464" s="161" t="s">
        <v>2048</v>
      </c>
      <c r="J464" s="161" t="s">
        <v>2048</v>
      </c>
      <c r="K464" s="97"/>
      <c r="L464" s="97"/>
      <c r="M464" s="98"/>
      <c r="N464" s="97"/>
      <c r="O464" s="97"/>
      <c r="P464" s="88"/>
      <c r="Q464" s="96"/>
      <c r="R464" s="96"/>
      <c r="S464" s="96"/>
      <c r="T464" s="88">
        <f t="shared" si="7"/>
        <v>0</v>
      </c>
      <c r="U464" s="97"/>
      <c r="V464" s="100"/>
      <c r="W464" s="101"/>
      <c r="X464" s="101"/>
      <c r="Y464" s="101"/>
      <c r="Z464" s="101"/>
      <c r="AA464" s="101"/>
      <c r="AB464" s="101"/>
      <c r="AC464" s="101"/>
      <c r="AD464" s="97"/>
      <c r="AE464" s="100"/>
      <c r="AF464" s="100"/>
      <c r="AG464" s="97"/>
      <c r="AH464" s="97"/>
      <c r="AI464" s="97"/>
      <c r="AJ464" s="97"/>
      <c r="AK464" s="97"/>
      <c r="AL464" s="97"/>
      <c r="AM464" s="97"/>
      <c r="AN464" s="97"/>
      <c r="AO464" s="97"/>
      <c r="AP464" s="100"/>
      <c r="AQ464" s="100"/>
      <c r="AR464" s="97"/>
    </row>
    <row r="465" spans="2:44">
      <c r="B465" s="69" t="s">
        <v>4323</v>
      </c>
      <c r="C465" s="81">
        <v>462</v>
      </c>
      <c r="D465" s="82">
        <v>252610279</v>
      </c>
      <c r="E465" s="83" t="s">
        <v>2050</v>
      </c>
      <c r="F465" s="84" t="s">
        <v>2051</v>
      </c>
      <c r="G465" s="165" t="s">
        <v>4222</v>
      </c>
      <c r="H465" s="104" t="s">
        <v>6575</v>
      </c>
      <c r="I465" s="165" t="s">
        <v>2050</v>
      </c>
      <c r="J465" s="163" t="s">
        <v>4224</v>
      </c>
      <c r="K465" s="104" t="s">
        <v>90</v>
      </c>
      <c r="L465" s="104" t="s">
        <v>6576</v>
      </c>
      <c r="M465" s="105">
        <v>40294</v>
      </c>
      <c r="N465" s="104" t="s">
        <v>4460</v>
      </c>
      <c r="O465" s="104" t="s">
        <v>4619</v>
      </c>
      <c r="P465" s="88">
        <v>2</v>
      </c>
      <c r="Q465" s="88">
        <v>4</v>
      </c>
      <c r="R465" s="88">
        <v>0</v>
      </c>
      <c r="S465" s="88">
        <v>0</v>
      </c>
      <c r="T465" s="88">
        <f t="shared" si="7"/>
        <v>4</v>
      </c>
      <c r="U465" s="104" t="s">
        <v>4344</v>
      </c>
      <c r="V465" s="99" t="s">
        <v>4330</v>
      </c>
      <c r="W465" s="108" t="s">
        <v>6577</v>
      </c>
      <c r="X465" s="108" t="s">
        <v>4477</v>
      </c>
      <c r="Y465" s="108" t="s">
        <v>4793</v>
      </c>
      <c r="Z465" s="108" t="s">
        <v>6578</v>
      </c>
      <c r="AA465" s="108" t="s">
        <v>6579</v>
      </c>
      <c r="AB465" s="108" t="s">
        <v>6580</v>
      </c>
      <c r="AC465" s="108">
        <v>40911</v>
      </c>
      <c r="AD465" s="104" t="s">
        <v>6581</v>
      </c>
      <c r="AE465" s="99" t="s">
        <v>4938</v>
      </c>
      <c r="AF465" s="99" t="s">
        <v>6582</v>
      </c>
      <c r="AG465" s="104" t="s">
        <v>6583</v>
      </c>
      <c r="AH465" s="104" t="s">
        <v>6584</v>
      </c>
      <c r="AI465" s="104" t="s">
        <v>4626</v>
      </c>
      <c r="AJ465" s="104" t="s">
        <v>5152</v>
      </c>
      <c r="AK465" s="104" t="s">
        <v>4337</v>
      </c>
      <c r="AL465" s="104" t="s">
        <v>4406</v>
      </c>
      <c r="AM465" s="104" t="s">
        <v>4337</v>
      </c>
      <c r="AN465" s="104" t="s">
        <v>6585</v>
      </c>
      <c r="AO465" s="104"/>
      <c r="AP465" s="99">
        <v>151</v>
      </c>
      <c r="AQ465" s="99">
        <v>66</v>
      </c>
      <c r="AR465" s="104" t="s">
        <v>4443</v>
      </c>
    </row>
    <row r="466" spans="2:44">
      <c r="B466" s="69" t="s">
        <v>4355</v>
      </c>
      <c r="C466" s="81">
        <v>463</v>
      </c>
      <c r="D466" s="82">
        <v>252610185</v>
      </c>
      <c r="E466" s="176" t="s">
        <v>1560</v>
      </c>
      <c r="F466" s="84" t="s">
        <v>1561</v>
      </c>
      <c r="G466" s="159" t="s">
        <v>4223</v>
      </c>
      <c r="H466" s="85" t="s">
        <v>6586</v>
      </c>
      <c r="I466" s="159">
        <v>3104958866</v>
      </c>
      <c r="J466" s="157">
        <v>3104958866</v>
      </c>
      <c r="K466" s="85" t="s">
        <v>90</v>
      </c>
      <c r="L466" s="85" t="s">
        <v>4327</v>
      </c>
      <c r="M466" s="87">
        <v>40323</v>
      </c>
      <c r="N466" s="85" t="s">
        <v>4307</v>
      </c>
      <c r="O466" s="85" t="s">
        <v>5545</v>
      </c>
      <c r="P466" s="99">
        <v>1</v>
      </c>
      <c r="Q466" s="99">
        <v>1</v>
      </c>
      <c r="R466" s="99">
        <v>0</v>
      </c>
      <c r="S466" s="99">
        <v>0</v>
      </c>
      <c r="T466" s="88">
        <f t="shared" si="7"/>
        <v>1</v>
      </c>
      <c r="U466" s="85" t="s">
        <v>4594</v>
      </c>
      <c r="V466" s="88" t="s">
        <v>4358</v>
      </c>
      <c r="W466" s="109" t="s">
        <v>6587</v>
      </c>
      <c r="X466" s="109" t="s">
        <v>4492</v>
      </c>
      <c r="Y466" s="109" t="s">
        <v>4464</v>
      </c>
      <c r="Z466" s="109" t="s">
        <v>6588</v>
      </c>
      <c r="AA466" s="109" t="s">
        <v>6589</v>
      </c>
      <c r="AB466" s="109" t="s">
        <v>5710</v>
      </c>
      <c r="AC466" s="109">
        <v>40214</v>
      </c>
      <c r="AD466" s="85">
        <v>6285966276170</v>
      </c>
      <c r="AE466" s="88" t="s">
        <v>4990</v>
      </c>
      <c r="AF466" s="88" t="s">
        <v>5560</v>
      </c>
      <c r="AG466" s="85" t="s">
        <v>6590</v>
      </c>
      <c r="AH466" s="85" t="s">
        <v>6591</v>
      </c>
      <c r="AI466" s="85" t="s">
        <v>4638</v>
      </c>
      <c r="AJ466" s="85" t="s">
        <v>4384</v>
      </c>
      <c r="AK466" s="85" t="s">
        <v>4320</v>
      </c>
      <c r="AL466" s="85" t="s">
        <v>6592</v>
      </c>
      <c r="AM466" s="85" t="s">
        <v>4372</v>
      </c>
      <c r="AN466" s="85" t="s">
        <v>6593</v>
      </c>
      <c r="AO466" s="90"/>
      <c r="AP466" s="88">
        <v>156</v>
      </c>
      <c r="AQ466" s="88">
        <v>52</v>
      </c>
      <c r="AR466" s="85" t="s">
        <v>4322</v>
      </c>
    </row>
    <row r="467" spans="2:44">
      <c r="B467" s="69" t="s">
        <v>4324</v>
      </c>
      <c r="C467" s="81">
        <v>464</v>
      </c>
      <c r="D467" s="82">
        <v>252610135</v>
      </c>
      <c r="E467" s="83" t="s">
        <v>1361</v>
      </c>
      <c r="F467" s="84" t="s">
        <v>1362</v>
      </c>
      <c r="G467" s="165" t="s">
        <v>1362</v>
      </c>
      <c r="H467" s="104" t="s">
        <v>6594</v>
      </c>
      <c r="I467" s="165" t="s">
        <v>1361</v>
      </c>
      <c r="J467" s="163" t="s">
        <v>1361</v>
      </c>
      <c r="K467" s="104" t="s">
        <v>89</v>
      </c>
      <c r="L467" s="104" t="s">
        <v>4343</v>
      </c>
      <c r="M467" s="105">
        <v>40288</v>
      </c>
      <c r="N467" s="104" t="s">
        <v>4541</v>
      </c>
      <c r="O467" s="104" t="s">
        <v>4489</v>
      </c>
      <c r="P467" s="88">
        <v>1</v>
      </c>
      <c r="Q467" s="88">
        <v>0</v>
      </c>
      <c r="R467" s="88">
        <v>0</v>
      </c>
      <c r="S467" s="88">
        <v>0</v>
      </c>
      <c r="T467" s="88">
        <f t="shared" si="7"/>
        <v>0</v>
      </c>
      <c r="U467" s="104" t="s">
        <v>6595</v>
      </c>
      <c r="V467" s="99">
        <v>0</v>
      </c>
      <c r="W467" s="108" t="s">
        <v>6596</v>
      </c>
      <c r="X467" s="108" t="s">
        <v>4376</v>
      </c>
      <c r="Y467" s="108" t="s">
        <v>4376</v>
      </c>
      <c r="Z467" s="108" t="s">
        <v>6597</v>
      </c>
      <c r="AA467" s="108" t="s">
        <v>5068</v>
      </c>
      <c r="AB467" s="108" t="s">
        <v>4562</v>
      </c>
      <c r="AC467" s="108">
        <v>40213</v>
      </c>
      <c r="AD467" s="104" t="s">
        <v>6598</v>
      </c>
      <c r="AE467" s="99" t="s">
        <v>4422</v>
      </c>
      <c r="AF467" s="99" t="s">
        <v>4658</v>
      </c>
      <c r="AG467" s="104" t="s">
        <v>6599</v>
      </c>
      <c r="AH467" s="104" t="s">
        <v>6600</v>
      </c>
      <c r="AI467" s="104" t="s">
        <v>4615</v>
      </c>
      <c r="AJ467" s="104" t="s">
        <v>4318</v>
      </c>
      <c r="AK467" s="104" t="s">
        <v>4337</v>
      </c>
      <c r="AL467" s="106"/>
      <c r="AM467" s="104" t="s">
        <v>4372</v>
      </c>
      <c r="AN467" s="104" t="s">
        <v>5135</v>
      </c>
      <c r="AO467" s="104" t="s">
        <v>6601</v>
      </c>
      <c r="AP467" s="99">
        <v>161</v>
      </c>
      <c r="AQ467" s="99">
        <v>65</v>
      </c>
      <c r="AR467" s="104" t="s">
        <v>4340</v>
      </c>
    </row>
    <row r="468" spans="2:44">
      <c r="B468" s="69" t="s">
        <v>4341</v>
      </c>
      <c r="C468" s="81">
        <v>465</v>
      </c>
      <c r="D468" s="82">
        <v>252610324</v>
      </c>
      <c r="E468" s="83" t="s">
        <v>1562</v>
      </c>
      <c r="F468" s="84" t="s">
        <v>1563</v>
      </c>
      <c r="G468" s="159" t="s">
        <v>1563</v>
      </c>
      <c r="H468" s="85" t="s">
        <v>6602</v>
      </c>
      <c r="I468" s="159" t="s">
        <v>1562</v>
      </c>
      <c r="J468" s="157" t="s">
        <v>1562</v>
      </c>
      <c r="K468" s="85" t="s">
        <v>89</v>
      </c>
      <c r="L468" s="85" t="s">
        <v>4557</v>
      </c>
      <c r="M468" s="87">
        <v>40314</v>
      </c>
      <c r="N468" s="85" t="s">
        <v>4460</v>
      </c>
      <c r="O468" s="85" t="s">
        <v>4462</v>
      </c>
      <c r="P468" s="99">
        <v>2</v>
      </c>
      <c r="Q468" s="99">
        <v>2</v>
      </c>
      <c r="R468" s="99">
        <v>0</v>
      </c>
      <c r="S468" s="99">
        <v>0</v>
      </c>
      <c r="T468" s="88">
        <f t="shared" si="7"/>
        <v>2</v>
      </c>
      <c r="U468" s="85" t="s">
        <v>4462</v>
      </c>
      <c r="V468" s="88">
        <v>0</v>
      </c>
      <c r="W468" s="109" t="s">
        <v>6603</v>
      </c>
      <c r="X468" s="109" t="s">
        <v>4419</v>
      </c>
      <c r="Y468" s="109" t="s">
        <v>4361</v>
      </c>
      <c r="Z468" s="109" t="s">
        <v>6604</v>
      </c>
      <c r="AA468" s="109" t="s">
        <v>5068</v>
      </c>
      <c r="AB468" s="109" t="s">
        <v>4562</v>
      </c>
      <c r="AC468" s="109">
        <v>40213</v>
      </c>
      <c r="AD468" s="85" t="s">
        <v>6605</v>
      </c>
      <c r="AE468" s="88" t="s">
        <v>4496</v>
      </c>
      <c r="AF468" s="88" t="s">
        <v>4658</v>
      </c>
      <c r="AG468" s="85" t="s">
        <v>6606</v>
      </c>
      <c r="AH468" s="85" t="s">
        <v>6607</v>
      </c>
      <c r="AI468" s="85" t="s">
        <v>6608</v>
      </c>
      <c r="AJ468" s="85" t="s">
        <v>4699</v>
      </c>
      <c r="AK468" s="85" t="s">
        <v>4320</v>
      </c>
      <c r="AL468" s="85" t="s">
        <v>6268</v>
      </c>
      <c r="AM468" s="85" t="s">
        <v>4320</v>
      </c>
      <c r="AN468" s="85" t="s">
        <v>3124</v>
      </c>
      <c r="AO468" s="90"/>
      <c r="AP468" s="88">
        <v>159</v>
      </c>
      <c r="AQ468" s="88">
        <v>52</v>
      </c>
      <c r="AR468" s="85" t="s">
        <v>4538</v>
      </c>
    </row>
    <row r="469" s="66" customFormat="1" spans="2:44">
      <c r="B469" s="91" t="s">
        <v>4386</v>
      </c>
      <c r="C469" s="92">
        <v>466</v>
      </c>
      <c r="D469" s="93">
        <v>252610373</v>
      </c>
      <c r="E469" s="94" t="s">
        <v>1654</v>
      </c>
      <c r="F469" s="95" t="s">
        <v>1655</v>
      </c>
      <c r="G469" s="160" t="s">
        <v>1655</v>
      </c>
      <c r="H469" s="97"/>
      <c r="I469" s="160" t="s">
        <v>1654</v>
      </c>
      <c r="J469" s="160" t="s">
        <v>1654</v>
      </c>
      <c r="K469" s="97"/>
      <c r="L469" s="97"/>
      <c r="M469" s="98"/>
      <c r="N469" s="97"/>
      <c r="O469" s="97"/>
      <c r="P469" s="99"/>
      <c r="Q469" s="96"/>
      <c r="R469" s="96"/>
      <c r="S469" s="96"/>
      <c r="T469" s="88">
        <f t="shared" si="7"/>
        <v>0</v>
      </c>
      <c r="U469" s="97"/>
      <c r="V469" s="100"/>
      <c r="W469" s="101"/>
      <c r="X469" s="101"/>
      <c r="Y469" s="101"/>
      <c r="Z469" s="101"/>
      <c r="AA469" s="101"/>
      <c r="AB469" s="101"/>
      <c r="AC469" s="101"/>
      <c r="AD469" s="97"/>
      <c r="AE469" s="100"/>
      <c r="AF469" s="100"/>
      <c r="AG469" s="97"/>
      <c r="AH469" s="97"/>
      <c r="AI469" s="97"/>
      <c r="AJ469" s="97"/>
      <c r="AK469" s="97"/>
      <c r="AL469" s="97"/>
      <c r="AM469" s="97"/>
      <c r="AN469" s="97"/>
      <c r="AO469" s="97"/>
      <c r="AP469" s="100"/>
      <c r="AQ469" s="100"/>
      <c r="AR469" s="97"/>
    </row>
    <row r="470" spans="2:44">
      <c r="B470" s="69" t="s">
        <v>4325</v>
      </c>
      <c r="C470" s="81">
        <v>467</v>
      </c>
      <c r="D470" s="82">
        <v>252610043</v>
      </c>
      <c r="E470" s="102" t="s">
        <v>1281</v>
      </c>
      <c r="F470" s="171" t="s">
        <v>1282</v>
      </c>
      <c r="G470" s="159" t="s">
        <v>1282</v>
      </c>
      <c r="H470" s="85" t="s">
        <v>6609</v>
      </c>
      <c r="I470" s="159" t="s">
        <v>1281</v>
      </c>
      <c r="J470" s="157" t="s">
        <v>1281</v>
      </c>
      <c r="K470" s="85" t="s">
        <v>90</v>
      </c>
      <c r="L470" s="85" t="s">
        <v>4343</v>
      </c>
      <c r="M470" s="87">
        <v>40063</v>
      </c>
      <c r="N470" s="85" t="s">
        <v>4307</v>
      </c>
      <c r="O470" s="85" t="s">
        <v>6610</v>
      </c>
      <c r="P470" s="99">
        <v>2</v>
      </c>
      <c r="Q470" s="99">
        <v>1</v>
      </c>
      <c r="R470" s="99">
        <v>0</v>
      </c>
      <c r="S470" s="99">
        <v>0</v>
      </c>
      <c r="T470" s="88">
        <f t="shared" si="7"/>
        <v>1</v>
      </c>
      <c r="U470" s="85" t="s">
        <v>6611</v>
      </c>
      <c r="V470" s="88" t="s">
        <v>4595</v>
      </c>
      <c r="W470" s="109" t="s">
        <v>6612</v>
      </c>
      <c r="X470" s="109" t="s">
        <v>4360</v>
      </c>
      <c r="Y470" s="109">
        <v>12</v>
      </c>
      <c r="Z470" s="109" t="s">
        <v>6613</v>
      </c>
      <c r="AA470" s="109" t="s">
        <v>5049</v>
      </c>
      <c r="AB470" s="109" t="s">
        <v>4395</v>
      </c>
      <c r="AC470" s="109">
        <v>40214</v>
      </c>
      <c r="AD470" s="85" t="s">
        <v>6614</v>
      </c>
      <c r="AE470" s="88" t="s">
        <v>4669</v>
      </c>
      <c r="AF470" s="88" t="s">
        <v>4334</v>
      </c>
      <c r="AG470" s="85" t="s">
        <v>6615</v>
      </c>
      <c r="AH470" s="85" t="s">
        <v>6616</v>
      </c>
      <c r="AI470" s="85" t="s">
        <v>4384</v>
      </c>
      <c r="AJ470" s="85" t="s">
        <v>4638</v>
      </c>
      <c r="AK470" s="85" t="s">
        <v>4337</v>
      </c>
      <c r="AL470" s="85" t="s">
        <v>4406</v>
      </c>
      <c r="AM470" s="85" t="s">
        <v>4372</v>
      </c>
      <c r="AN470" s="85" t="s">
        <v>6617</v>
      </c>
      <c r="AO470" s="85"/>
      <c r="AP470" s="88">
        <v>155</v>
      </c>
      <c r="AQ470" s="88">
        <v>45</v>
      </c>
      <c r="AR470" s="85" t="s">
        <v>4538</v>
      </c>
    </row>
    <row r="471" s="66" customFormat="1" spans="2:44">
      <c r="B471" s="91" t="s">
        <v>4354</v>
      </c>
      <c r="C471" s="92">
        <v>468</v>
      </c>
      <c r="D471" s="93">
        <v>252610091</v>
      </c>
      <c r="E471" s="175" t="s">
        <v>1086</v>
      </c>
      <c r="F471" s="95" t="s">
        <v>1087</v>
      </c>
      <c r="G471" s="161" t="s">
        <v>4225</v>
      </c>
      <c r="H471" s="97"/>
      <c r="I471" s="161" t="s">
        <v>1086</v>
      </c>
      <c r="J471" s="161" t="s">
        <v>1086</v>
      </c>
      <c r="K471" s="97"/>
      <c r="L471" s="97"/>
      <c r="M471" s="98"/>
      <c r="N471" s="97"/>
      <c r="O471" s="97"/>
      <c r="P471" s="99"/>
      <c r="Q471" s="96"/>
      <c r="R471" s="96"/>
      <c r="S471" s="96"/>
      <c r="T471" s="88">
        <f t="shared" si="7"/>
        <v>0</v>
      </c>
      <c r="U471" s="97"/>
      <c r="V471" s="100"/>
      <c r="W471" s="101"/>
      <c r="X471" s="101"/>
      <c r="Y471" s="101"/>
      <c r="Z471" s="101"/>
      <c r="AA471" s="101"/>
      <c r="AB471" s="101"/>
      <c r="AC471" s="101"/>
      <c r="AD471" s="97"/>
      <c r="AE471" s="100"/>
      <c r="AF471" s="100"/>
      <c r="AG471" s="97"/>
      <c r="AH471" s="97"/>
      <c r="AI471" s="97"/>
      <c r="AJ471" s="97"/>
      <c r="AK471" s="97"/>
      <c r="AL471" s="97"/>
      <c r="AM471" s="97"/>
      <c r="AN471" s="97"/>
      <c r="AO471" s="97"/>
      <c r="AP471" s="100"/>
      <c r="AQ471" s="100"/>
      <c r="AR471" s="97"/>
    </row>
    <row r="472" s="66" customFormat="1" spans="2:44">
      <c r="B472" s="91" t="s">
        <v>4324</v>
      </c>
      <c r="C472" s="92">
        <v>469</v>
      </c>
      <c r="D472" s="93">
        <v>252610136</v>
      </c>
      <c r="E472" s="94" t="s">
        <v>1564</v>
      </c>
      <c r="F472" s="95" t="s">
        <v>1565</v>
      </c>
      <c r="G472" s="160" t="s">
        <v>1565</v>
      </c>
      <c r="H472" s="97"/>
      <c r="I472" s="160" t="s">
        <v>1564</v>
      </c>
      <c r="J472" s="160" t="s">
        <v>1564</v>
      </c>
      <c r="K472" s="97"/>
      <c r="L472" s="97"/>
      <c r="M472" s="98"/>
      <c r="N472" s="97"/>
      <c r="O472" s="97"/>
      <c r="P472" s="88"/>
      <c r="Q472" s="96"/>
      <c r="R472" s="96"/>
      <c r="S472" s="96"/>
      <c r="T472" s="88">
        <f t="shared" si="7"/>
        <v>0</v>
      </c>
      <c r="U472" s="97"/>
      <c r="V472" s="100"/>
      <c r="W472" s="101"/>
      <c r="X472" s="101"/>
      <c r="Y472" s="101"/>
      <c r="Z472" s="101"/>
      <c r="AA472" s="101"/>
      <c r="AB472" s="101"/>
      <c r="AC472" s="101"/>
      <c r="AD472" s="97"/>
      <c r="AE472" s="100"/>
      <c r="AF472" s="100"/>
      <c r="AG472" s="97"/>
      <c r="AH472" s="97"/>
      <c r="AI472" s="97"/>
      <c r="AJ472" s="97"/>
      <c r="AK472" s="97"/>
      <c r="AL472" s="97"/>
      <c r="AM472" s="97"/>
      <c r="AN472" s="97"/>
      <c r="AO472" s="97"/>
      <c r="AP472" s="100"/>
      <c r="AQ472" s="100"/>
      <c r="AR472" s="97"/>
    </row>
    <row r="473" spans="2:44">
      <c r="B473" s="69" t="s">
        <v>4341</v>
      </c>
      <c r="C473" s="81">
        <v>470</v>
      </c>
      <c r="D473" s="82">
        <v>252610325</v>
      </c>
      <c r="E473" s="83" t="s">
        <v>1179</v>
      </c>
      <c r="F473" s="84" t="s">
        <v>1180</v>
      </c>
      <c r="G473" s="159" t="s">
        <v>1180</v>
      </c>
      <c r="H473" s="85" t="s">
        <v>6618</v>
      </c>
      <c r="I473" s="159" t="s">
        <v>1179</v>
      </c>
      <c r="J473" s="157" t="s">
        <v>1179</v>
      </c>
      <c r="K473" s="85" t="s">
        <v>89</v>
      </c>
      <c r="L473" s="85" t="s">
        <v>4343</v>
      </c>
      <c r="M473" s="87">
        <v>40102</v>
      </c>
      <c r="N473" s="85" t="s">
        <v>4328</v>
      </c>
      <c r="O473" s="85" t="s">
        <v>4619</v>
      </c>
      <c r="P473" s="99">
        <v>1</v>
      </c>
      <c r="Q473" s="99">
        <v>3</v>
      </c>
      <c r="R473" s="99">
        <v>0</v>
      </c>
      <c r="S473" s="99">
        <v>0</v>
      </c>
      <c r="T473" s="88">
        <f t="shared" si="7"/>
        <v>3</v>
      </c>
      <c r="U473" s="85" t="s">
        <v>4558</v>
      </c>
      <c r="V473" s="88">
        <v>0</v>
      </c>
      <c r="W473" s="109" t="s">
        <v>6619</v>
      </c>
      <c r="X473" s="109" t="s">
        <v>4544</v>
      </c>
      <c r="Y473" s="109" t="s">
        <v>4756</v>
      </c>
      <c r="Z473" s="109" t="s">
        <v>6620</v>
      </c>
      <c r="AA473" s="109" t="s">
        <v>4645</v>
      </c>
      <c r="AB473" s="109" t="s">
        <v>4420</v>
      </c>
      <c r="AC473" s="109">
        <v>40216</v>
      </c>
      <c r="AD473" s="85" t="s">
        <v>6621</v>
      </c>
      <c r="AE473" s="88" t="s">
        <v>4422</v>
      </c>
      <c r="AF473" s="88">
        <v>5</v>
      </c>
      <c r="AG473" s="85" t="s">
        <v>6622</v>
      </c>
      <c r="AH473" s="85" t="s">
        <v>6623</v>
      </c>
      <c r="AI473" s="85" t="s">
        <v>4318</v>
      </c>
      <c r="AJ473" s="85" t="s">
        <v>4384</v>
      </c>
      <c r="AK473" s="85" t="s">
        <v>4337</v>
      </c>
      <c r="AL473" s="90"/>
      <c r="AM473" s="85" t="s">
        <v>4372</v>
      </c>
      <c r="AN473" s="85" t="s">
        <v>4427</v>
      </c>
      <c r="AO473" s="90"/>
      <c r="AP473" s="88">
        <v>164</v>
      </c>
      <c r="AQ473" s="88">
        <v>43</v>
      </c>
      <c r="AR473" s="85" t="s">
        <v>4322</v>
      </c>
    </row>
    <row r="474" s="66" customFormat="1" spans="2:44">
      <c r="B474" s="91" t="s">
        <v>4324</v>
      </c>
      <c r="C474" s="92">
        <v>471</v>
      </c>
      <c r="D474" s="93">
        <v>252610137</v>
      </c>
      <c r="E474" s="175" t="s">
        <v>1463</v>
      </c>
      <c r="F474" s="95" t="s">
        <v>1464</v>
      </c>
      <c r="G474" s="160" t="s">
        <v>4226</v>
      </c>
      <c r="H474" s="97"/>
      <c r="I474" s="160" t="s">
        <v>1463</v>
      </c>
      <c r="J474" s="160" t="s">
        <v>1463</v>
      </c>
      <c r="K474" s="97"/>
      <c r="L474" s="97"/>
      <c r="M474" s="98"/>
      <c r="N474" s="97"/>
      <c r="O474" s="97"/>
      <c r="P474" s="88"/>
      <c r="Q474" s="96"/>
      <c r="R474" s="96"/>
      <c r="S474" s="96"/>
      <c r="T474" s="88">
        <f t="shared" si="7"/>
        <v>0</v>
      </c>
      <c r="U474" s="97"/>
      <c r="V474" s="100"/>
      <c r="W474" s="101"/>
      <c r="X474" s="101"/>
      <c r="Y474" s="101"/>
      <c r="Z474" s="101"/>
      <c r="AA474" s="101"/>
      <c r="AB474" s="101"/>
      <c r="AC474" s="101"/>
      <c r="AD474" s="97"/>
      <c r="AE474" s="100"/>
      <c r="AF474" s="100"/>
      <c r="AG474" s="97"/>
      <c r="AH474" s="97"/>
      <c r="AI474" s="97"/>
      <c r="AJ474" s="97"/>
      <c r="AK474" s="97"/>
      <c r="AL474" s="97"/>
      <c r="AM474" s="97"/>
      <c r="AN474" s="97"/>
      <c r="AO474" s="97"/>
      <c r="AP474" s="100"/>
      <c r="AQ474" s="100"/>
      <c r="AR474" s="97"/>
    </row>
    <row r="475" s="66" customFormat="1" spans="2:44">
      <c r="B475" s="91" t="s">
        <v>4355</v>
      </c>
      <c r="C475" s="92">
        <v>472</v>
      </c>
      <c r="D475" s="93">
        <v>252610186</v>
      </c>
      <c r="E475" s="175" t="s">
        <v>1656</v>
      </c>
      <c r="F475" s="95" t="s">
        <v>1657</v>
      </c>
      <c r="G475" s="161" t="s">
        <v>1657</v>
      </c>
      <c r="H475" s="97"/>
      <c r="I475" s="161" t="s">
        <v>1656</v>
      </c>
      <c r="J475" s="161" t="s">
        <v>1656</v>
      </c>
      <c r="K475" s="97"/>
      <c r="L475" s="97"/>
      <c r="M475" s="98"/>
      <c r="N475" s="97"/>
      <c r="O475" s="97"/>
      <c r="P475" s="99"/>
      <c r="Q475" s="96"/>
      <c r="R475" s="96"/>
      <c r="S475" s="96"/>
      <c r="T475" s="88">
        <f t="shared" si="7"/>
        <v>0</v>
      </c>
      <c r="U475" s="97"/>
      <c r="V475" s="100"/>
      <c r="W475" s="101"/>
      <c r="X475" s="101"/>
      <c r="Y475" s="101"/>
      <c r="Z475" s="101"/>
      <c r="AA475" s="101"/>
      <c r="AB475" s="101"/>
      <c r="AC475" s="101"/>
      <c r="AD475" s="97"/>
      <c r="AE475" s="100"/>
      <c r="AF475" s="100"/>
      <c r="AG475" s="97"/>
      <c r="AH475" s="97"/>
      <c r="AI475" s="97"/>
      <c r="AJ475" s="97"/>
      <c r="AK475" s="97"/>
      <c r="AL475" s="97"/>
      <c r="AM475" s="97"/>
      <c r="AN475" s="97"/>
      <c r="AO475" s="97"/>
      <c r="AP475" s="100"/>
      <c r="AQ475" s="100"/>
      <c r="AR475" s="97"/>
    </row>
    <row r="476" s="66" customFormat="1" spans="2:44">
      <c r="B476" s="91" t="s">
        <v>4324</v>
      </c>
      <c r="C476" s="92">
        <v>473</v>
      </c>
      <c r="D476" s="93">
        <v>252610138</v>
      </c>
      <c r="E476" s="175" t="s">
        <v>2052</v>
      </c>
      <c r="F476" s="95" t="s">
        <v>2053</v>
      </c>
      <c r="G476" s="160" t="s">
        <v>4227</v>
      </c>
      <c r="H476" s="97"/>
      <c r="I476" s="160" t="s">
        <v>2052</v>
      </c>
      <c r="J476" s="160" t="s">
        <v>2052</v>
      </c>
      <c r="K476" s="97"/>
      <c r="L476" s="97"/>
      <c r="M476" s="98"/>
      <c r="N476" s="97"/>
      <c r="O476" s="97"/>
      <c r="P476" s="88"/>
      <c r="Q476" s="96"/>
      <c r="R476" s="96"/>
      <c r="S476" s="96"/>
      <c r="T476" s="88">
        <f t="shared" si="7"/>
        <v>0</v>
      </c>
      <c r="U476" s="97"/>
      <c r="V476" s="100"/>
      <c r="W476" s="101"/>
      <c r="X476" s="101"/>
      <c r="Y476" s="101"/>
      <c r="Z476" s="101"/>
      <c r="AA476" s="101"/>
      <c r="AB476" s="101"/>
      <c r="AC476" s="101"/>
      <c r="AD476" s="97"/>
      <c r="AE476" s="100"/>
      <c r="AF476" s="100"/>
      <c r="AG476" s="97"/>
      <c r="AH476" s="97"/>
      <c r="AI476" s="97"/>
      <c r="AJ476" s="97"/>
      <c r="AK476" s="97"/>
      <c r="AL476" s="97"/>
      <c r="AM476" s="97"/>
      <c r="AN476" s="97"/>
      <c r="AO476" s="97"/>
      <c r="AP476" s="100"/>
      <c r="AQ476" s="100"/>
      <c r="AR476" s="97"/>
    </row>
    <row r="477" spans="2:44">
      <c r="B477" s="69" t="s">
        <v>4355</v>
      </c>
      <c r="C477" s="81">
        <v>474</v>
      </c>
      <c r="D477" s="82">
        <v>252610187</v>
      </c>
      <c r="E477" s="176" t="s">
        <v>2054</v>
      </c>
      <c r="F477" s="84" t="s">
        <v>2055</v>
      </c>
      <c r="G477" s="159" t="s">
        <v>2055</v>
      </c>
      <c r="H477" s="85" t="s">
        <v>6624</v>
      </c>
      <c r="I477" s="159" t="s">
        <v>2054</v>
      </c>
      <c r="J477" s="157" t="s">
        <v>2054</v>
      </c>
      <c r="K477" s="85" t="s">
        <v>90</v>
      </c>
      <c r="L477" s="85" t="s">
        <v>4343</v>
      </c>
      <c r="M477" s="87">
        <v>40096</v>
      </c>
      <c r="N477" s="85" t="s">
        <v>4328</v>
      </c>
      <c r="O477" s="85" t="s">
        <v>4489</v>
      </c>
      <c r="P477" s="99">
        <v>3</v>
      </c>
      <c r="Q477" s="99">
        <v>3</v>
      </c>
      <c r="R477" s="99">
        <v>0</v>
      </c>
      <c r="S477" s="99">
        <v>0</v>
      </c>
      <c r="T477" s="88">
        <f t="shared" si="7"/>
        <v>3</v>
      </c>
      <c r="U477" s="85" t="s">
        <v>6625</v>
      </c>
      <c r="V477" s="88" t="s">
        <v>4358</v>
      </c>
      <c r="W477" s="109" t="s">
        <v>6626</v>
      </c>
      <c r="X477" s="109" t="s">
        <v>4544</v>
      </c>
      <c r="Y477" s="109" t="s">
        <v>4714</v>
      </c>
      <c r="Z477" s="109" t="s">
        <v>5068</v>
      </c>
      <c r="AA477" s="109" t="s">
        <v>5068</v>
      </c>
      <c r="AB477" s="109" t="s">
        <v>4562</v>
      </c>
      <c r="AC477" s="109">
        <v>40213</v>
      </c>
      <c r="AD477" s="85" t="s">
        <v>6627</v>
      </c>
      <c r="AE477" s="88" t="s">
        <v>4481</v>
      </c>
      <c r="AF477" s="113">
        <v>2277</v>
      </c>
      <c r="AG477" s="85" t="s">
        <v>6628</v>
      </c>
      <c r="AH477" s="85" t="s">
        <v>6629</v>
      </c>
      <c r="AI477" s="85" t="s">
        <v>4456</v>
      </c>
      <c r="AJ477" s="85" t="s">
        <v>4318</v>
      </c>
      <c r="AK477" s="85" t="s">
        <v>4441</v>
      </c>
      <c r="AL477" s="90"/>
      <c r="AM477" s="85" t="s">
        <v>4319</v>
      </c>
      <c r="AN477" s="85" t="s">
        <v>6630</v>
      </c>
      <c r="AO477" s="90"/>
      <c r="AP477" s="88">
        <v>155</v>
      </c>
      <c r="AQ477" s="88">
        <v>45</v>
      </c>
      <c r="AR477" s="85" t="s">
        <v>4415</v>
      </c>
    </row>
    <row r="478" s="66" customFormat="1" spans="2:44">
      <c r="B478" s="91" t="s">
        <v>4674</v>
      </c>
      <c r="C478" s="92">
        <v>475</v>
      </c>
      <c r="D478" s="93">
        <v>252610420</v>
      </c>
      <c r="E478" s="94" t="s">
        <v>1363</v>
      </c>
      <c r="F478" s="95" t="s">
        <v>1364</v>
      </c>
      <c r="G478" s="160" t="s">
        <v>1364</v>
      </c>
      <c r="H478" s="97"/>
      <c r="I478" s="160" t="s">
        <v>1363</v>
      </c>
      <c r="J478" s="160" t="s">
        <v>1363</v>
      </c>
      <c r="K478" s="97"/>
      <c r="L478" s="97"/>
      <c r="M478" s="98"/>
      <c r="N478" s="97"/>
      <c r="O478" s="97"/>
      <c r="P478" s="88"/>
      <c r="Q478" s="96"/>
      <c r="R478" s="96"/>
      <c r="S478" s="96"/>
      <c r="T478" s="88">
        <f t="shared" si="7"/>
        <v>0</v>
      </c>
      <c r="U478" s="97"/>
      <c r="V478" s="100"/>
      <c r="W478" s="101"/>
      <c r="X478" s="101"/>
      <c r="Y478" s="101"/>
      <c r="Z478" s="101"/>
      <c r="AA478" s="101"/>
      <c r="AB478" s="101"/>
      <c r="AC478" s="101"/>
      <c r="AD478" s="97"/>
      <c r="AE478" s="100"/>
      <c r="AF478" s="100"/>
      <c r="AG478" s="97"/>
      <c r="AH478" s="97"/>
      <c r="AI478" s="97"/>
      <c r="AJ478" s="97"/>
      <c r="AK478" s="97"/>
      <c r="AL478" s="97"/>
      <c r="AM478" s="97"/>
      <c r="AN478" s="97"/>
      <c r="AO478" s="97"/>
      <c r="AP478" s="100"/>
      <c r="AQ478" s="100"/>
      <c r="AR478" s="97"/>
    </row>
    <row r="479" spans="2:44">
      <c r="B479" s="69" t="s">
        <v>4386</v>
      </c>
      <c r="C479" s="81">
        <v>476</v>
      </c>
      <c r="D479" s="82">
        <v>252610374</v>
      </c>
      <c r="E479" s="83" t="s">
        <v>1751</v>
      </c>
      <c r="F479" s="84" t="s">
        <v>1752</v>
      </c>
      <c r="G479" s="159" t="s">
        <v>1752</v>
      </c>
      <c r="H479" s="85" t="s">
        <v>6046</v>
      </c>
      <c r="I479" s="159" t="s">
        <v>1751</v>
      </c>
      <c r="J479" s="157" t="s">
        <v>1751</v>
      </c>
      <c r="K479" s="85" t="s">
        <v>89</v>
      </c>
      <c r="L479" s="85" t="s">
        <v>4343</v>
      </c>
      <c r="M479" s="87">
        <v>40406</v>
      </c>
      <c r="N479" s="85" t="s">
        <v>4541</v>
      </c>
      <c r="O479" s="85" t="s">
        <v>4344</v>
      </c>
      <c r="P479" s="99">
        <v>2</v>
      </c>
      <c r="Q479" s="99">
        <v>3</v>
      </c>
      <c r="R479" s="99">
        <v>0</v>
      </c>
      <c r="S479" s="99">
        <v>0</v>
      </c>
      <c r="T479" s="88">
        <f t="shared" si="7"/>
        <v>3</v>
      </c>
      <c r="U479" s="85" t="s">
        <v>4462</v>
      </c>
      <c r="V479" s="88">
        <v>0</v>
      </c>
      <c r="W479" s="109" t="s">
        <v>6631</v>
      </c>
      <c r="X479" s="109" t="s">
        <v>4606</v>
      </c>
      <c r="Y479" s="109" t="s">
        <v>4391</v>
      </c>
      <c r="Z479" s="109" t="s">
        <v>4826</v>
      </c>
      <c r="AA479" s="109" t="s">
        <v>4826</v>
      </c>
      <c r="AB479" s="109" t="s">
        <v>4562</v>
      </c>
      <c r="AC479" s="109">
        <v>40214</v>
      </c>
      <c r="AD479" s="85" t="s">
        <v>6632</v>
      </c>
      <c r="AE479" s="88" t="s">
        <v>4422</v>
      </c>
      <c r="AF479" s="88" t="s">
        <v>6633</v>
      </c>
      <c r="AG479" s="85" t="s">
        <v>6634</v>
      </c>
      <c r="AH479" s="85" t="s">
        <v>6635</v>
      </c>
      <c r="AI479" s="85" t="s">
        <v>4318</v>
      </c>
      <c r="AJ479" s="85" t="s">
        <v>4318</v>
      </c>
      <c r="AK479" s="85" t="s">
        <v>4320</v>
      </c>
      <c r="AL479" s="90"/>
      <c r="AM479" s="85" t="s">
        <v>4372</v>
      </c>
      <c r="AN479" s="85" t="s">
        <v>6636</v>
      </c>
      <c r="AO479" s="90"/>
      <c r="AP479" s="88">
        <v>155</v>
      </c>
      <c r="AQ479" s="88">
        <v>58</v>
      </c>
      <c r="AR479" s="85" t="s">
        <v>4322</v>
      </c>
    </row>
    <row r="480" s="66" customFormat="1" spans="2:44">
      <c r="B480" s="91" t="s">
        <v>4304</v>
      </c>
      <c r="C480" s="92">
        <v>477</v>
      </c>
      <c r="D480" s="93">
        <v>252610471</v>
      </c>
      <c r="E480" s="94" t="s">
        <v>1949</v>
      </c>
      <c r="F480" s="95" t="s">
        <v>1950</v>
      </c>
      <c r="G480" s="160" t="s">
        <v>1950</v>
      </c>
      <c r="H480" s="97"/>
      <c r="I480" s="160" t="s">
        <v>1949</v>
      </c>
      <c r="J480" s="160" t="s">
        <v>1949</v>
      </c>
      <c r="K480" s="97"/>
      <c r="L480" s="97"/>
      <c r="M480" s="98"/>
      <c r="N480" s="97"/>
      <c r="O480" s="97"/>
      <c r="P480" s="88"/>
      <c r="Q480" s="96"/>
      <c r="R480" s="96"/>
      <c r="S480" s="96"/>
      <c r="T480" s="88">
        <f t="shared" si="7"/>
        <v>0</v>
      </c>
      <c r="U480" s="97"/>
      <c r="V480" s="100"/>
      <c r="W480" s="101"/>
      <c r="X480" s="101"/>
      <c r="Y480" s="101"/>
      <c r="Z480" s="101"/>
      <c r="AA480" s="101"/>
      <c r="AB480" s="101"/>
      <c r="AC480" s="101"/>
      <c r="AD480" s="97"/>
      <c r="AE480" s="100"/>
      <c r="AF480" s="100"/>
      <c r="AG480" s="97"/>
      <c r="AH480" s="97"/>
      <c r="AI480" s="97"/>
      <c r="AJ480" s="97"/>
      <c r="AK480" s="97"/>
      <c r="AL480" s="97"/>
      <c r="AM480" s="97"/>
      <c r="AN480" s="97"/>
      <c r="AO480" s="97"/>
      <c r="AP480" s="100"/>
      <c r="AQ480" s="100"/>
      <c r="AR480" s="97"/>
    </row>
    <row r="481" spans="2:44">
      <c r="B481" s="69" t="s">
        <v>4373</v>
      </c>
      <c r="C481" s="81">
        <v>478</v>
      </c>
      <c r="D481" s="82">
        <v>252610519</v>
      </c>
      <c r="E481" s="83" t="s">
        <v>1566</v>
      </c>
      <c r="F481" s="84" t="s">
        <v>1567</v>
      </c>
      <c r="G481" s="159" t="s">
        <v>4228</v>
      </c>
      <c r="H481" s="85" t="s">
        <v>6637</v>
      </c>
      <c r="I481" s="159" t="s">
        <v>1566</v>
      </c>
      <c r="J481" s="157" t="s">
        <v>1566</v>
      </c>
      <c r="K481" s="85" t="s">
        <v>89</v>
      </c>
      <c r="L481" s="85" t="s">
        <v>6638</v>
      </c>
      <c r="M481" s="87">
        <v>40485</v>
      </c>
      <c r="N481" s="85" t="s">
        <v>4541</v>
      </c>
      <c r="O481" s="85" t="s">
        <v>4344</v>
      </c>
      <c r="P481" s="99">
        <v>7</v>
      </c>
      <c r="Q481" s="99">
        <v>6</v>
      </c>
      <c r="R481" s="99">
        <v>0</v>
      </c>
      <c r="S481" s="99">
        <v>0</v>
      </c>
      <c r="T481" s="88">
        <f t="shared" si="7"/>
        <v>6</v>
      </c>
      <c r="U481" s="85" t="s">
        <v>5147</v>
      </c>
      <c r="V481" s="88">
        <v>0</v>
      </c>
      <c r="W481" s="109" t="s">
        <v>6639</v>
      </c>
      <c r="X481" s="109" t="s">
        <v>4431</v>
      </c>
      <c r="Y481" s="109" t="s">
        <v>4544</v>
      </c>
      <c r="Z481" s="109" t="s">
        <v>6640</v>
      </c>
      <c r="AA481" s="109" t="s">
        <v>6641</v>
      </c>
      <c r="AB481" s="109" t="s">
        <v>4608</v>
      </c>
      <c r="AC481" s="109">
        <v>40212</v>
      </c>
      <c r="AD481" s="85">
        <v>88218626890</v>
      </c>
      <c r="AE481" s="88" t="s">
        <v>4549</v>
      </c>
      <c r="AF481" s="88" t="s">
        <v>4482</v>
      </c>
      <c r="AG481" s="85" t="s">
        <v>6642</v>
      </c>
      <c r="AH481" s="85" t="s">
        <v>6643</v>
      </c>
      <c r="AI481" s="85" t="s">
        <v>5008</v>
      </c>
      <c r="AJ481" s="85" t="s">
        <v>5008</v>
      </c>
      <c r="AK481" s="85" t="s">
        <v>4337</v>
      </c>
      <c r="AL481" s="90"/>
      <c r="AM481" s="85" t="s">
        <v>4337</v>
      </c>
      <c r="AN481" s="85" t="s">
        <v>6644</v>
      </c>
      <c r="AO481" s="85" t="s">
        <v>6645</v>
      </c>
      <c r="AP481" s="88">
        <v>170</v>
      </c>
      <c r="AQ481" s="88">
        <v>50</v>
      </c>
      <c r="AR481" s="85" t="s">
        <v>4415</v>
      </c>
    </row>
    <row r="482" spans="2:44">
      <c r="B482" s="69" t="s">
        <v>4324</v>
      </c>
      <c r="C482" s="81">
        <v>479</v>
      </c>
      <c r="D482" s="82">
        <v>252610139</v>
      </c>
      <c r="E482" s="176" t="s">
        <v>1568</v>
      </c>
      <c r="F482" s="84" t="s">
        <v>1569</v>
      </c>
      <c r="G482" s="159" t="s">
        <v>1569</v>
      </c>
      <c r="H482" s="85" t="s">
        <v>6646</v>
      </c>
      <c r="I482" s="159" t="s">
        <v>1568</v>
      </c>
      <c r="J482" s="157" t="s">
        <v>1568</v>
      </c>
      <c r="K482" s="85" t="s">
        <v>90</v>
      </c>
      <c r="L482" s="85" t="s">
        <v>4357</v>
      </c>
      <c r="M482" s="87">
        <v>40121</v>
      </c>
      <c r="N482" s="85" t="s">
        <v>4307</v>
      </c>
      <c r="O482" s="85" t="s">
        <v>4344</v>
      </c>
      <c r="P482" s="99">
        <v>2</v>
      </c>
      <c r="Q482" s="99">
        <v>2</v>
      </c>
      <c r="R482" s="99">
        <v>0</v>
      </c>
      <c r="S482" s="99">
        <v>0</v>
      </c>
      <c r="T482" s="88">
        <f t="shared" si="7"/>
        <v>2</v>
      </c>
      <c r="U482" s="85" t="s">
        <v>4344</v>
      </c>
      <c r="V482" s="88" t="s">
        <v>4310</v>
      </c>
      <c r="W482" s="109" t="s">
        <v>6647</v>
      </c>
      <c r="X482" s="109" t="s">
        <v>4492</v>
      </c>
      <c r="Y482" s="109">
        <v>27</v>
      </c>
      <c r="Z482" s="109" t="s">
        <v>5929</v>
      </c>
      <c r="AA482" s="109" t="s">
        <v>4494</v>
      </c>
      <c r="AB482" s="109" t="s">
        <v>4451</v>
      </c>
      <c r="AC482" s="109">
        <v>40534</v>
      </c>
      <c r="AD482" s="85" t="s">
        <v>6648</v>
      </c>
      <c r="AE482" s="88" t="s">
        <v>4406</v>
      </c>
      <c r="AF482" s="88" t="s">
        <v>4502</v>
      </c>
      <c r="AG482" s="85" t="s">
        <v>6649</v>
      </c>
      <c r="AH482" s="85" t="s">
        <v>6650</v>
      </c>
      <c r="AI482" s="85" t="s">
        <v>6651</v>
      </c>
      <c r="AJ482" s="85" t="s">
        <v>4699</v>
      </c>
      <c r="AK482" s="85" t="s">
        <v>4372</v>
      </c>
      <c r="AL482" s="85" t="s">
        <v>4406</v>
      </c>
      <c r="AM482" s="85" t="s">
        <v>4372</v>
      </c>
      <c r="AN482" s="85" t="s">
        <v>3124</v>
      </c>
      <c r="AO482" s="85" t="s">
        <v>6652</v>
      </c>
      <c r="AP482" s="88">
        <v>155</v>
      </c>
      <c r="AQ482" s="88">
        <v>50</v>
      </c>
      <c r="AR482" s="85" t="s">
        <v>4428</v>
      </c>
    </row>
    <row r="483" spans="2:44">
      <c r="B483" s="69" t="s">
        <v>4354</v>
      </c>
      <c r="C483" s="81">
        <v>480</v>
      </c>
      <c r="D483" s="121">
        <v>252610092</v>
      </c>
      <c r="E483" s="176" t="s">
        <v>1855</v>
      </c>
      <c r="F483" s="84" t="s">
        <v>1856</v>
      </c>
      <c r="G483" s="165" t="s">
        <v>1856</v>
      </c>
      <c r="H483" s="104" t="s">
        <v>6653</v>
      </c>
      <c r="I483" s="165" t="s">
        <v>1855</v>
      </c>
      <c r="J483" s="163" t="s">
        <v>1855</v>
      </c>
      <c r="K483" s="104" t="s">
        <v>89</v>
      </c>
      <c r="L483" s="104" t="s">
        <v>4629</v>
      </c>
      <c r="M483" s="105">
        <v>40269</v>
      </c>
      <c r="N483" s="104" t="s">
        <v>4307</v>
      </c>
      <c r="O483" s="104" t="s">
        <v>4344</v>
      </c>
      <c r="P483" s="88">
        <v>3</v>
      </c>
      <c r="Q483" s="88">
        <v>2</v>
      </c>
      <c r="R483" s="88">
        <v>0</v>
      </c>
      <c r="S483" s="88">
        <v>0</v>
      </c>
      <c r="T483" s="88">
        <f t="shared" si="7"/>
        <v>2</v>
      </c>
      <c r="U483" s="104" t="s">
        <v>6611</v>
      </c>
      <c r="V483" s="99">
        <v>0</v>
      </c>
      <c r="W483" s="108" t="s">
        <v>6654</v>
      </c>
      <c r="X483" s="108" t="s">
        <v>4360</v>
      </c>
      <c r="Y483" s="108">
        <v>27</v>
      </c>
      <c r="Z483" s="114"/>
      <c r="AA483" s="108" t="s">
        <v>4573</v>
      </c>
      <c r="AB483" s="108" t="s">
        <v>4378</v>
      </c>
      <c r="AC483" s="108">
        <v>40535</v>
      </c>
      <c r="AD483" s="104" t="s">
        <v>6655</v>
      </c>
      <c r="AE483" s="99" t="s">
        <v>4436</v>
      </c>
      <c r="AF483" s="99" t="s">
        <v>5035</v>
      </c>
      <c r="AG483" s="104" t="s">
        <v>6656</v>
      </c>
      <c r="AH483" s="104" t="s">
        <v>6657</v>
      </c>
      <c r="AI483" s="104" t="s">
        <v>4370</v>
      </c>
      <c r="AJ483" s="104" t="s">
        <v>4370</v>
      </c>
      <c r="AK483" s="104" t="s">
        <v>4337</v>
      </c>
      <c r="AL483" s="106"/>
      <c r="AM483" s="104" t="s">
        <v>4372</v>
      </c>
      <c r="AN483" s="104" t="s">
        <v>6658</v>
      </c>
      <c r="AO483" s="106"/>
      <c r="AP483" s="99">
        <v>165</v>
      </c>
      <c r="AQ483" s="99">
        <v>52</v>
      </c>
      <c r="AR483" s="104" t="s">
        <v>4443</v>
      </c>
    </row>
    <row r="484" s="66" customFormat="1" spans="2:44">
      <c r="B484" s="91" t="s">
        <v>4568</v>
      </c>
      <c r="C484" s="92">
        <v>481</v>
      </c>
      <c r="D484" s="93">
        <v>252610232</v>
      </c>
      <c r="E484" s="94" t="s">
        <v>1465</v>
      </c>
      <c r="F484" s="95" t="s">
        <v>1466</v>
      </c>
      <c r="G484" s="161" t="s">
        <v>1466</v>
      </c>
      <c r="H484" s="97"/>
      <c r="I484" s="161" t="s">
        <v>1465</v>
      </c>
      <c r="J484" s="161" t="s">
        <v>1465</v>
      </c>
      <c r="K484" s="97"/>
      <c r="L484" s="97"/>
      <c r="M484" s="98"/>
      <c r="N484" s="97"/>
      <c r="O484" s="97"/>
      <c r="P484" s="88"/>
      <c r="Q484" s="96"/>
      <c r="R484" s="96"/>
      <c r="S484" s="96"/>
      <c r="T484" s="88">
        <f t="shared" si="7"/>
        <v>0</v>
      </c>
      <c r="U484" s="97"/>
      <c r="V484" s="100"/>
      <c r="W484" s="101"/>
      <c r="X484" s="101"/>
      <c r="Y484" s="101"/>
      <c r="Z484" s="101"/>
      <c r="AA484" s="101"/>
      <c r="AB484" s="101"/>
      <c r="AC484" s="101"/>
      <c r="AD484" s="97"/>
      <c r="AE484" s="100"/>
      <c r="AF484" s="100"/>
      <c r="AG484" s="97"/>
      <c r="AH484" s="97"/>
      <c r="AI484" s="97"/>
      <c r="AJ484" s="97"/>
      <c r="AK484" s="97"/>
      <c r="AL484" s="97"/>
      <c r="AM484" s="97"/>
      <c r="AN484" s="97"/>
      <c r="AO484" s="97"/>
      <c r="AP484" s="100"/>
      <c r="AQ484" s="100"/>
      <c r="AR484" s="97"/>
    </row>
    <row r="485" s="66" customFormat="1" spans="2:44">
      <c r="B485" s="91" t="s">
        <v>4568</v>
      </c>
      <c r="C485" s="92">
        <v>482</v>
      </c>
      <c r="D485" s="93">
        <v>252610233</v>
      </c>
      <c r="E485" s="175" t="s">
        <v>4231</v>
      </c>
      <c r="F485" s="95" t="s">
        <v>4229</v>
      </c>
      <c r="G485" s="160" t="s">
        <v>4230</v>
      </c>
      <c r="H485" s="97"/>
      <c r="I485" s="160" t="s">
        <v>4231</v>
      </c>
      <c r="J485" s="160" t="s">
        <v>4231</v>
      </c>
      <c r="K485" s="97"/>
      <c r="L485" s="97"/>
      <c r="M485" s="98"/>
      <c r="N485" s="97"/>
      <c r="O485" s="97"/>
      <c r="P485" s="99"/>
      <c r="Q485" s="96"/>
      <c r="R485" s="96"/>
      <c r="S485" s="96"/>
      <c r="T485" s="88">
        <f t="shared" si="7"/>
        <v>0</v>
      </c>
      <c r="U485" s="97"/>
      <c r="V485" s="100"/>
      <c r="W485" s="101"/>
      <c r="X485" s="101"/>
      <c r="Y485" s="101"/>
      <c r="Z485" s="101"/>
      <c r="AA485" s="101"/>
      <c r="AB485" s="101"/>
      <c r="AC485" s="101"/>
      <c r="AD485" s="97"/>
      <c r="AE485" s="100"/>
      <c r="AF485" s="100"/>
      <c r="AG485" s="97"/>
      <c r="AH485" s="97"/>
      <c r="AI485" s="97"/>
      <c r="AJ485" s="97"/>
      <c r="AK485" s="97"/>
      <c r="AL485" s="97"/>
      <c r="AM485" s="97"/>
      <c r="AN485" s="97"/>
      <c r="AO485" s="97"/>
      <c r="AP485" s="100"/>
      <c r="AQ485" s="100"/>
      <c r="AR485" s="97"/>
    </row>
    <row r="486" ht="26.25" spans="2:44">
      <c r="B486" s="69" t="s">
        <v>4323</v>
      </c>
      <c r="C486" s="81">
        <v>483</v>
      </c>
      <c r="D486" s="82">
        <v>252610280</v>
      </c>
      <c r="E486" s="83" t="s">
        <v>1753</v>
      </c>
      <c r="F486" s="84" t="s">
        <v>1754</v>
      </c>
      <c r="G486" s="159" t="s">
        <v>1754</v>
      </c>
      <c r="H486" s="85" t="s">
        <v>6659</v>
      </c>
      <c r="I486" s="159" t="s">
        <v>1753</v>
      </c>
      <c r="J486" s="157" t="s">
        <v>1753</v>
      </c>
      <c r="K486" s="85" t="s">
        <v>90</v>
      </c>
      <c r="L486" s="85" t="s">
        <v>4343</v>
      </c>
      <c r="M486" s="87">
        <v>40044</v>
      </c>
      <c r="N486" s="85" t="s">
        <v>4460</v>
      </c>
      <c r="O486" s="85" t="s">
        <v>4489</v>
      </c>
      <c r="P486" s="99">
        <v>1</v>
      </c>
      <c r="Q486" s="99">
        <v>1</v>
      </c>
      <c r="R486" s="99">
        <v>0</v>
      </c>
      <c r="S486" s="99">
        <v>0</v>
      </c>
      <c r="T486" s="88">
        <f t="shared" si="7"/>
        <v>1</v>
      </c>
      <c r="U486" s="85" t="s">
        <v>5575</v>
      </c>
      <c r="V486" s="88" t="s">
        <v>4310</v>
      </c>
      <c r="W486" s="109" t="s">
        <v>6341</v>
      </c>
      <c r="X486" s="109" t="s">
        <v>4703</v>
      </c>
      <c r="Y486" s="109" t="s">
        <v>4431</v>
      </c>
      <c r="Z486" s="109" t="s">
        <v>4494</v>
      </c>
      <c r="AA486" s="109" t="s">
        <v>4494</v>
      </c>
      <c r="AB486" s="177" t="s">
        <v>6660</v>
      </c>
      <c r="AC486" s="109">
        <v>40534</v>
      </c>
      <c r="AD486" s="85" t="s">
        <v>6661</v>
      </c>
      <c r="AE486" s="88" t="s">
        <v>4496</v>
      </c>
      <c r="AF486" s="88" t="s">
        <v>4750</v>
      </c>
      <c r="AG486" s="85" t="s">
        <v>6662</v>
      </c>
      <c r="AH486" s="85" t="s">
        <v>6663</v>
      </c>
      <c r="AI486" s="85" t="s">
        <v>4318</v>
      </c>
      <c r="AJ486" s="85" t="s">
        <v>4318</v>
      </c>
      <c r="AK486" s="85" t="s">
        <v>4337</v>
      </c>
      <c r="AL486" s="90"/>
      <c r="AM486" s="85" t="s">
        <v>4372</v>
      </c>
      <c r="AN486" s="85" t="s">
        <v>4846</v>
      </c>
      <c r="AO486" s="85" t="s">
        <v>6664</v>
      </c>
      <c r="AP486" s="88">
        <v>160</v>
      </c>
      <c r="AQ486" s="88">
        <v>50</v>
      </c>
      <c r="AR486" s="85" t="s">
        <v>4415</v>
      </c>
    </row>
    <row r="487" s="66" customFormat="1" spans="2:44">
      <c r="B487" s="91" t="s">
        <v>4341</v>
      </c>
      <c r="C487" s="92">
        <v>484</v>
      </c>
      <c r="D487" s="93">
        <v>252610326</v>
      </c>
      <c r="E487" s="94" t="s">
        <v>1283</v>
      </c>
      <c r="F487" s="95" t="s">
        <v>1284</v>
      </c>
      <c r="G487" s="161" t="s">
        <v>1284</v>
      </c>
      <c r="H487" s="97"/>
      <c r="I487" s="161" t="s">
        <v>1283</v>
      </c>
      <c r="J487" s="161" t="s">
        <v>1283</v>
      </c>
      <c r="K487" s="97"/>
      <c r="L487" s="97"/>
      <c r="M487" s="98"/>
      <c r="N487" s="97"/>
      <c r="O487" s="97"/>
      <c r="P487" s="99"/>
      <c r="Q487" s="96"/>
      <c r="R487" s="96"/>
      <c r="S487" s="96"/>
      <c r="T487" s="88">
        <f t="shared" si="7"/>
        <v>0</v>
      </c>
      <c r="U487" s="97"/>
      <c r="V487" s="100"/>
      <c r="W487" s="101"/>
      <c r="X487" s="101"/>
      <c r="Y487" s="101"/>
      <c r="Z487" s="101"/>
      <c r="AA487" s="101"/>
      <c r="AB487" s="101"/>
      <c r="AC487" s="101"/>
      <c r="AD487" s="97"/>
      <c r="AE487" s="100"/>
      <c r="AF487" s="100"/>
      <c r="AG487" s="97"/>
      <c r="AH487" s="97"/>
      <c r="AI487" s="97"/>
      <c r="AJ487" s="97"/>
      <c r="AK487" s="97"/>
      <c r="AL487" s="97"/>
      <c r="AM487" s="97"/>
      <c r="AN487" s="97"/>
      <c r="AO487" s="97"/>
      <c r="AP487" s="100"/>
      <c r="AQ487" s="100"/>
      <c r="AR487" s="97"/>
    </row>
    <row r="488" spans="2:44">
      <c r="B488" s="69" t="s">
        <v>4304</v>
      </c>
      <c r="C488" s="81">
        <v>485</v>
      </c>
      <c r="D488" s="82">
        <v>252610472</v>
      </c>
      <c r="E488" s="83" t="s">
        <v>1658</v>
      </c>
      <c r="F488" s="84" t="s">
        <v>1659</v>
      </c>
      <c r="G488" s="162" t="s">
        <v>4232</v>
      </c>
      <c r="H488" s="85" t="s">
        <v>4232</v>
      </c>
      <c r="I488" s="162" t="s">
        <v>1658</v>
      </c>
      <c r="J488" s="163" t="s">
        <v>1658</v>
      </c>
      <c r="K488" s="85" t="s">
        <v>90</v>
      </c>
      <c r="L488" s="85" t="s">
        <v>6665</v>
      </c>
      <c r="M488" s="87">
        <v>40036</v>
      </c>
      <c r="N488" s="85" t="s">
        <v>4541</v>
      </c>
      <c r="O488" s="85" t="s">
        <v>4329</v>
      </c>
      <c r="P488" s="99">
        <v>1</v>
      </c>
      <c r="Q488" s="99">
        <v>6</v>
      </c>
      <c r="R488" s="99">
        <v>0</v>
      </c>
      <c r="S488" s="99">
        <v>0</v>
      </c>
      <c r="T488" s="88">
        <f t="shared" si="7"/>
        <v>6</v>
      </c>
      <c r="U488" s="85" t="s">
        <v>4490</v>
      </c>
      <c r="V488" s="88" t="s">
        <v>4358</v>
      </c>
      <c r="W488" s="109" t="s">
        <v>6666</v>
      </c>
      <c r="X488" s="109" t="s">
        <v>4544</v>
      </c>
      <c r="Y488" s="109" t="s">
        <v>4875</v>
      </c>
      <c r="Z488" s="109" t="s">
        <v>6667</v>
      </c>
      <c r="AA488" s="109" t="s">
        <v>4363</v>
      </c>
      <c r="AB488" s="109" t="s">
        <v>6668</v>
      </c>
      <c r="AC488" s="109">
        <v>40534</v>
      </c>
      <c r="AD488" s="85" t="s">
        <v>6669</v>
      </c>
      <c r="AE488" s="88" t="s">
        <v>4436</v>
      </c>
      <c r="AF488" s="88" t="s">
        <v>4334</v>
      </c>
      <c r="AG488" s="85" t="s">
        <v>6670</v>
      </c>
      <c r="AH488" s="85" t="s">
        <v>6671</v>
      </c>
      <c r="AI488" s="85" t="s">
        <v>4638</v>
      </c>
      <c r="AJ488" s="85" t="s">
        <v>4638</v>
      </c>
      <c r="AK488" s="85" t="s">
        <v>4320</v>
      </c>
      <c r="AL488" s="85" t="s">
        <v>6672</v>
      </c>
      <c r="AM488" s="85" t="s">
        <v>4372</v>
      </c>
      <c r="AN488" s="85" t="s">
        <v>6673</v>
      </c>
      <c r="AO488" s="85" t="s">
        <v>6674</v>
      </c>
      <c r="AP488" s="88">
        <v>163</v>
      </c>
      <c r="AQ488" s="88">
        <v>51</v>
      </c>
      <c r="AR488" s="85" t="s">
        <v>4415</v>
      </c>
    </row>
    <row r="489" spans="2:44">
      <c r="B489" s="69" t="s">
        <v>4355</v>
      </c>
      <c r="C489" s="81">
        <v>486</v>
      </c>
      <c r="D489" s="82">
        <v>252610188</v>
      </c>
      <c r="E489" s="176" t="s">
        <v>1570</v>
      </c>
      <c r="F489" s="84" t="s">
        <v>1571</v>
      </c>
      <c r="G489" s="156" t="s">
        <v>4233</v>
      </c>
      <c r="H489" s="104" t="s">
        <v>6675</v>
      </c>
      <c r="I489" s="156" t="s">
        <v>1570</v>
      </c>
      <c r="J489" s="157" t="s">
        <v>1570</v>
      </c>
      <c r="K489" s="104" t="s">
        <v>90</v>
      </c>
      <c r="L489" s="104" t="s">
        <v>4343</v>
      </c>
      <c r="M489" s="105">
        <v>40085</v>
      </c>
      <c r="N489" s="104" t="s">
        <v>4307</v>
      </c>
      <c r="O489" s="104" t="s">
        <v>4308</v>
      </c>
      <c r="P489" s="88">
        <v>3</v>
      </c>
      <c r="Q489" s="88">
        <v>2</v>
      </c>
      <c r="R489" s="88">
        <v>0</v>
      </c>
      <c r="S489" s="88">
        <v>0</v>
      </c>
      <c r="T489" s="88">
        <f t="shared" si="7"/>
        <v>2</v>
      </c>
      <c r="U489" s="104" t="s">
        <v>6676</v>
      </c>
      <c r="V489" s="99" t="s">
        <v>4330</v>
      </c>
      <c r="W489" s="108" t="s">
        <v>6677</v>
      </c>
      <c r="X489" s="108" t="s">
        <v>4544</v>
      </c>
      <c r="Y489" s="108" t="s">
        <v>4606</v>
      </c>
      <c r="Z489" s="108" t="s">
        <v>6678</v>
      </c>
      <c r="AA489" s="108" t="s">
        <v>6679</v>
      </c>
      <c r="AB489" s="108" t="s">
        <v>4656</v>
      </c>
      <c r="AC489" s="108">
        <v>40214</v>
      </c>
      <c r="AD489" s="104" t="s">
        <v>6680</v>
      </c>
      <c r="AE489" s="99" t="s">
        <v>6681</v>
      </c>
      <c r="AF489" s="99" t="s">
        <v>4742</v>
      </c>
      <c r="AG489" s="104" t="s">
        <v>6682</v>
      </c>
      <c r="AH489" s="104" t="s">
        <v>6683</v>
      </c>
      <c r="AI489" s="104" t="s">
        <v>4638</v>
      </c>
      <c r="AJ489" s="104" t="s">
        <v>4638</v>
      </c>
      <c r="AK489" s="104" t="s">
        <v>4402</v>
      </c>
      <c r="AL489" s="104" t="s">
        <v>4406</v>
      </c>
      <c r="AM489" s="104" t="s">
        <v>4372</v>
      </c>
      <c r="AN489" s="104" t="s">
        <v>6684</v>
      </c>
      <c r="AO489" s="104" t="s">
        <v>6685</v>
      </c>
      <c r="AP489" s="99">
        <v>156</v>
      </c>
      <c r="AQ489" s="99">
        <v>40</v>
      </c>
      <c r="AR489" s="104" t="s">
        <v>4428</v>
      </c>
    </row>
    <row r="490" spans="2:44">
      <c r="B490" s="69" t="s">
        <v>4568</v>
      </c>
      <c r="C490" s="81">
        <v>487</v>
      </c>
      <c r="D490" s="82">
        <v>252610234</v>
      </c>
      <c r="E490" s="176" t="s">
        <v>1181</v>
      </c>
      <c r="F490" s="84" t="s">
        <v>1182</v>
      </c>
      <c r="G490" s="162" t="s">
        <v>1182</v>
      </c>
      <c r="H490" s="85" t="s">
        <v>6686</v>
      </c>
      <c r="I490" s="162" t="s">
        <v>1181</v>
      </c>
      <c r="J490" s="163" t="s">
        <v>1181</v>
      </c>
      <c r="K490" s="85" t="s">
        <v>90</v>
      </c>
      <c r="L490" s="85" t="s">
        <v>4343</v>
      </c>
      <c r="M490" s="87">
        <v>39978</v>
      </c>
      <c r="N490" s="85" t="s">
        <v>4307</v>
      </c>
      <c r="O490" s="85" t="s">
        <v>4308</v>
      </c>
      <c r="P490" s="99">
        <v>3</v>
      </c>
      <c r="Q490" s="99">
        <v>2</v>
      </c>
      <c r="R490" s="99">
        <v>0</v>
      </c>
      <c r="S490" s="99">
        <v>0</v>
      </c>
      <c r="T490" s="88">
        <f t="shared" si="7"/>
        <v>2</v>
      </c>
      <c r="U490" s="85" t="s">
        <v>4308</v>
      </c>
      <c r="V490" s="88" t="s">
        <v>4595</v>
      </c>
      <c r="W490" s="109" t="s">
        <v>6687</v>
      </c>
      <c r="X490" s="109">
        <v>1</v>
      </c>
      <c r="Y490" s="109">
        <v>20</v>
      </c>
      <c r="Z490" s="109" t="s">
        <v>4466</v>
      </c>
      <c r="AA490" s="109" t="s">
        <v>4466</v>
      </c>
      <c r="AB490" s="109" t="s">
        <v>5710</v>
      </c>
      <c r="AC490" s="109">
        <v>40216</v>
      </c>
      <c r="AD490" s="85" t="s">
        <v>6688</v>
      </c>
      <c r="AE490" s="88" t="s">
        <v>4422</v>
      </c>
      <c r="AF490" s="88">
        <v>4</v>
      </c>
      <c r="AG490" s="85" t="s">
        <v>6689</v>
      </c>
      <c r="AH490" s="85" t="s">
        <v>6690</v>
      </c>
      <c r="AI490" s="85" t="s">
        <v>4370</v>
      </c>
      <c r="AJ490" s="85" t="s">
        <v>6691</v>
      </c>
      <c r="AK490" s="85" t="s">
        <v>4320</v>
      </c>
      <c r="AL490" s="85" t="s">
        <v>4406</v>
      </c>
      <c r="AM490" s="85" t="s">
        <v>4372</v>
      </c>
      <c r="AN490" s="85" t="s">
        <v>6692</v>
      </c>
      <c r="AO490" s="85" t="s">
        <v>6693</v>
      </c>
      <c r="AP490" s="88">
        <v>163</v>
      </c>
      <c r="AQ490" s="88">
        <v>49</v>
      </c>
      <c r="AR490" s="85" t="s">
        <v>4322</v>
      </c>
    </row>
    <row r="491" s="66" customFormat="1" spans="2:44">
      <c r="B491" s="91" t="s">
        <v>4674</v>
      </c>
      <c r="C491" s="92">
        <v>488</v>
      </c>
      <c r="D491" s="93">
        <v>252610421</v>
      </c>
      <c r="E491" s="94" t="s">
        <v>983</v>
      </c>
      <c r="F491" s="95" t="s">
        <v>984</v>
      </c>
      <c r="G491" s="161" t="s">
        <v>984</v>
      </c>
      <c r="H491" s="97"/>
      <c r="I491" s="161" t="s">
        <v>983</v>
      </c>
      <c r="J491" s="161" t="s">
        <v>983</v>
      </c>
      <c r="K491" s="97"/>
      <c r="L491" s="97"/>
      <c r="M491" s="98"/>
      <c r="N491" s="97"/>
      <c r="O491" s="97"/>
      <c r="P491" s="99"/>
      <c r="Q491" s="96"/>
      <c r="R491" s="96"/>
      <c r="S491" s="96"/>
      <c r="T491" s="88">
        <f t="shared" si="7"/>
        <v>0</v>
      </c>
      <c r="U491" s="97"/>
      <c r="V491" s="100"/>
      <c r="W491" s="101"/>
      <c r="X491" s="101"/>
      <c r="Y491" s="101"/>
      <c r="Z491" s="101"/>
      <c r="AA491" s="101"/>
      <c r="AB491" s="101"/>
      <c r="AC491" s="101"/>
      <c r="AD491" s="97"/>
      <c r="AE491" s="100"/>
      <c r="AF491" s="100"/>
      <c r="AG491" s="97"/>
      <c r="AH491" s="97"/>
      <c r="AI491" s="97"/>
      <c r="AJ491" s="97"/>
      <c r="AK491" s="97"/>
      <c r="AL491" s="97"/>
      <c r="AM491" s="97"/>
      <c r="AN491" s="97"/>
      <c r="AO491" s="97"/>
      <c r="AP491" s="100"/>
      <c r="AQ491" s="100"/>
      <c r="AR491" s="97"/>
    </row>
    <row r="492" spans="2:44">
      <c r="B492" s="69" t="s">
        <v>4386</v>
      </c>
      <c r="C492" s="81">
        <v>489</v>
      </c>
      <c r="D492" s="82">
        <v>252610376</v>
      </c>
      <c r="E492" s="83" t="s">
        <v>1857</v>
      </c>
      <c r="F492" s="84" t="s">
        <v>1858</v>
      </c>
      <c r="G492" s="162" t="s">
        <v>4234</v>
      </c>
      <c r="H492" s="85" t="s">
        <v>6694</v>
      </c>
      <c r="I492" s="162" t="s">
        <v>1857</v>
      </c>
      <c r="J492" s="163" t="s">
        <v>1857</v>
      </c>
      <c r="K492" s="85" t="s">
        <v>90</v>
      </c>
      <c r="L492" s="85" t="s">
        <v>6695</v>
      </c>
      <c r="M492" s="87">
        <v>40152</v>
      </c>
      <c r="N492" s="85" t="s">
        <v>4460</v>
      </c>
      <c r="O492" s="85" t="s">
        <v>5786</v>
      </c>
      <c r="P492" s="99">
        <v>1</v>
      </c>
      <c r="Q492" s="99">
        <v>4</v>
      </c>
      <c r="R492" s="99">
        <v>0</v>
      </c>
      <c r="S492" s="99">
        <v>0</v>
      </c>
      <c r="T492" s="88">
        <f t="shared" si="7"/>
        <v>4</v>
      </c>
      <c r="U492" s="85" t="s">
        <v>6696</v>
      </c>
      <c r="V492" s="88">
        <v>0</v>
      </c>
      <c r="W492" s="109" t="s">
        <v>6697</v>
      </c>
      <c r="X492" s="109" t="s">
        <v>4391</v>
      </c>
      <c r="Y492" s="109" t="s">
        <v>4632</v>
      </c>
      <c r="Z492" s="109" t="s">
        <v>6698</v>
      </c>
      <c r="AA492" s="109" t="s">
        <v>6699</v>
      </c>
      <c r="AB492" s="109" t="s">
        <v>6700</v>
      </c>
      <c r="AC492" s="109">
        <v>40215</v>
      </c>
      <c r="AD492" s="85" t="s">
        <v>6701</v>
      </c>
      <c r="AE492" s="88" t="s">
        <v>5387</v>
      </c>
      <c r="AF492" s="88" t="s">
        <v>4453</v>
      </c>
      <c r="AG492" s="85" t="s">
        <v>6702</v>
      </c>
      <c r="AH492" s="85" t="s">
        <v>6703</v>
      </c>
      <c r="AI492" s="85" t="s">
        <v>6704</v>
      </c>
      <c r="AJ492" s="85" t="s">
        <v>6705</v>
      </c>
      <c r="AK492" s="85" t="s">
        <v>4337</v>
      </c>
      <c r="AL492" s="90"/>
      <c r="AM492" s="85" t="s">
        <v>4338</v>
      </c>
      <c r="AN492" s="85" t="s">
        <v>6706</v>
      </c>
      <c r="AO492" s="85" t="s">
        <v>6707</v>
      </c>
      <c r="AP492" s="88">
        <v>153</v>
      </c>
      <c r="AQ492" s="88">
        <v>41</v>
      </c>
      <c r="AR492" s="85" t="s">
        <v>4428</v>
      </c>
    </row>
    <row r="493" spans="2:44">
      <c r="B493" s="69" t="s">
        <v>4323</v>
      </c>
      <c r="C493" s="81">
        <v>490</v>
      </c>
      <c r="D493" s="82">
        <v>252610281</v>
      </c>
      <c r="E493" s="176" t="s">
        <v>1755</v>
      </c>
      <c r="F493" s="84" t="s">
        <v>1756</v>
      </c>
      <c r="G493" s="156" t="s">
        <v>1756</v>
      </c>
      <c r="H493" s="104" t="s">
        <v>6708</v>
      </c>
      <c r="I493" s="156" t="s">
        <v>1755</v>
      </c>
      <c r="J493" s="157" t="s">
        <v>1755</v>
      </c>
      <c r="K493" s="104" t="s">
        <v>90</v>
      </c>
      <c r="L493" s="104" t="s">
        <v>4343</v>
      </c>
      <c r="M493" s="105">
        <v>39825</v>
      </c>
      <c r="N493" s="104" t="s">
        <v>4307</v>
      </c>
      <c r="O493" s="104" t="s">
        <v>4344</v>
      </c>
      <c r="P493" s="88">
        <v>2</v>
      </c>
      <c r="Q493" s="88">
        <v>4</v>
      </c>
      <c r="R493" s="88">
        <v>0</v>
      </c>
      <c r="S493" s="88">
        <v>0</v>
      </c>
      <c r="T493" s="88">
        <f t="shared" si="7"/>
        <v>4</v>
      </c>
      <c r="U493" s="104" t="s">
        <v>6709</v>
      </c>
      <c r="V493" s="99">
        <v>0</v>
      </c>
      <c r="W493" s="108" t="s">
        <v>6710</v>
      </c>
      <c r="X493" s="108" t="s">
        <v>4606</v>
      </c>
      <c r="Y493" s="108" t="s">
        <v>4915</v>
      </c>
      <c r="Z493" s="114"/>
      <c r="AA493" s="108" t="s">
        <v>4363</v>
      </c>
      <c r="AB493" s="108" t="s">
        <v>4479</v>
      </c>
      <c r="AC493" s="108">
        <v>40534</v>
      </c>
      <c r="AD493" s="104" t="s">
        <v>6711</v>
      </c>
      <c r="AE493" s="99" t="s">
        <v>4422</v>
      </c>
      <c r="AF493" s="99" t="s">
        <v>4348</v>
      </c>
      <c r="AG493" s="104" t="s">
        <v>6712</v>
      </c>
      <c r="AH493" s="104" t="s">
        <v>6713</v>
      </c>
      <c r="AI493" s="104" t="s">
        <v>4638</v>
      </c>
      <c r="AJ493" s="104" t="s">
        <v>4456</v>
      </c>
      <c r="AK493" s="104" t="s">
        <v>4337</v>
      </c>
      <c r="AL493" s="106"/>
      <c r="AM493" s="104" t="s">
        <v>4372</v>
      </c>
      <c r="AN493" s="104" t="s">
        <v>6714</v>
      </c>
      <c r="AO493" s="106"/>
      <c r="AP493" s="99">
        <v>157</v>
      </c>
      <c r="AQ493" s="99">
        <v>48</v>
      </c>
      <c r="AR493" s="104" t="s">
        <v>4340</v>
      </c>
    </row>
    <row r="494" spans="2:44">
      <c r="B494" s="69" t="s">
        <v>4341</v>
      </c>
      <c r="C494" s="81">
        <v>491</v>
      </c>
      <c r="D494" s="82">
        <v>252610327</v>
      </c>
      <c r="E494" s="83" t="s">
        <v>1183</v>
      </c>
      <c r="F494" s="84" t="s">
        <v>1184</v>
      </c>
      <c r="G494" s="162" t="s">
        <v>4235</v>
      </c>
      <c r="H494" s="85" t="s">
        <v>6675</v>
      </c>
      <c r="I494" s="162" t="s">
        <v>1183</v>
      </c>
      <c r="J494" s="163" t="s">
        <v>1183</v>
      </c>
      <c r="K494" s="85" t="s">
        <v>90</v>
      </c>
      <c r="L494" s="85" t="s">
        <v>6715</v>
      </c>
      <c r="M494" s="87">
        <v>40102</v>
      </c>
      <c r="N494" s="85" t="s">
        <v>4307</v>
      </c>
      <c r="O494" s="85" t="s">
        <v>4308</v>
      </c>
      <c r="P494" s="99">
        <v>2</v>
      </c>
      <c r="Q494" s="99">
        <v>3</v>
      </c>
      <c r="R494" s="99">
        <v>0</v>
      </c>
      <c r="S494" s="99">
        <v>0</v>
      </c>
      <c r="T494" s="88">
        <f t="shared" si="7"/>
        <v>3</v>
      </c>
      <c r="U494" s="85" t="s">
        <v>4308</v>
      </c>
      <c r="V494" s="88" t="s">
        <v>4595</v>
      </c>
      <c r="W494" s="109" t="s">
        <v>6716</v>
      </c>
      <c r="X494" s="109" t="s">
        <v>4431</v>
      </c>
      <c r="Y494" s="109" t="s">
        <v>4632</v>
      </c>
      <c r="Z494" s="112"/>
      <c r="AA494" s="109" t="s">
        <v>5623</v>
      </c>
      <c r="AB494" s="109" t="s">
        <v>4408</v>
      </c>
      <c r="AC494" s="109">
        <v>40535</v>
      </c>
      <c r="AD494" s="85" t="s">
        <v>6717</v>
      </c>
      <c r="AE494" s="88" t="s">
        <v>4422</v>
      </c>
      <c r="AF494" s="88" t="s">
        <v>4502</v>
      </c>
      <c r="AG494" s="85" t="s">
        <v>6718</v>
      </c>
      <c r="AH494" s="85" t="s">
        <v>6719</v>
      </c>
      <c r="AI494" s="85" t="s">
        <v>4638</v>
      </c>
      <c r="AJ494" s="85" t="s">
        <v>4638</v>
      </c>
      <c r="AK494" s="85" t="s">
        <v>4319</v>
      </c>
      <c r="AL494" s="90"/>
      <c r="AM494" s="85" t="s">
        <v>4372</v>
      </c>
      <c r="AN494" s="85" t="s">
        <v>5290</v>
      </c>
      <c r="AO494" s="90"/>
      <c r="AP494" s="88">
        <v>158</v>
      </c>
      <c r="AQ494" s="88">
        <v>52</v>
      </c>
      <c r="AR494" s="85" t="s">
        <v>4322</v>
      </c>
    </row>
    <row r="495" spans="2:44">
      <c r="B495" s="69" t="s">
        <v>4341</v>
      </c>
      <c r="C495" s="81">
        <v>492</v>
      </c>
      <c r="D495" s="82">
        <v>252610328</v>
      </c>
      <c r="E495" s="83" t="s">
        <v>1088</v>
      </c>
      <c r="F495" s="84" t="s">
        <v>1089</v>
      </c>
      <c r="G495" s="156" t="s">
        <v>1089</v>
      </c>
      <c r="H495" s="104" t="s">
        <v>6720</v>
      </c>
      <c r="I495" s="156" t="s">
        <v>1088</v>
      </c>
      <c r="J495" s="157" t="s">
        <v>1088</v>
      </c>
      <c r="K495" s="104" t="s">
        <v>90</v>
      </c>
      <c r="L495" s="104" t="s">
        <v>4357</v>
      </c>
      <c r="M495" s="105">
        <v>40036</v>
      </c>
      <c r="N495" s="104" t="s">
        <v>4307</v>
      </c>
      <c r="O495" s="104" t="s">
        <v>4344</v>
      </c>
      <c r="P495" s="88">
        <v>2</v>
      </c>
      <c r="Q495" s="88">
        <v>2</v>
      </c>
      <c r="R495" s="88">
        <v>0</v>
      </c>
      <c r="S495" s="88">
        <v>0</v>
      </c>
      <c r="T495" s="88">
        <f t="shared" si="7"/>
        <v>2</v>
      </c>
      <c r="U495" s="104" t="s">
        <v>4345</v>
      </c>
      <c r="V495" s="99" t="s">
        <v>4595</v>
      </c>
      <c r="W495" s="108" t="s">
        <v>6721</v>
      </c>
      <c r="X495" s="108" t="s">
        <v>4544</v>
      </c>
      <c r="Y495" s="108" t="s">
        <v>4448</v>
      </c>
      <c r="Z495" s="108" t="s">
        <v>6722</v>
      </c>
      <c r="AA495" s="108" t="s">
        <v>6723</v>
      </c>
      <c r="AB495" s="108" t="s">
        <v>4451</v>
      </c>
      <c r="AC495" s="108">
        <v>40533</v>
      </c>
      <c r="AD495" s="104" t="s">
        <v>6724</v>
      </c>
      <c r="AE495" s="99" t="s">
        <v>4878</v>
      </c>
      <c r="AF495" s="99" t="s">
        <v>5606</v>
      </c>
      <c r="AG495" s="104" t="s">
        <v>6725</v>
      </c>
      <c r="AH495" s="104" t="s">
        <v>6726</v>
      </c>
      <c r="AI495" s="104" t="s">
        <v>5179</v>
      </c>
      <c r="AJ495" s="104" t="s">
        <v>5179</v>
      </c>
      <c r="AK495" s="104" t="s">
        <v>4320</v>
      </c>
      <c r="AL495" s="106"/>
      <c r="AM495" s="104" t="s">
        <v>4337</v>
      </c>
      <c r="AN495" s="104" t="s">
        <v>3312</v>
      </c>
      <c r="AO495" s="106"/>
      <c r="AP495" s="99">
        <v>150</v>
      </c>
      <c r="AQ495" s="99">
        <v>39</v>
      </c>
      <c r="AR495" s="104" t="s">
        <v>4322</v>
      </c>
    </row>
    <row r="496" spans="2:44">
      <c r="B496" s="69" t="s">
        <v>4386</v>
      </c>
      <c r="C496" s="81">
        <v>493</v>
      </c>
      <c r="D496" s="82">
        <v>252610377</v>
      </c>
      <c r="E496" s="176" t="s">
        <v>1185</v>
      </c>
      <c r="F496" s="84" t="s">
        <v>1186</v>
      </c>
      <c r="G496" s="162" t="s">
        <v>4236</v>
      </c>
      <c r="H496" s="85" t="s">
        <v>6727</v>
      </c>
      <c r="I496" s="162" t="s">
        <v>1185</v>
      </c>
      <c r="J496" s="163" t="s">
        <v>1185</v>
      </c>
      <c r="K496" s="85" t="s">
        <v>90</v>
      </c>
      <c r="L496" s="85" t="s">
        <v>4459</v>
      </c>
      <c r="M496" s="87">
        <v>40084</v>
      </c>
      <c r="N496" s="85" t="s">
        <v>4460</v>
      </c>
      <c r="O496" s="85" t="s">
        <v>4308</v>
      </c>
      <c r="P496" s="99">
        <v>2</v>
      </c>
      <c r="Q496" s="99">
        <v>3</v>
      </c>
      <c r="R496" s="99">
        <v>2</v>
      </c>
      <c r="S496" s="99">
        <v>0</v>
      </c>
      <c r="T496" s="88">
        <f t="shared" si="7"/>
        <v>5</v>
      </c>
      <c r="U496" s="85" t="s">
        <v>4462</v>
      </c>
      <c r="V496" s="88">
        <v>0</v>
      </c>
      <c r="W496" s="109" t="s">
        <v>6728</v>
      </c>
      <c r="X496" s="109" t="s">
        <v>4431</v>
      </c>
      <c r="Y496" s="109" t="s">
        <v>5397</v>
      </c>
      <c r="Z496" s="109" t="s">
        <v>6729</v>
      </c>
      <c r="AA496" s="109" t="s">
        <v>4645</v>
      </c>
      <c r="AB496" s="109" t="s">
        <v>5140</v>
      </c>
      <c r="AC496" s="109">
        <v>40216</v>
      </c>
      <c r="AD496" s="85" t="s">
        <v>6730</v>
      </c>
      <c r="AE496" s="88" t="s">
        <v>5387</v>
      </c>
      <c r="AF496" s="88" t="s">
        <v>6731</v>
      </c>
      <c r="AG496" s="85" t="s">
        <v>6732</v>
      </c>
      <c r="AH496" s="85" t="s">
        <v>6733</v>
      </c>
      <c r="AI496" s="85" t="s">
        <v>4318</v>
      </c>
      <c r="AJ496" s="85" t="s">
        <v>4318</v>
      </c>
      <c r="AK496" s="85" t="s">
        <v>4319</v>
      </c>
      <c r="AL496" s="90"/>
      <c r="AM496" s="85" t="s">
        <v>4372</v>
      </c>
      <c r="AN496" s="85" t="s">
        <v>3421</v>
      </c>
      <c r="AO496" s="85" t="s">
        <v>6734</v>
      </c>
      <c r="AP496" s="88">
        <v>147</v>
      </c>
      <c r="AQ496" s="88" t="s">
        <v>6735</v>
      </c>
      <c r="AR496" s="85" t="s">
        <v>4322</v>
      </c>
    </row>
    <row r="497" spans="2:44">
      <c r="B497" s="69" t="s">
        <v>4674</v>
      </c>
      <c r="C497" s="81">
        <v>494</v>
      </c>
      <c r="D497" s="82">
        <v>252610422</v>
      </c>
      <c r="E497" s="83" t="s">
        <v>985</v>
      </c>
      <c r="F497" s="84" t="s">
        <v>986</v>
      </c>
      <c r="G497" s="156" t="s">
        <v>4237</v>
      </c>
      <c r="H497" s="104" t="s">
        <v>6727</v>
      </c>
      <c r="I497" s="156">
        <v>3103406646</v>
      </c>
      <c r="J497" s="157">
        <v>3103406646</v>
      </c>
      <c r="K497" s="104" t="s">
        <v>90</v>
      </c>
      <c r="L497" s="104" t="s">
        <v>4629</v>
      </c>
      <c r="M497" s="105">
        <v>40271</v>
      </c>
      <c r="N497" s="104" t="s">
        <v>4460</v>
      </c>
      <c r="O497" s="104" t="s">
        <v>5545</v>
      </c>
      <c r="P497" s="88">
        <v>1</v>
      </c>
      <c r="Q497" s="88">
        <v>0</v>
      </c>
      <c r="R497" s="88">
        <v>0</v>
      </c>
      <c r="S497" s="88">
        <v>0</v>
      </c>
      <c r="T497" s="88">
        <f t="shared" si="7"/>
        <v>0</v>
      </c>
      <c r="U497" s="104" t="s">
        <v>5228</v>
      </c>
      <c r="V497" s="99" t="s">
        <v>4358</v>
      </c>
      <c r="W497" s="108" t="s">
        <v>6736</v>
      </c>
      <c r="X497" s="108" t="s">
        <v>4464</v>
      </c>
      <c r="Y497" s="108">
        <v>26</v>
      </c>
      <c r="Z497" s="108" t="s">
        <v>6737</v>
      </c>
      <c r="AA497" s="108" t="s">
        <v>5623</v>
      </c>
      <c r="AB497" s="108" t="s">
        <v>4451</v>
      </c>
      <c r="AC497" s="108">
        <v>40535</v>
      </c>
      <c r="AD497" s="104" t="s">
        <v>6738</v>
      </c>
      <c r="AE497" s="99" t="s">
        <v>4333</v>
      </c>
      <c r="AF497" s="99" t="s">
        <v>4742</v>
      </c>
      <c r="AG497" s="104" t="s">
        <v>6739</v>
      </c>
      <c r="AH497" s="104" t="s">
        <v>6740</v>
      </c>
      <c r="AI497" s="104" t="s">
        <v>4384</v>
      </c>
      <c r="AJ497" s="104" t="s">
        <v>4384</v>
      </c>
      <c r="AK497" s="104" t="s">
        <v>4320</v>
      </c>
      <c r="AL497" s="106"/>
      <c r="AM497" s="104" t="s">
        <v>4372</v>
      </c>
      <c r="AN497" s="104" t="s">
        <v>5445</v>
      </c>
      <c r="AO497" s="106"/>
      <c r="AP497" s="99">
        <v>155</v>
      </c>
      <c r="AQ497" s="99">
        <v>31</v>
      </c>
      <c r="AR497" s="104" t="s">
        <v>4322</v>
      </c>
    </row>
    <row r="498" spans="2:44">
      <c r="B498" s="69" t="s">
        <v>4341</v>
      </c>
      <c r="C498" s="81">
        <v>495</v>
      </c>
      <c r="D498" s="82">
        <v>252610329</v>
      </c>
      <c r="E498" s="176" t="s">
        <v>4241</v>
      </c>
      <c r="F498" s="84" t="s">
        <v>4238</v>
      </c>
      <c r="G498" s="162" t="s">
        <v>4239</v>
      </c>
      <c r="H498" s="85" t="s">
        <v>6741</v>
      </c>
      <c r="I498" s="162" t="s">
        <v>4241</v>
      </c>
      <c r="J498" s="163" t="s">
        <v>4241</v>
      </c>
      <c r="K498" s="85" t="s">
        <v>90</v>
      </c>
      <c r="L498" s="85" t="s">
        <v>4540</v>
      </c>
      <c r="M498" s="87">
        <v>39890</v>
      </c>
      <c r="N498" s="85" t="s">
        <v>4541</v>
      </c>
      <c r="O498" s="85" t="s">
        <v>4308</v>
      </c>
      <c r="P498" s="99">
        <v>1</v>
      </c>
      <c r="Q498" s="99">
        <v>1</v>
      </c>
      <c r="R498" s="99">
        <v>0</v>
      </c>
      <c r="S498" s="99">
        <v>0</v>
      </c>
      <c r="T498" s="88">
        <f t="shared" si="7"/>
        <v>1</v>
      </c>
      <c r="U498" s="85" t="s">
        <v>4675</v>
      </c>
      <c r="V498" s="88">
        <v>0</v>
      </c>
      <c r="W498" s="109" t="s">
        <v>6742</v>
      </c>
      <c r="X498" s="109">
        <v>2</v>
      </c>
      <c r="Y498" s="109">
        <v>6</v>
      </c>
      <c r="Z498" s="109" t="s">
        <v>6743</v>
      </c>
      <c r="AA498" s="109" t="s">
        <v>4363</v>
      </c>
      <c r="AB498" s="109" t="s">
        <v>4364</v>
      </c>
      <c r="AC498" s="109">
        <v>40534</v>
      </c>
      <c r="AD498" s="85" t="s">
        <v>6744</v>
      </c>
      <c r="AE498" s="88" t="s">
        <v>4422</v>
      </c>
      <c r="AF498" s="88" t="s">
        <v>4658</v>
      </c>
      <c r="AG498" s="85" t="s">
        <v>6745</v>
      </c>
      <c r="AH498" s="85" t="s">
        <v>6746</v>
      </c>
      <c r="AI498" s="85" t="s">
        <v>4318</v>
      </c>
      <c r="AJ498" s="85" t="s">
        <v>4318</v>
      </c>
      <c r="AK498" s="85" t="s">
        <v>4337</v>
      </c>
      <c r="AL498" s="85" t="s">
        <v>4406</v>
      </c>
      <c r="AM498" s="85" t="s">
        <v>4372</v>
      </c>
      <c r="AN498" s="85" t="s">
        <v>6747</v>
      </c>
      <c r="AO498" s="90"/>
      <c r="AP498" s="88">
        <v>156</v>
      </c>
      <c r="AQ498" s="88">
        <v>45</v>
      </c>
      <c r="AR498" s="85" t="s">
        <v>4443</v>
      </c>
    </row>
    <row r="499" s="66" customFormat="1" spans="2:44">
      <c r="B499" s="91" t="s">
        <v>4642</v>
      </c>
      <c r="C499" s="92">
        <v>496</v>
      </c>
      <c r="D499" s="93">
        <v>252610569</v>
      </c>
      <c r="E499" s="175" t="s">
        <v>1365</v>
      </c>
      <c r="F499" s="95" t="s">
        <v>1366</v>
      </c>
      <c r="G499" s="161" t="s">
        <v>1366</v>
      </c>
      <c r="H499" s="97"/>
      <c r="I499" s="161" t="s">
        <v>1365</v>
      </c>
      <c r="J499" s="161" t="s">
        <v>1365</v>
      </c>
      <c r="K499" s="97"/>
      <c r="L499" s="97"/>
      <c r="M499" s="98"/>
      <c r="N499" s="97"/>
      <c r="O499" s="97"/>
      <c r="P499" s="99"/>
      <c r="Q499" s="96"/>
      <c r="R499" s="96"/>
      <c r="S499" s="96"/>
      <c r="T499" s="88">
        <f t="shared" si="7"/>
        <v>0</v>
      </c>
      <c r="U499" s="97"/>
      <c r="V499" s="100"/>
      <c r="W499" s="101"/>
      <c r="X499" s="101"/>
      <c r="Y499" s="101"/>
      <c r="Z499" s="101"/>
      <c r="AA499" s="101"/>
      <c r="AB499" s="101"/>
      <c r="AC499" s="101"/>
      <c r="AD499" s="97"/>
      <c r="AE499" s="100"/>
      <c r="AF499" s="100"/>
      <c r="AG499" s="97"/>
      <c r="AH499" s="97"/>
      <c r="AI499" s="97"/>
      <c r="AJ499" s="97"/>
      <c r="AK499" s="97"/>
      <c r="AL499" s="97"/>
      <c r="AM499" s="97"/>
      <c r="AN499" s="97"/>
      <c r="AO499" s="97"/>
      <c r="AP499" s="100"/>
      <c r="AQ499" s="100"/>
      <c r="AR499" s="97"/>
    </row>
    <row r="500" s="66" customFormat="1" spans="2:44">
      <c r="B500" s="91" t="s">
        <v>4341</v>
      </c>
      <c r="C500" s="92">
        <v>497</v>
      </c>
      <c r="D500" s="93">
        <v>252610330</v>
      </c>
      <c r="E500" s="175" t="s">
        <v>987</v>
      </c>
      <c r="F500" s="95" t="s">
        <v>988</v>
      </c>
      <c r="G500" s="160" t="s">
        <v>4240</v>
      </c>
      <c r="H500" s="97"/>
      <c r="I500" s="160" t="s">
        <v>987</v>
      </c>
      <c r="J500" s="160" t="s">
        <v>987</v>
      </c>
      <c r="K500" s="97"/>
      <c r="L500" s="97"/>
      <c r="M500" s="98"/>
      <c r="N500" s="97"/>
      <c r="O500" s="97"/>
      <c r="P500" s="88"/>
      <c r="Q500" s="96"/>
      <c r="R500" s="96"/>
      <c r="S500" s="96"/>
      <c r="T500" s="88">
        <f t="shared" si="7"/>
        <v>0</v>
      </c>
      <c r="U500" s="97"/>
      <c r="V500" s="100"/>
      <c r="W500" s="101"/>
      <c r="X500" s="101"/>
      <c r="Y500" s="101"/>
      <c r="Z500" s="101"/>
      <c r="AA500" s="101"/>
      <c r="AB500" s="101"/>
      <c r="AC500" s="101"/>
      <c r="AD500" s="97"/>
      <c r="AE500" s="100"/>
      <c r="AF500" s="100"/>
      <c r="AG500" s="97"/>
      <c r="AH500" s="97"/>
      <c r="AI500" s="97"/>
      <c r="AJ500" s="97"/>
      <c r="AK500" s="97"/>
      <c r="AL500" s="97"/>
      <c r="AM500" s="97"/>
      <c r="AN500" s="97"/>
      <c r="AO500" s="97"/>
      <c r="AP500" s="100"/>
      <c r="AQ500" s="100"/>
      <c r="AR500" s="97"/>
    </row>
    <row r="501" spans="2:44">
      <c r="B501" s="69" t="s">
        <v>4323</v>
      </c>
      <c r="C501" s="81">
        <v>498</v>
      </c>
      <c r="D501" s="82">
        <v>252610282</v>
      </c>
      <c r="E501" s="176" t="s">
        <v>1090</v>
      </c>
      <c r="F501" s="84" t="s">
        <v>1091</v>
      </c>
      <c r="G501" s="156" t="s">
        <v>1091</v>
      </c>
      <c r="H501" s="104" t="s">
        <v>6748</v>
      </c>
      <c r="I501" s="156" t="s">
        <v>1090</v>
      </c>
      <c r="J501" s="157" t="s">
        <v>1090</v>
      </c>
      <c r="K501" s="104" t="s">
        <v>90</v>
      </c>
      <c r="L501" s="104" t="s">
        <v>6749</v>
      </c>
      <c r="M501" s="105">
        <v>39951</v>
      </c>
      <c r="N501" s="104" t="s">
        <v>4307</v>
      </c>
      <c r="O501" s="104" t="s">
        <v>4308</v>
      </c>
      <c r="P501" s="88">
        <v>3</v>
      </c>
      <c r="Q501" s="88">
        <v>2</v>
      </c>
      <c r="R501" s="88">
        <v>0</v>
      </c>
      <c r="S501" s="88">
        <v>0</v>
      </c>
      <c r="T501" s="88">
        <f t="shared" si="7"/>
        <v>2</v>
      </c>
      <c r="U501" s="104" t="s">
        <v>4344</v>
      </c>
      <c r="V501" s="99" t="s">
        <v>4330</v>
      </c>
      <c r="W501" s="108" t="s">
        <v>6750</v>
      </c>
      <c r="X501" s="108" t="s">
        <v>4714</v>
      </c>
      <c r="Y501" s="108" t="s">
        <v>4632</v>
      </c>
      <c r="Z501" s="108" t="s">
        <v>6751</v>
      </c>
      <c r="AA501" s="108" t="s">
        <v>6752</v>
      </c>
      <c r="AB501" s="108" t="s">
        <v>6753</v>
      </c>
      <c r="AC501" s="108">
        <v>40215</v>
      </c>
      <c r="AD501" s="104" t="s">
        <v>6754</v>
      </c>
      <c r="AE501" s="99" t="s">
        <v>4406</v>
      </c>
      <c r="AF501" s="99" t="s">
        <v>6755</v>
      </c>
      <c r="AG501" s="104" t="s">
        <v>6756</v>
      </c>
      <c r="AH501" s="104" t="s">
        <v>6757</v>
      </c>
      <c r="AI501" s="104" t="s">
        <v>4456</v>
      </c>
      <c r="AJ501" s="104" t="s">
        <v>4318</v>
      </c>
      <c r="AK501" s="104" t="s">
        <v>4320</v>
      </c>
      <c r="AL501" s="104" t="s">
        <v>4406</v>
      </c>
      <c r="AM501" s="104" t="s">
        <v>4372</v>
      </c>
      <c r="AN501" s="104" t="s">
        <v>6758</v>
      </c>
      <c r="AO501" s="104" t="s">
        <v>6759</v>
      </c>
      <c r="AP501" s="99">
        <v>156</v>
      </c>
      <c r="AQ501" s="99" t="s">
        <v>6760</v>
      </c>
      <c r="AR501" s="104" t="s">
        <v>4428</v>
      </c>
    </row>
    <row r="502" s="66" customFormat="1" spans="2:44">
      <c r="B502" s="91" t="s">
        <v>4386</v>
      </c>
      <c r="C502" s="92">
        <v>499</v>
      </c>
      <c r="D502" s="93">
        <v>252610378</v>
      </c>
      <c r="E502" s="175" t="s">
        <v>1662</v>
      </c>
      <c r="F502" s="95" t="s">
        <v>1663</v>
      </c>
      <c r="G502" s="160" t="s">
        <v>1663</v>
      </c>
      <c r="H502" s="97"/>
      <c r="I502" s="160" t="s">
        <v>1662</v>
      </c>
      <c r="J502" s="160" t="s">
        <v>1662</v>
      </c>
      <c r="K502" s="97"/>
      <c r="L502" s="97"/>
      <c r="M502" s="98"/>
      <c r="N502" s="97"/>
      <c r="O502" s="97"/>
      <c r="P502" s="88"/>
      <c r="Q502" s="96"/>
      <c r="R502" s="96"/>
      <c r="S502" s="96"/>
      <c r="T502" s="88">
        <f t="shared" si="7"/>
        <v>0</v>
      </c>
      <c r="U502" s="97"/>
      <c r="V502" s="100"/>
      <c r="W502" s="101"/>
      <c r="X502" s="101"/>
      <c r="Y502" s="101"/>
      <c r="Z502" s="101"/>
      <c r="AA502" s="101"/>
      <c r="AB502" s="101"/>
      <c r="AC502" s="101"/>
      <c r="AD502" s="97"/>
      <c r="AE502" s="100"/>
      <c r="AF502" s="100"/>
      <c r="AG502" s="97"/>
      <c r="AH502" s="97"/>
      <c r="AI502" s="97"/>
      <c r="AJ502" s="97"/>
      <c r="AK502" s="97"/>
      <c r="AL502" s="97"/>
      <c r="AM502" s="97"/>
      <c r="AN502" s="97"/>
      <c r="AO502" s="97"/>
      <c r="AP502" s="100"/>
      <c r="AQ502" s="100"/>
      <c r="AR502" s="97"/>
    </row>
    <row r="503" spans="2:44">
      <c r="B503" s="69" t="s">
        <v>4341</v>
      </c>
      <c r="C503" s="81">
        <v>500</v>
      </c>
      <c r="D503" s="82">
        <v>252610331</v>
      </c>
      <c r="E503" s="176" t="s">
        <v>2056</v>
      </c>
      <c r="F503" s="84" t="s">
        <v>2057</v>
      </c>
      <c r="G503" s="156" t="s">
        <v>2057</v>
      </c>
      <c r="H503" s="104" t="s">
        <v>6761</v>
      </c>
      <c r="I503" s="156" t="s">
        <v>2056</v>
      </c>
      <c r="J503" s="157" t="s">
        <v>2056</v>
      </c>
      <c r="K503" s="104" t="s">
        <v>90</v>
      </c>
      <c r="L503" s="104" t="s">
        <v>4343</v>
      </c>
      <c r="M503" s="105">
        <v>40221</v>
      </c>
      <c r="N503" s="104" t="s">
        <v>4307</v>
      </c>
      <c r="O503" s="104" t="s">
        <v>4344</v>
      </c>
      <c r="P503" s="88">
        <v>2</v>
      </c>
      <c r="Q503" s="88">
        <v>2</v>
      </c>
      <c r="R503" s="88">
        <v>0</v>
      </c>
      <c r="S503" s="88">
        <v>0</v>
      </c>
      <c r="T503" s="88">
        <f t="shared" si="7"/>
        <v>2</v>
      </c>
      <c r="U503" s="104" t="s">
        <v>4344</v>
      </c>
      <c r="V503" s="99" t="s">
        <v>4330</v>
      </c>
      <c r="W503" s="108" t="s">
        <v>6762</v>
      </c>
      <c r="X503" s="108" t="s">
        <v>4392</v>
      </c>
      <c r="Y503" s="108" t="s">
        <v>5323</v>
      </c>
      <c r="Z503" s="108" t="s">
        <v>4645</v>
      </c>
      <c r="AA503" s="108" t="s">
        <v>4645</v>
      </c>
      <c r="AB503" s="108" t="s">
        <v>4420</v>
      </c>
      <c r="AC503" s="108">
        <v>40216</v>
      </c>
      <c r="AD503" s="104" t="s">
        <v>6763</v>
      </c>
      <c r="AE503" s="99" t="s">
        <v>4422</v>
      </c>
      <c r="AF503" s="99" t="s">
        <v>6764</v>
      </c>
      <c r="AG503" s="104" t="s">
        <v>6765</v>
      </c>
      <c r="AH503" s="104" t="s">
        <v>6766</v>
      </c>
      <c r="AI503" s="104" t="s">
        <v>5168</v>
      </c>
      <c r="AJ503" s="104" t="s">
        <v>4352</v>
      </c>
      <c r="AK503" s="104" t="s">
        <v>4320</v>
      </c>
      <c r="AL503" s="104" t="s">
        <v>4406</v>
      </c>
      <c r="AM503" s="104" t="s">
        <v>4372</v>
      </c>
      <c r="AN503" s="104" t="s">
        <v>4427</v>
      </c>
      <c r="AO503" s="104" t="s">
        <v>5738</v>
      </c>
      <c r="AP503" s="99">
        <v>150</v>
      </c>
      <c r="AQ503" s="99">
        <v>42</v>
      </c>
      <c r="AR503" s="104" t="s">
        <v>4428</v>
      </c>
    </row>
    <row r="504" s="66" customFormat="1" spans="2:44">
      <c r="B504" s="91" t="s">
        <v>4674</v>
      </c>
      <c r="C504" s="92">
        <v>501</v>
      </c>
      <c r="D504" s="93">
        <v>252610423</v>
      </c>
      <c r="E504" s="94" t="s">
        <v>1757</v>
      </c>
      <c r="F504" s="95" t="s">
        <v>1758</v>
      </c>
      <c r="G504" s="160" t="s">
        <v>4242</v>
      </c>
      <c r="H504" s="97"/>
      <c r="I504" s="160" t="s">
        <v>1757</v>
      </c>
      <c r="J504" s="160" t="s">
        <v>1757</v>
      </c>
      <c r="K504" s="97"/>
      <c r="L504" s="97"/>
      <c r="M504" s="98"/>
      <c r="N504" s="97"/>
      <c r="O504" s="97"/>
      <c r="P504" s="88"/>
      <c r="Q504" s="96"/>
      <c r="R504" s="96"/>
      <c r="S504" s="96"/>
      <c r="T504" s="88">
        <f t="shared" si="7"/>
        <v>0</v>
      </c>
      <c r="U504" s="97"/>
      <c r="V504" s="100"/>
      <c r="W504" s="101"/>
      <c r="X504" s="101"/>
      <c r="Y504" s="101"/>
      <c r="Z504" s="101"/>
      <c r="AA504" s="101"/>
      <c r="AB504" s="101"/>
      <c r="AC504" s="101"/>
      <c r="AD504" s="97"/>
      <c r="AE504" s="100"/>
      <c r="AF504" s="100"/>
      <c r="AG504" s="97"/>
      <c r="AH504" s="97"/>
      <c r="AI504" s="97"/>
      <c r="AJ504" s="97"/>
      <c r="AK504" s="97"/>
      <c r="AL504" s="97"/>
      <c r="AM504" s="97"/>
      <c r="AN504" s="97"/>
      <c r="AO504" s="97"/>
      <c r="AP504" s="100"/>
      <c r="AQ504" s="100"/>
      <c r="AR504" s="97"/>
    </row>
    <row r="505" s="66" customFormat="1" spans="2:44">
      <c r="B505" s="91" t="s">
        <v>4373</v>
      </c>
      <c r="C505" s="92">
        <v>502</v>
      </c>
      <c r="D505" s="93">
        <v>252610520</v>
      </c>
      <c r="E505" s="94" t="s">
        <v>1951</v>
      </c>
      <c r="F505" s="95" t="s">
        <v>1952</v>
      </c>
      <c r="G505" s="161" t="s">
        <v>1952</v>
      </c>
      <c r="H505" s="97"/>
      <c r="I505" s="161" t="s">
        <v>1951</v>
      </c>
      <c r="J505" s="161" t="s">
        <v>1951</v>
      </c>
      <c r="K505" s="97"/>
      <c r="L505" s="97"/>
      <c r="M505" s="98"/>
      <c r="N505" s="97"/>
      <c r="O505" s="97"/>
      <c r="P505" s="99"/>
      <c r="Q505" s="96"/>
      <c r="R505" s="96"/>
      <c r="S505" s="96"/>
      <c r="T505" s="88">
        <f t="shared" si="7"/>
        <v>0</v>
      </c>
      <c r="U505" s="97"/>
      <c r="V505" s="100"/>
      <c r="W505" s="101"/>
      <c r="X505" s="101"/>
      <c r="Y505" s="101"/>
      <c r="Z505" s="101"/>
      <c r="AA505" s="101"/>
      <c r="AB505" s="101"/>
      <c r="AC505" s="101"/>
      <c r="AD505" s="97"/>
      <c r="AE505" s="100"/>
      <c r="AF505" s="100"/>
      <c r="AG505" s="97"/>
      <c r="AH505" s="97"/>
      <c r="AI505" s="97"/>
      <c r="AJ505" s="97"/>
      <c r="AK505" s="97"/>
      <c r="AL505" s="97"/>
      <c r="AM505" s="97"/>
      <c r="AN505" s="97"/>
      <c r="AO505" s="97"/>
      <c r="AP505" s="100"/>
      <c r="AQ505" s="100"/>
      <c r="AR505" s="97"/>
    </row>
    <row r="506" spans="2:44">
      <c r="B506" s="69" t="s">
        <v>4568</v>
      </c>
      <c r="C506" s="81">
        <v>503</v>
      </c>
      <c r="D506" s="82">
        <v>252610235</v>
      </c>
      <c r="E506" s="176" t="s">
        <v>989</v>
      </c>
      <c r="F506" s="84" t="s">
        <v>4243</v>
      </c>
      <c r="G506" s="162" t="s">
        <v>990</v>
      </c>
      <c r="H506" s="85" t="s">
        <v>6767</v>
      </c>
      <c r="I506" s="162" t="s">
        <v>989</v>
      </c>
      <c r="J506" s="163" t="s">
        <v>989</v>
      </c>
      <c r="K506" s="85" t="s">
        <v>90</v>
      </c>
      <c r="L506" s="85" t="s">
        <v>6768</v>
      </c>
      <c r="M506" s="87">
        <v>40077</v>
      </c>
      <c r="N506" s="85" t="s">
        <v>4541</v>
      </c>
      <c r="O506" s="85" t="s">
        <v>4308</v>
      </c>
      <c r="P506" s="99">
        <v>1</v>
      </c>
      <c r="Q506" s="99">
        <v>1</v>
      </c>
      <c r="R506" s="99">
        <v>0</v>
      </c>
      <c r="S506" s="99">
        <v>0</v>
      </c>
      <c r="T506" s="88">
        <f t="shared" si="7"/>
        <v>1</v>
      </c>
      <c r="U506" s="85" t="s">
        <v>4389</v>
      </c>
      <c r="V506" s="88" t="s">
        <v>4330</v>
      </c>
      <c r="W506" s="109" t="s">
        <v>6769</v>
      </c>
      <c r="X506" s="109" t="s">
        <v>4793</v>
      </c>
      <c r="Y506" s="109">
        <v>12</v>
      </c>
      <c r="Z506" s="109" t="s">
        <v>6770</v>
      </c>
      <c r="AA506" s="109" t="s">
        <v>4466</v>
      </c>
      <c r="AB506" s="109" t="s">
        <v>5710</v>
      </c>
      <c r="AC506" s="109">
        <v>40216</v>
      </c>
      <c r="AD506" s="85" t="s">
        <v>6771</v>
      </c>
      <c r="AE506" s="88" t="s">
        <v>4679</v>
      </c>
      <c r="AF506" s="88" t="s">
        <v>6772</v>
      </c>
      <c r="AG506" s="85" t="s">
        <v>6773</v>
      </c>
      <c r="AH506" s="85" t="s">
        <v>6774</v>
      </c>
      <c r="AI506" s="85" t="s">
        <v>5563</v>
      </c>
      <c r="AJ506" s="85" t="s">
        <v>4615</v>
      </c>
      <c r="AK506" s="85" t="s">
        <v>4553</v>
      </c>
      <c r="AL506" s="90"/>
      <c r="AM506" s="85" t="s">
        <v>4553</v>
      </c>
      <c r="AN506" s="85" t="s">
        <v>4673</v>
      </c>
      <c r="AO506" s="85" t="s">
        <v>6775</v>
      </c>
      <c r="AP506" s="88">
        <v>155</v>
      </c>
      <c r="AQ506" s="88">
        <v>45</v>
      </c>
      <c r="AR506" s="85" t="s">
        <v>4428</v>
      </c>
    </row>
    <row r="507" spans="2:44">
      <c r="B507" s="69" t="s">
        <v>4325</v>
      </c>
      <c r="C507" s="81">
        <v>504</v>
      </c>
      <c r="D507" s="82">
        <v>252610044</v>
      </c>
      <c r="E507" s="102" t="s">
        <v>1664</v>
      </c>
      <c r="F507" s="171" t="s">
        <v>1665</v>
      </c>
      <c r="G507" s="156" t="s">
        <v>1665</v>
      </c>
      <c r="H507" s="104" t="s">
        <v>6776</v>
      </c>
      <c r="I507" s="156" t="s">
        <v>6777</v>
      </c>
      <c r="J507" s="157">
        <v>3099406088</v>
      </c>
      <c r="K507" s="104" t="s">
        <v>89</v>
      </c>
      <c r="L507" s="104" t="s">
        <v>4557</v>
      </c>
      <c r="M507" s="105">
        <v>40127</v>
      </c>
      <c r="N507" s="104" t="s">
        <v>4328</v>
      </c>
      <c r="O507" s="104" t="s">
        <v>4329</v>
      </c>
      <c r="P507" s="88">
        <v>1</v>
      </c>
      <c r="Q507" s="88">
        <v>1</v>
      </c>
      <c r="R507" s="88">
        <v>6</v>
      </c>
      <c r="S507" s="88">
        <v>1</v>
      </c>
      <c r="T507" s="88">
        <f t="shared" si="7"/>
        <v>8</v>
      </c>
      <c r="U507" s="104" t="s">
        <v>6778</v>
      </c>
      <c r="V507" s="99" t="s">
        <v>4358</v>
      </c>
      <c r="W507" s="108" t="s">
        <v>6779</v>
      </c>
      <c r="X507" s="108" t="s">
        <v>4464</v>
      </c>
      <c r="Y507" s="108" t="s">
        <v>4793</v>
      </c>
      <c r="Z507" s="114"/>
      <c r="AA507" s="108" t="s">
        <v>5260</v>
      </c>
      <c r="AB507" s="108" t="s">
        <v>4562</v>
      </c>
      <c r="AC507" s="108">
        <v>40213</v>
      </c>
      <c r="AD507" s="104" t="s">
        <v>6780</v>
      </c>
      <c r="AE507" s="99" t="s">
        <v>4410</v>
      </c>
      <c r="AF507" s="99" t="s">
        <v>4348</v>
      </c>
      <c r="AG507" s="104" t="s">
        <v>6781</v>
      </c>
      <c r="AH507" s="104" t="s">
        <v>6782</v>
      </c>
      <c r="AI507" s="104" t="s">
        <v>6783</v>
      </c>
      <c r="AJ507" s="104" t="s">
        <v>4638</v>
      </c>
      <c r="AK507" s="104" t="s">
        <v>4372</v>
      </c>
      <c r="AL507" s="106"/>
      <c r="AM507" s="104" t="s">
        <v>4372</v>
      </c>
      <c r="AN507" s="104" t="s">
        <v>5135</v>
      </c>
      <c r="AO507" s="104" t="s">
        <v>6784</v>
      </c>
      <c r="AP507" s="99">
        <v>167</v>
      </c>
      <c r="AQ507" s="99">
        <v>55</v>
      </c>
      <c r="AR507" s="104" t="s">
        <v>4415</v>
      </c>
    </row>
    <row r="508" spans="2:44">
      <c r="B508" s="69" t="s">
        <v>4386</v>
      </c>
      <c r="C508" s="81">
        <v>505</v>
      </c>
      <c r="D508" s="82">
        <v>252610379</v>
      </c>
      <c r="E508" s="176" t="s">
        <v>4248</v>
      </c>
      <c r="F508" s="84" t="s">
        <v>4245</v>
      </c>
      <c r="G508" s="159" t="s">
        <v>4246</v>
      </c>
      <c r="H508" s="85" t="s">
        <v>6785</v>
      </c>
      <c r="I508" s="159" t="s">
        <v>4248</v>
      </c>
      <c r="J508" s="157" t="s">
        <v>4248</v>
      </c>
      <c r="K508" s="85" t="s">
        <v>90</v>
      </c>
      <c r="L508" s="85" t="s">
        <v>4540</v>
      </c>
      <c r="M508" s="87">
        <v>39921</v>
      </c>
      <c r="N508" s="85" t="s">
        <v>4460</v>
      </c>
      <c r="O508" s="85" t="s">
        <v>4344</v>
      </c>
      <c r="P508" s="99">
        <v>1</v>
      </c>
      <c r="Q508" s="99">
        <v>0</v>
      </c>
      <c r="R508" s="99">
        <v>1</v>
      </c>
      <c r="S508" s="99">
        <v>0</v>
      </c>
      <c r="T508" s="88">
        <f t="shared" si="7"/>
        <v>1</v>
      </c>
      <c r="U508" s="85" t="s">
        <v>4462</v>
      </c>
      <c r="V508" s="88" t="s">
        <v>4595</v>
      </c>
      <c r="W508" s="109" t="s">
        <v>6786</v>
      </c>
      <c r="X508" s="109">
        <v>1</v>
      </c>
      <c r="Y508" s="109">
        <v>26</v>
      </c>
      <c r="Z508" s="109" t="s">
        <v>6787</v>
      </c>
      <c r="AA508" s="109" t="s">
        <v>4547</v>
      </c>
      <c r="AB508" s="109" t="s">
        <v>4408</v>
      </c>
      <c r="AC508" s="109">
        <v>40534</v>
      </c>
      <c r="AD508" s="85" t="s">
        <v>6788</v>
      </c>
      <c r="AE508" s="88" t="s">
        <v>5352</v>
      </c>
      <c r="AF508" s="88" t="s">
        <v>4482</v>
      </c>
      <c r="AG508" s="85" t="s">
        <v>6789</v>
      </c>
      <c r="AH508" s="85" t="s">
        <v>6790</v>
      </c>
      <c r="AI508" s="85" t="s">
        <v>4318</v>
      </c>
      <c r="AJ508" s="85" t="s">
        <v>4384</v>
      </c>
      <c r="AK508" s="85" t="s">
        <v>4441</v>
      </c>
      <c r="AL508" s="85" t="s">
        <v>4406</v>
      </c>
      <c r="AM508" s="85" t="s">
        <v>4372</v>
      </c>
      <c r="AN508" s="85" t="s">
        <v>6791</v>
      </c>
      <c r="AO508" s="90"/>
      <c r="AP508" s="88">
        <v>153</v>
      </c>
      <c r="AQ508" s="88">
        <v>153</v>
      </c>
      <c r="AR508" s="85" t="s">
        <v>4443</v>
      </c>
    </row>
    <row r="509" spans="2:44">
      <c r="B509" s="69" t="s">
        <v>4674</v>
      </c>
      <c r="C509" s="81">
        <v>506</v>
      </c>
      <c r="D509" s="82">
        <v>252610424</v>
      </c>
      <c r="E509" s="83" t="s">
        <v>1187</v>
      </c>
      <c r="F509" s="84" t="s">
        <v>1188</v>
      </c>
      <c r="G509" s="165" t="s">
        <v>4247</v>
      </c>
      <c r="H509" s="104" t="s">
        <v>6792</v>
      </c>
      <c r="I509" s="165" t="s">
        <v>1187</v>
      </c>
      <c r="J509" s="163" t="s">
        <v>1187</v>
      </c>
      <c r="K509" s="104" t="s">
        <v>90</v>
      </c>
      <c r="L509" s="104" t="s">
        <v>4343</v>
      </c>
      <c r="M509" s="105">
        <v>40242</v>
      </c>
      <c r="N509" s="104" t="s">
        <v>4307</v>
      </c>
      <c r="O509" s="104" t="s">
        <v>4344</v>
      </c>
      <c r="P509" s="88">
        <v>1</v>
      </c>
      <c r="Q509" s="88">
        <v>1</v>
      </c>
      <c r="R509" s="88">
        <v>0</v>
      </c>
      <c r="S509" s="88">
        <v>0</v>
      </c>
      <c r="T509" s="88">
        <f t="shared" si="7"/>
        <v>1</v>
      </c>
      <c r="U509" s="104" t="s">
        <v>4345</v>
      </c>
      <c r="V509" s="99" t="s">
        <v>4595</v>
      </c>
      <c r="W509" s="108" t="s">
        <v>6793</v>
      </c>
      <c r="X509" s="108" t="s">
        <v>4606</v>
      </c>
      <c r="Y509" s="108" t="s">
        <v>4509</v>
      </c>
      <c r="Z509" s="108" t="s">
        <v>4667</v>
      </c>
      <c r="AA509" s="108" t="s">
        <v>4667</v>
      </c>
      <c r="AB509" s="108" t="s">
        <v>4364</v>
      </c>
      <c r="AC509" s="108">
        <v>40534</v>
      </c>
      <c r="AD509" s="104" t="s">
        <v>6794</v>
      </c>
      <c r="AE509" s="99" t="s">
        <v>5580</v>
      </c>
      <c r="AF509" s="99" t="s">
        <v>4482</v>
      </c>
      <c r="AG509" s="104" t="s">
        <v>6795</v>
      </c>
      <c r="AH509" s="104" t="s">
        <v>6796</v>
      </c>
      <c r="AI509" s="104" t="s">
        <v>4351</v>
      </c>
      <c r="AJ509" s="104" t="s">
        <v>4351</v>
      </c>
      <c r="AK509" s="104" t="s">
        <v>4338</v>
      </c>
      <c r="AL509" s="104" t="s">
        <v>6797</v>
      </c>
      <c r="AM509" s="104" t="s">
        <v>4651</v>
      </c>
      <c r="AN509" s="104" t="s">
        <v>3124</v>
      </c>
      <c r="AO509" s="104" t="s">
        <v>6798</v>
      </c>
      <c r="AP509" s="99">
        <v>159</v>
      </c>
      <c r="AQ509" s="99">
        <v>46</v>
      </c>
      <c r="AR509" s="104"/>
    </row>
    <row r="510" s="66" customFormat="1" spans="2:44">
      <c r="B510" s="91" t="s">
        <v>4386</v>
      </c>
      <c r="C510" s="92">
        <v>507</v>
      </c>
      <c r="D510" s="93">
        <v>252610375</v>
      </c>
      <c r="E510" s="94" t="s">
        <v>1759</v>
      </c>
      <c r="F510" s="95" t="s">
        <v>1760</v>
      </c>
      <c r="G510" s="161" t="s">
        <v>1760</v>
      </c>
      <c r="H510" s="97"/>
      <c r="I510" s="161" t="s">
        <v>1759</v>
      </c>
      <c r="J510" s="161" t="s">
        <v>1759</v>
      </c>
      <c r="K510" s="97"/>
      <c r="L510" s="97"/>
      <c r="M510" s="98"/>
      <c r="N510" s="97"/>
      <c r="O510" s="97"/>
      <c r="P510" s="88"/>
      <c r="Q510" s="96"/>
      <c r="R510" s="96"/>
      <c r="S510" s="96"/>
      <c r="T510" s="88">
        <f t="shared" si="7"/>
        <v>0</v>
      </c>
      <c r="U510" s="97"/>
      <c r="V510" s="100"/>
      <c r="W510" s="101"/>
      <c r="X510" s="101"/>
      <c r="Y510" s="101"/>
      <c r="Z510" s="101"/>
      <c r="AA510" s="101"/>
      <c r="AB510" s="101"/>
      <c r="AC510" s="101"/>
      <c r="AD510" s="97"/>
      <c r="AE510" s="100"/>
      <c r="AF510" s="100"/>
      <c r="AG510" s="97"/>
      <c r="AH510" s="97"/>
      <c r="AI510" s="97"/>
      <c r="AJ510" s="97"/>
      <c r="AK510" s="97"/>
      <c r="AL510" s="97"/>
      <c r="AM510" s="97"/>
      <c r="AN510" s="97"/>
      <c r="AO510" s="97"/>
      <c r="AP510" s="100"/>
      <c r="AQ510" s="100"/>
      <c r="AR510" s="97"/>
    </row>
    <row r="511" spans="2:44">
      <c r="B511" s="69" t="s">
        <v>4354</v>
      </c>
      <c r="C511" s="81">
        <v>508</v>
      </c>
      <c r="D511" s="82">
        <v>252610093</v>
      </c>
      <c r="E511" s="83" t="s">
        <v>1953</v>
      </c>
      <c r="F511" s="84" t="s">
        <v>1954</v>
      </c>
      <c r="G511" s="156" t="s">
        <v>1954</v>
      </c>
      <c r="H511" s="104" t="s">
        <v>6799</v>
      </c>
      <c r="I511" s="156" t="s">
        <v>1953</v>
      </c>
      <c r="J511" s="157" t="s">
        <v>1953</v>
      </c>
      <c r="K511" s="104" t="s">
        <v>89</v>
      </c>
      <c r="L511" s="104" t="s">
        <v>4327</v>
      </c>
      <c r="M511" s="105">
        <v>40099</v>
      </c>
      <c r="N511" s="104" t="s">
        <v>4307</v>
      </c>
      <c r="O511" s="104" t="s">
        <v>4489</v>
      </c>
      <c r="P511" s="88">
        <v>3</v>
      </c>
      <c r="Q511" s="88">
        <v>3</v>
      </c>
      <c r="R511" s="88">
        <v>0</v>
      </c>
      <c r="S511" s="88">
        <v>0</v>
      </c>
      <c r="T511" s="88">
        <f t="shared" si="7"/>
        <v>3</v>
      </c>
      <c r="U511" s="104" t="s">
        <v>5031</v>
      </c>
      <c r="V511" s="99">
        <v>0</v>
      </c>
      <c r="W511" s="108" t="s">
        <v>6800</v>
      </c>
      <c r="X511" s="108" t="s">
        <v>4477</v>
      </c>
      <c r="Y511" s="108" t="s">
        <v>4419</v>
      </c>
      <c r="Z511" s="108" t="s">
        <v>5012</v>
      </c>
      <c r="AA511" s="108" t="s">
        <v>5012</v>
      </c>
      <c r="AB511" s="108" t="s">
        <v>4562</v>
      </c>
      <c r="AC511" s="108">
        <v>40212</v>
      </c>
      <c r="AD511" s="104" t="s">
        <v>6801</v>
      </c>
      <c r="AE511" s="99" t="s">
        <v>4647</v>
      </c>
      <c r="AF511" s="99" t="s">
        <v>4334</v>
      </c>
      <c r="AG511" s="104" t="s">
        <v>6802</v>
      </c>
      <c r="AH511" s="104" t="s">
        <v>6803</v>
      </c>
      <c r="AI511" s="104" t="s">
        <v>4384</v>
      </c>
      <c r="AJ511" s="104" t="s">
        <v>4638</v>
      </c>
      <c r="AK511" s="104" t="s">
        <v>4319</v>
      </c>
      <c r="AL511" s="106"/>
      <c r="AM511" s="104" t="s">
        <v>4338</v>
      </c>
      <c r="AN511" s="104" t="s">
        <v>6804</v>
      </c>
      <c r="AO511" s="106"/>
      <c r="AP511" s="99">
        <v>168</v>
      </c>
      <c r="AQ511" s="99">
        <v>68</v>
      </c>
      <c r="AR511" s="104" t="s">
        <v>4538</v>
      </c>
    </row>
    <row r="512" spans="2:44">
      <c r="B512" s="69" t="s">
        <v>4642</v>
      </c>
      <c r="C512" s="81">
        <v>509</v>
      </c>
      <c r="D512" s="82">
        <v>252610570</v>
      </c>
      <c r="E512" s="176" t="s">
        <v>1189</v>
      </c>
      <c r="F512" s="84" t="s">
        <v>1190</v>
      </c>
      <c r="G512" s="162" t="s">
        <v>1190</v>
      </c>
      <c r="H512" s="85" t="s">
        <v>6805</v>
      </c>
      <c r="I512" s="162" t="s">
        <v>1189</v>
      </c>
      <c r="J512" s="163" t="s">
        <v>1189</v>
      </c>
      <c r="K512" s="85" t="s">
        <v>90</v>
      </c>
      <c r="L512" s="85" t="s">
        <v>4343</v>
      </c>
      <c r="M512" s="87">
        <v>40354</v>
      </c>
      <c r="N512" s="85" t="s">
        <v>4307</v>
      </c>
      <c r="O512" s="85" t="s">
        <v>4344</v>
      </c>
      <c r="P512" s="99">
        <v>2</v>
      </c>
      <c r="Q512" s="99">
        <v>3</v>
      </c>
      <c r="R512" s="99">
        <v>0</v>
      </c>
      <c r="S512" s="99">
        <v>0</v>
      </c>
      <c r="T512" s="88">
        <f t="shared" si="7"/>
        <v>3</v>
      </c>
      <c r="U512" s="85" t="s">
        <v>4344</v>
      </c>
      <c r="V512" s="88" t="s">
        <v>4330</v>
      </c>
      <c r="W512" s="109" t="s">
        <v>6806</v>
      </c>
      <c r="X512" s="109" t="s">
        <v>4360</v>
      </c>
      <c r="Y512" s="109" t="s">
        <v>4492</v>
      </c>
      <c r="Z512" s="112"/>
      <c r="AA512" s="109" t="s">
        <v>4532</v>
      </c>
      <c r="AB512" s="109" t="s">
        <v>4656</v>
      </c>
      <c r="AC512" s="109">
        <v>40212</v>
      </c>
      <c r="AD512" s="85" t="s">
        <v>6807</v>
      </c>
      <c r="AE512" s="88" t="s">
        <v>4422</v>
      </c>
      <c r="AF512" s="88" t="s">
        <v>4334</v>
      </c>
      <c r="AG512" s="85" t="s">
        <v>6808</v>
      </c>
      <c r="AH512" s="85" t="s">
        <v>6809</v>
      </c>
      <c r="AI512" s="85" t="s">
        <v>5328</v>
      </c>
      <c r="AJ512" s="85" t="s">
        <v>4351</v>
      </c>
      <c r="AK512" s="85" t="s">
        <v>4651</v>
      </c>
      <c r="AL512" s="90"/>
      <c r="AM512" s="85" t="s">
        <v>4372</v>
      </c>
      <c r="AN512" s="85" t="s">
        <v>6810</v>
      </c>
      <c r="AO512" s="90"/>
      <c r="AP512" s="88">
        <v>154</v>
      </c>
      <c r="AQ512" s="88">
        <v>56</v>
      </c>
      <c r="AR512" s="85" t="s">
        <v>4538</v>
      </c>
    </row>
    <row r="513" s="66" customFormat="1" spans="2:44">
      <c r="B513" s="91" t="s">
        <v>4304</v>
      </c>
      <c r="C513" s="92">
        <v>510</v>
      </c>
      <c r="D513" s="93">
        <v>252610473</v>
      </c>
      <c r="E513" s="175" t="s">
        <v>1092</v>
      </c>
      <c r="F513" s="95" t="s">
        <v>1093</v>
      </c>
      <c r="G513" s="161" t="s">
        <v>1093</v>
      </c>
      <c r="H513" s="97"/>
      <c r="I513" s="161" t="s">
        <v>1092</v>
      </c>
      <c r="J513" s="161" t="s">
        <v>1092</v>
      </c>
      <c r="K513" s="97"/>
      <c r="L513" s="97"/>
      <c r="M513" s="98"/>
      <c r="N513" s="97"/>
      <c r="O513" s="97"/>
      <c r="P513" s="99"/>
      <c r="Q513" s="96"/>
      <c r="R513" s="96"/>
      <c r="S513" s="96"/>
      <c r="T513" s="88">
        <f t="shared" si="7"/>
        <v>0</v>
      </c>
      <c r="U513" s="97"/>
      <c r="V513" s="100"/>
      <c r="W513" s="101"/>
      <c r="X513" s="101"/>
      <c r="Y513" s="101"/>
      <c r="Z513" s="101"/>
      <c r="AA513" s="101"/>
      <c r="AB513" s="101"/>
      <c r="AC513" s="101"/>
      <c r="AD513" s="97"/>
      <c r="AE513" s="100"/>
      <c r="AF513" s="100"/>
      <c r="AG513" s="97"/>
      <c r="AH513" s="97"/>
      <c r="AI513" s="97"/>
      <c r="AJ513" s="97"/>
      <c r="AK513" s="97"/>
      <c r="AL513" s="97"/>
      <c r="AM513" s="97"/>
      <c r="AN513" s="97"/>
      <c r="AO513" s="97"/>
      <c r="AP513" s="100"/>
      <c r="AQ513" s="100"/>
      <c r="AR513" s="97"/>
    </row>
    <row r="514" spans="2:44">
      <c r="B514" s="69" t="s">
        <v>4373</v>
      </c>
      <c r="C514" s="81">
        <v>511</v>
      </c>
      <c r="D514" s="82">
        <v>252610521</v>
      </c>
      <c r="E514" s="176" t="s">
        <v>1367</v>
      </c>
      <c r="F514" s="84" t="s">
        <v>1368</v>
      </c>
      <c r="G514" s="162" t="s">
        <v>1368</v>
      </c>
      <c r="H514" s="85" t="s">
        <v>6811</v>
      </c>
      <c r="I514" s="162" t="s">
        <v>1367</v>
      </c>
      <c r="J514" s="163" t="s">
        <v>1367</v>
      </c>
      <c r="K514" s="85" t="s">
        <v>90</v>
      </c>
      <c r="L514" s="85" t="s">
        <v>4629</v>
      </c>
      <c r="M514" s="87">
        <v>40173</v>
      </c>
      <c r="N514" s="85" t="s">
        <v>4307</v>
      </c>
      <c r="O514" s="85" t="s">
        <v>4344</v>
      </c>
      <c r="P514" s="99">
        <v>1</v>
      </c>
      <c r="Q514" s="99">
        <v>3</v>
      </c>
      <c r="R514" s="99">
        <v>2</v>
      </c>
      <c r="S514" s="99">
        <v>0</v>
      </c>
      <c r="T514" s="88">
        <f t="shared" si="7"/>
        <v>5</v>
      </c>
      <c r="U514" s="85" t="s">
        <v>4344</v>
      </c>
      <c r="V514" s="88" t="s">
        <v>4310</v>
      </c>
      <c r="W514" s="109" t="s">
        <v>6812</v>
      </c>
      <c r="X514" s="109" t="s">
        <v>4793</v>
      </c>
      <c r="Y514" s="109">
        <v>13</v>
      </c>
      <c r="Z514" s="109" t="s">
        <v>6813</v>
      </c>
      <c r="AA514" s="109" t="s">
        <v>4363</v>
      </c>
      <c r="AB514" s="109" t="s">
        <v>4479</v>
      </c>
      <c r="AC514" s="109">
        <v>40534</v>
      </c>
      <c r="AD514" s="85" t="s">
        <v>6814</v>
      </c>
      <c r="AE514" s="88" t="s">
        <v>4917</v>
      </c>
      <c r="AF514" s="88" t="s">
        <v>4588</v>
      </c>
      <c r="AG514" s="85" t="s">
        <v>6815</v>
      </c>
      <c r="AH514" s="85" t="s">
        <v>6816</v>
      </c>
      <c r="AI514" s="85" t="s">
        <v>4638</v>
      </c>
      <c r="AJ514" s="85" t="s">
        <v>4638</v>
      </c>
      <c r="AK514" s="85" t="s">
        <v>4553</v>
      </c>
      <c r="AL514" s="85" t="s">
        <v>4406</v>
      </c>
      <c r="AM514" s="85" t="s">
        <v>4372</v>
      </c>
      <c r="AN514" s="85" t="s">
        <v>3124</v>
      </c>
      <c r="AO514" s="85" t="s">
        <v>6817</v>
      </c>
      <c r="AP514" s="88">
        <v>162</v>
      </c>
      <c r="AQ514" s="88">
        <v>40</v>
      </c>
      <c r="AR514" s="85" t="s">
        <v>4340</v>
      </c>
    </row>
    <row r="515" spans="2:44">
      <c r="B515" s="69" t="s">
        <v>4325</v>
      </c>
      <c r="C515" s="81">
        <v>512</v>
      </c>
      <c r="D515" s="82">
        <v>252610045</v>
      </c>
      <c r="E515" s="102" t="s">
        <v>1467</v>
      </c>
      <c r="F515" s="171" t="s">
        <v>1468</v>
      </c>
      <c r="G515" s="156" t="s">
        <v>1468</v>
      </c>
      <c r="H515" s="104" t="s">
        <v>6818</v>
      </c>
      <c r="I515" s="156" t="s">
        <v>1467</v>
      </c>
      <c r="J515" s="157" t="s">
        <v>1467</v>
      </c>
      <c r="K515" s="104" t="s">
        <v>90</v>
      </c>
      <c r="L515" s="104" t="s">
        <v>4343</v>
      </c>
      <c r="M515" s="105">
        <v>40236</v>
      </c>
      <c r="N515" s="104" t="s">
        <v>4460</v>
      </c>
      <c r="O515" s="104" t="s">
        <v>4619</v>
      </c>
      <c r="P515" s="88">
        <v>1</v>
      </c>
      <c r="Q515" s="88">
        <v>2</v>
      </c>
      <c r="R515" s="88">
        <v>0</v>
      </c>
      <c r="S515" s="88">
        <v>0</v>
      </c>
      <c r="T515" s="88">
        <f t="shared" si="7"/>
        <v>2</v>
      </c>
      <c r="U515" s="104" t="s">
        <v>4791</v>
      </c>
      <c r="V515" s="99" t="s">
        <v>4595</v>
      </c>
      <c r="W515" s="108" t="s">
        <v>6819</v>
      </c>
      <c r="X515" s="108" t="s">
        <v>4376</v>
      </c>
      <c r="Y515" s="108" t="s">
        <v>4419</v>
      </c>
      <c r="Z515" s="108" t="s">
        <v>6820</v>
      </c>
      <c r="AA515" s="108" t="s">
        <v>4634</v>
      </c>
      <c r="AB515" s="108" t="s">
        <v>4988</v>
      </c>
      <c r="AC515" s="108">
        <v>40534</v>
      </c>
      <c r="AD515" s="104" t="s">
        <v>6821</v>
      </c>
      <c r="AE515" s="99" t="s">
        <v>4990</v>
      </c>
      <c r="AF515" s="99" t="s">
        <v>4411</v>
      </c>
      <c r="AG515" s="104" t="s">
        <v>6822</v>
      </c>
      <c r="AH515" s="104" t="s">
        <v>6823</v>
      </c>
      <c r="AI515" s="104" t="s">
        <v>4318</v>
      </c>
      <c r="AJ515" s="104" t="s">
        <v>4318</v>
      </c>
      <c r="AK515" s="104" t="s">
        <v>4337</v>
      </c>
      <c r="AL515" s="104" t="s">
        <v>6824</v>
      </c>
      <c r="AM515" s="104" t="s">
        <v>4372</v>
      </c>
      <c r="AN515" s="104" t="s">
        <v>4846</v>
      </c>
      <c r="AO515" s="104" t="s">
        <v>4994</v>
      </c>
      <c r="AP515" s="99">
        <v>160</v>
      </c>
      <c r="AQ515" s="99">
        <v>49</v>
      </c>
      <c r="AR515" s="104" t="s">
        <v>4415</v>
      </c>
    </row>
    <row r="516" s="66" customFormat="1" spans="2:44">
      <c r="B516" s="91" t="s">
        <v>4642</v>
      </c>
      <c r="C516" s="92">
        <v>513</v>
      </c>
      <c r="D516" s="93">
        <v>252610571</v>
      </c>
      <c r="E516" s="175" t="s">
        <v>1955</v>
      </c>
      <c r="F516" s="95" t="s">
        <v>1956</v>
      </c>
      <c r="G516" s="161" t="s">
        <v>1956</v>
      </c>
      <c r="H516" s="97"/>
      <c r="I516" s="161" t="s">
        <v>1955</v>
      </c>
      <c r="J516" s="161" t="s">
        <v>1955</v>
      </c>
      <c r="K516" s="97"/>
      <c r="L516" s="97"/>
      <c r="M516" s="98"/>
      <c r="N516" s="97"/>
      <c r="O516" s="97"/>
      <c r="P516" s="88"/>
      <c r="Q516" s="96"/>
      <c r="R516" s="96"/>
      <c r="S516" s="96"/>
      <c r="T516" s="88">
        <f t="shared" ref="T516:T576" si="8">Q516+R516+S516</f>
        <v>0</v>
      </c>
      <c r="U516" s="97"/>
      <c r="V516" s="100"/>
      <c r="W516" s="101"/>
      <c r="X516" s="101"/>
      <c r="Y516" s="101"/>
      <c r="Z516" s="101"/>
      <c r="AA516" s="101"/>
      <c r="AB516" s="101"/>
      <c r="AC516" s="101"/>
      <c r="AD516" s="97"/>
      <c r="AE516" s="100"/>
      <c r="AF516" s="100"/>
      <c r="AG516" s="97"/>
      <c r="AH516" s="97"/>
      <c r="AI516" s="97"/>
      <c r="AJ516" s="97"/>
      <c r="AK516" s="97"/>
      <c r="AL516" s="97"/>
      <c r="AM516" s="97"/>
      <c r="AN516" s="97"/>
      <c r="AO516" s="97"/>
      <c r="AP516" s="100"/>
      <c r="AQ516" s="100"/>
      <c r="AR516" s="97"/>
    </row>
    <row r="517" spans="2:44">
      <c r="B517" s="69" t="s">
        <v>4325</v>
      </c>
      <c r="C517" s="81">
        <v>514</v>
      </c>
      <c r="D517" s="82">
        <v>252610046</v>
      </c>
      <c r="E517" s="102" t="s">
        <v>1469</v>
      </c>
      <c r="F517" s="171" t="s">
        <v>1470</v>
      </c>
      <c r="G517" s="165" t="s">
        <v>1470</v>
      </c>
      <c r="H517" s="104" t="s">
        <v>6825</v>
      </c>
      <c r="I517" s="165" t="s">
        <v>1469</v>
      </c>
      <c r="J517" s="163" t="s">
        <v>6826</v>
      </c>
      <c r="K517" s="104" t="s">
        <v>90</v>
      </c>
      <c r="L517" s="104" t="s">
        <v>4327</v>
      </c>
      <c r="M517" s="105">
        <v>40152</v>
      </c>
      <c r="N517" s="104" t="s">
        <v>4328</v>
      </c>
      <c r="O517" s="104" t="s">
        <v>4329</v>
      </c>
      <c r="P517" s="88">
        <v>3</v>
      </c>
      <c r="Q517" s="88">
        <v>3</v>
      </c>
      <c r="R517" s="88">
        <v>0</v>
      </c>
      <c r="S517" s="88">
        <v>2</v>
      </c>
      <c r="T517" s="88">
        <f t="shared" si="8"/>
        <v>5</v>
      </c>
      <c r="U517" s="104" t="s">
        <v>5686</v>
      </c>
      <c r="V517" s="99">
        <v>0</v>
      </c>
      <c r="W517" s="108" t="s">
        <v>6827</v>
      </c>
      <c r="X517" s="108" t="s">
        <v>4492</v>
      </c>
      <c r="Y517" s="108" t="s">
        <v>4376</v>
      </c>
      <c r="Z517" s="108" t="s">
        <v>6828</v>
      </c>
      <c r="AA517" s="108" t="s">
        <v>4494</v>
      </c>
      <c r="AB517" s="108" t="s">
        <v>4408</v>
      </c>
      <c r="AC517" s="108">
        <v>40534</v>
      </c>
      <c r="AD517" s="104" t="s">
        <v>6829</v>
      </c>
      <c r="AE517" s="99" t="s">
        <v>4410</v>
      </c>
      <c r="AF517" s="99" t="s">
        <v>4588</v>
      </c>
      <c r="AG517" s="104" t="s">
        <v>6830</v>
      </c>
      <c r="AH517" s="104" t="s">
        <v>6831</v>
      </c>
      <c r="AI517" s="104" t="s">
        <v>6832</v>
      </c>
      <c r="AJ517" s="104" t="s">
        <v>4370</v>
      </c>
      <c r="AK517" s="104" t="s">
        <v>4337</v>
      </c>
      <c r="AL517" s="106"/>
      <c r="AM517" s="104" t="s">
        <v>4372</v>
      </c>
      <c r="AN517" s="104" t="s">
        <v>5290</v>
      </c>
      <c r="AO517" s="104" t="s">
        <v>6833</v>
      </c>
      <c r="AP517" s="99">
        <v>152</v>
      </c>
      <c r="AQ517" s="99">
        <v>39</v>
      </c>
      <c r="AR517" s="104" t="s">
        <v>4340</v>
      </c>
    </row>
    <row r="518" spans="2:44">
      <c r="B518" s="69" t="s">
        <v>4674</v>
      </c>
      <c r="C518" s="81">
        <v>515</v>
      </c>
      <c r="D518" s="82">
        <v>252610425</v>
      </c>
      <c r="E518" s="176" t="s">
        <v>1471</v>
      </c>
      <c r="F518" s="84" t="s">
        <v>1472</v>
      </c>
      <c r="G518" s="162" t="s">
        <v>1472</v>
      </c>
      <c r="H518" s="85" t="s">
        <v>6834</v>
      </c>
      <c r="I518" s="162" t="s">
        <v>1471</v>
      </c>
      <c r="J518" s="163" t="s">
        <v>1471</v>
      </c>
      <c r="K518" s="85" t="s">
        <v>90</v>
      </c>
      <c r="L518" s="85" t="s">
        <v>4557</v>
      </c>
      <c r="M518" s="87">
        <v>40248</v>
      </c>
      <c r="N518" s="85" t="s">
        <v>4328</v>
      </c>
      <c r="O518" s="85" t="s">
        <v>4489</v>
      </c>
      <c r="P518" s="99">
        <v>1</v>
      </c>
      <c r="Q518" s="99">
        <v>0</v>
      </c>
      <c r="R518" s="99">
        <v>0</v>
      </c>
      <c r="S518" s="99">
        <v>0</v>
      </c>
      <c r="T518" s="88">
        <f t="shared" si="8"/>
        <v>0</v>
      </c>
      <c r="U518" s="85" t="s">
        <v>4489</v>
      </c>
      <c r="V518" s="88" t="s">
        <v>4310</v>
      </c>
      <c r="W518" s="109" t="s">
        <v>6835</v>
      </c>
      <c r="X518" s="109" t="s">
        <v>4606</v>
      </c>
      <c r="Y518" s="109" t="s">
        <v>5397</v>
      </c>
      <c r="Z518" s="109" t="s">
        <v>6836</v>
      </c>
      <c r="AA518" s="109" t="s">
        <v>6837</v>
      </c>
      <c r="AB518" s="109" t="s">
        <v>4420</v>
      </c>
      <c r="AC518" s="109">
        <v>40214</v>
      </c>
      <c r="AD518" s="85" t="s">
        <v>6838</v>
      </c>
      <c r="AE518" s="88" t="s">
        <v>5239</v>
      </c>
      <c r="AF518" s="88" t="s">
        <v>6839</v>
      </c>
      <c r="AG518" s="85" t="s">
        <v>6840</v>
      </c>
      <c r="AH518" s="85" t="s">
        <v>6841</v>
      </c>
      <c r="AI518" s="85" t="s">
        <v>4456</v>
      </c>
      <c r="AJ518" s="85" t="s">
        <v>4318</v>
      </c>
      <c r="AK518" s="85" t="s">
        <v>4319</v>
      </c>
      <c r="AL518" s="85" t="s">
        <v>4406</v>
      </c>
      <c r="AM518" s="85" t="s">
        <v>4372</v>
      </c>
      <c r="AN518" s="85" t="s">
        <v>5583</v>
      </c>
      <c r="AO518" s="85" t="s">
        <v>6842</v>
      </c>
      <c r="AP518" s="88">
        <v>156</v>
      </c>
      <c r="AQ518" s="88">
        <v>60</v>
      </c>
      <c r="AR518" s="85" t="s">
        <v>4428</v>
      </c>
    </row>
    <row r="519" spans="2:44">
      <c r="B519" s="69" t="s">
        <v>4304</v>
      </c>
      <c r="C519" s="81">
        <v>516</v>
      </c>
      <c r="D519" s="82">
        <v>252610474</v>
      </c>
      <c r="E519" s="176" t="s">
        <v>2058</v>
      </c>
      <c r="F519" s="84" t="s">
        <v>2059</v>
      </c>
      <c r="G519" s="156" t="s">
        <v>2059</v>
      </c>
      <c r="H519" s="104" t="s">
        <v>6843</v>
      </c>
      <c r="I519" s="156" t="s">
        <v>2058</v>
      </c>
      <c r="J519" s="157" t="s">
        <v>2058</v>
      </c>
      <c r="K519" s="104" t="s">
        <v>90</v>
      </c>
      <c r="L519" s="104" t="s">
        <v>4343</v>
      </c>
      <c r="M519" s="105">
        <v>40161</v>
      </c>
      <c r="N519" s="104" t="s">
        <v>4328</v>
      </c>
      <c r="O519" s="104" t="s">
        <v>4489</v>
      </c>
      <c r="P519" s="88">
        <v>2</v>
      </c>
      <c r="Q519" s="88">
        <v>1</v>
      </c>
      <c r="R519" s="88">
        <v>0</v>
      </c>
      <c r="S519" s="88">
        <v>0</v>
      </c>
      <c r="T519" s="88">
        <f t="shared" si="8"/>
        <v>1</v>
      </c>
      <c r="U519" s="104" t="s">
        <v>4489</v>
      </c>
      <c r="V519" s="99">
        <v>0</v>
      </c>
      <c r="W519" s="108" t="s">
        <v>6844</v>
      </c>
      <c r="X519" s="108" t="s">
        <v>4464</v>
      </c>
      <c r="Y519" s="108" t="s">
        <v>4376</v>
      </c>
      <c r="Z519" s="114"/>
      <c r="AA519" s="108" t="s">
        <v>6845</v>
      </c>
      <c r="AB519" s="108" t="s">
        <v>6846</v>
      </c>
      <c r="AC519" s="108">
        <v>40911</v>
      </c>
      <c r="AD519" s="104" t="s">
        <v>6847</v>
      </c>
      <c r="AE519" s="99" t="s">
        <v>4496</v>
      </c>
      <c r="AF519" s="99">
        <v>9</v>
      </c>
      <c r="AG519" s="104" t="s">
        <v>5388</v>
      </c>
      <c r="AH519" s="104" t="s">
        <v>6848</v>
      </c>
      <c r="AI519" s="104" t="s">
        <v>4318</v>
      </c>
      <c r="AJ519" s="104" t="s">
        <v>4318</v>
      </c>
      <c r="AK519" s="104" t="s">
        <v>4320</v>
      </c>
      <c r="AL519" s="106"/>
      <c r="AM519" s="104" t="s">
        <v>4372</v>
      </c>
      <c r="AN519" s="104" t="s">
        <v>6849</v>
      </c>
      <c r="AO519" s="106"/>
      <c r="AP519" s="99">
        <v>160</v>
      </c>
      <c r="AQ519" s="99">
        <v>48</v>
      </c>
      <c r="AR519" s="104" t="s">
        <v>4322</v>
      </c>
    </row>
    <row r="520" spans="2:44">
      <c r="B520" s="69" t="s">
        <v>4373</v>
      </c>
      <c r="C520" s="81">
        <v>517</v>
      </c>
      <c r="D520" s="82">
        <v>252610522</v>
      </c>
      <c r="E520" s="176" t="s">
        <v>1285</v>
      </c>
      <c r="F520" s="84" t="s">
        <v>1286</v>
      </c>
      <c r="G520" s="162" t="s">
        <v>4250</v>
      </c>
      <c r="H520" s="85" t="s">
        <v>6850</v>
      </c>
      <c r="I520" s="162" t="s">
        <v>1285</v>
      </c>
      <c r="J520" s="163" t="s">
        <v>1285</v>
      </c>
      <c r="K520" s="85" t="s">
        <v>90</v>
      </c>
      <c r="L520" s="85" t="s">
        <v>4557</v>
      </c>
      <c r="M520" s="87">
        <v>40031</v>
      </c>
      <c r="N520" s="85" t="s">
        <v>4328</v>
      </c>
      <c r="O520" s="85" t="s">
        <v>4308</v>
      </c>
      <c r="P520" s="99">
        <v>1</v>
      </c>
      <c r="Q520" s="99">
        <v>3</v>
      </c>
      <c r="R520" s="99">
        <v>0</v>
      </c>
      <c r="S520" s="99">
        <v>0</v>
      </c>
      <c r="T520" s="88">
        <f t="shared" si="8"/>
        <v>3</v>
      </c>
      <c r="U520" s="85" t="s">
        <v>4308</v>
      </c>
      <c r="V520" s="88" t="s">
        <v>4330</v>
      </c>
      <c r="W520" s="109" t="s">
        <v>6851</v>
      </c>
      <c r="X520" s="109" t="s">
        <v>4431</v>
      </c>
      <c r="Y520" s="109" t="s">
        <v>4756</v>
      </c>
      <c r="Z520" s="109" t="s">
        <v>6852</v>
      </c>
      <c r="AA520" s="109" t="s">
        <v>5710</v>
      </c>
      <c r="AB520" s="109" t="s">
        <v>5710</v>
      </c>
      <c r="AC520" s="109">
        <v>40215</v>
      </c>
      <c r="AD520" s="85" t="s">
        <v>6853</v>
      </c>
      <c r="AE520" s="88" t="s">
        <v>4669</v>
      </c>
      <c r="AF520" s="88" t="s">
        <v>6854</v>
      </c>
      <c r="AG520" s="85" t="s">
        <v>6855</v>
      </c>
      <c r="AH520" s="85" t="s">
        <v>5202</v>
      </c>
      <c r="AI520" s="85" t="s">
        <v>4384</v>
      </c>
      <c r="AJ520" s="85" t="s">
        <v>4683</v>
      </c>
      <c r="AK520" s="85" t="s">
        <v>4319</v>
      </c>
      <c r="AL520" s="85" t="s">
        <v>6856</v>
      </c>
      <c r="AM520" s="85" t="s">
        <v>4372</v>
      </c>
      <c r="AN520" s="85" t="s">
        <v>4673</v>
      </c>
      <c r="AO520" s="90"/>
      <c r="AP520" s="88">
        <v>145</v>
      </c>
      <c r="AQ520" s="88">
        <v>55</v>
      </c>
      <c r="AR520" s="85" t="s">
        <v>4322</v>
      </c>
    </row>
    <row r="521" s="66" customFormat="1" spans="2:44">
      <c r="B521" s="91" t="s">
        <v>4354</v>
      </c>
      <c r="C521" s="92">
        <v>518</v>
      </c>
      <c r="D521" s="93">
        <v>252610094</v>
      </c>
      <c r="E521" s="175" t="s">
        <v>991</v>
      </c>
      <c r="F521" s="95" t="s">
        <v>992</v>
      </c>
      <c r="G521" s="161" t="s">
        <v>992</v>
      </c>
      <c r="H521" s="97"/>
      <c r="I521" s="161" t="s">
        <v>991</v>
      </c>
      <c r="J521" s="161" t="s">
        <v>991</v>
      </c>
      <c r="K521" s="97"/>
      <c r="L521" s="97"/>
      <c r="M521" s="98"/>
      <c r="N521" s="97"/>
      <c r="O521" s="97"/>
      <c r="P521" s="99"/>
      <c r="Q521" s="96"/>
      <c r="R521" s="96"/>
      <c r="S521" s="96"/>
      <c r="T521" s="88">
        <f t="shared" si="8"/>
        <v>0</v>
      </c>
      <c r="U521" s="97"/>
      <c r="V521" s="100"/>
      <c r="W521" s="101"/>
      <c r="X521" s="101"/>
      <c r="Y521" s="101"/>
      <c r="Z521" s="101"/>
      <c r="AA521" s="101"/>
      <c r="AB521" s="101"/>
      <c r="AC521" s="101"/>
      <c r="AD521" s="97"/>
      <c r="AE521" s="100"/>
      <c r="AF521" s="100"/>
      <c r="AG521" s="97"/>
      <c r="AH521" s="97"/>
      <c r="AI521" s="97"/>
      <c r="AJ521" s="97"/>
      <c r="AK521" s="97"/>
      <c r="AL521" s="97"/>
      <c r="AM521" s="97"/>
      <c r="AN521" s="97"/>
      <c r="AO521" s="97"/>
      <c r="AP521" s="100"/>
      <c r="AQ521" s="100"/>
      <c r="AR521" s="97"/>
    </row>
    <row r="522" spans="2:44">
      <c r="B522" s="69" t="s">
        <v>4674</v>
      </c>
      <c r="C522" s="81">
        <v>519</v>
      </c>
      <c r="D522" s="82">
        <v>252610426</v>
      </c>
      <c r="E522" s="176" t="s">
        <v>1369</v>
      </c>
      <c r="F522" s="84" t="s">
        <v>1370</v>
      </c>
      <c r="G522" s="162" t="s">
        <v>1370</v>
      </c>
      <c r="H522" s="85" t="s">
        <v>6857</v>
      </c>
      <c r="I522" s="162" t="s">
        <v>1369</v>
      </c>
      <c r="J522" s="163" t="s">
        <v>1369</v>
      </c>
      <c r="K522" s="85" t="s">
        <v>89</v>
      </c>
      <c r="L522" s="85" t="s">
        <v>4343</v>
      </c>
      <c r="M522" s="87">
        <v>39947</v>
      </c>
      <c r="N522" s="85" t="s">
        <v>4307</v>
      </c>
      <c r="O522" s="85" t="s">
        <v>4344</v>
      </c>
      <c r="P522" s="99">
        <v>1</v>
      </c>
      <c r="Q522" s="99">
        <v>1</v>
      </c>
      <c r="R522" s="99">
        <v>0</v>
      </c>
      <c r="S522" s="99">
        <v>0</v>
      </c>
      <c r="T522" s="88">
        <f t="shared" si="8"/>
        <v>1</v>
      </c>
      <c r="U522" s="85" t="s">
        <v>6858</v>
      </c>
      <c r="V522" s="88" t="s">
        <v>4330</v>
      </c>
      <c r="W522" s="109" t="s">
        <v>6859</v>
      </c>
      <c r="X522" s="109" t="s">
        <v>4464</v>
      </c>
      <c r="Y522" s="109">
        <v>10</v>
      </c>
      <c r="Z522" s="109" t="s">
        <v>4363</v>
      </c>
      <c r="AA522" s="109" t="s">
        <v>4363</v>
      </c>
      <c r="AB522" s="109" t="s">
        <v>4479</v>
      </c>
      <c r="AC522" s="109">
        <v>40534</v>
      </c>
      <c r="AD522" s="85" t="s">
        <v>6860</v>
      </c>
      <c r="AE522" s="88" t="s">
        <v>4422</v>
      </c>
      <c r="AF522" s="88" t="s">
        <v>6861</v>
      </c>
      <c r="AG522" s="85" t="s">
        <v>6862</v>
      </c>
      <c r="AH522" s="85" t="s">
        <v>6863</v>
      </c>
      <c r="AI522" s="85" t="s">
        <v>4787</v>
      </c>
      <c r="AJ522" s="85" t="s">
        <v>4799</v>
      </c>
      <c r="AK522" s="85" t="s">
        <v>4337</v>
      </c>
      <c r="AL522" s="85" t="s">
        <v>4406</v>
      </c>
      <c r="AM522" s="85" t="s">
        <v>4338</v>
      </c>
      <c r="AN522" s="85" t="s">
        <v>3186</v>
      </c>
      <c r="AO522" s="85" t="s">
        <v>6864</v>
      </c>
      <c r="AP522" s="88">
        <v>163</v>
      </c>
      <c r="AQ522" s="88">
        <v>46</v>
      </c>
      <c r="AR522" s="85" t="s">
        <v>4322</v>
      </c>
    </row>
    <row r="523" s="66" customFormat="1" spans="2:44">
      <c r="B523" s="91" t="s">
        <v>4324</v>
      </c>
      <c r="C523" s="92">
        <v>520</v>
      </c>
      <c r="D523" s="93">
        <v>252610140</v>
      </c>
      <c r="E523" s="175" t="s">
        <v>1957</v>
      </c>
      <c r="F523" s="95" t="s">
        <v>1958</v>
      </c>
      <c r="G523" s="161" t="s">
        <v>1958</v>
      </c>
      <c r="H523" s="97"/>
      <c r="I523" s="161" t="s">
        <v>1957</v>
      </c>
      <c r="J523" s="161" t="s">
        <v>1957</v>
      </c>
      <c r="K523" s="97"/>
      <c r="L523" s="97"/>
      <c r="M523" s="98"/>
      <c r="N523" s="97"/>
      <c r="O523" s="97"/>
      <c r="P523" s="99"/>
      <c r="Q523" s="96"/>
      <c r="R523" s="96"/>
      <c r="S523" s="96"/>
      <c r="T523" s="88">
        <f t="shared" si="8"/>
        <v>0</v>
      </c>
      <c r="U523" s="97"/>
      <c r="V523" s="100"/>
      <c r="W523" s="101"/>
      <c r="X523" s="101"/>
      <c r="Y523" s="101"/>
      <c r="Z523" s="101"/>
      <c r="AA523" s="101"/>
      <c r="AB523" s="101"/>
      <c r="AC523" s="101"/>
      <c r="AD523" s="97"/>
      <c r="AE523" s="100"/>
      <c r="AF523" s="100"/>
      <c r="AG523" s="97"/>
      <c r="AH523" s="97"/>
      <c r="AI523" s="97"/>
      <c r="AJ523" s="97"/>
      <c r="AK523" s="97"/>
      <c r="AL523" s="97"/>
      <c r="AM523" s="97"/>
      <c r="AN523" s="97"/>
      <c r="AO523" s="97"/>
      <c r="AP523" s="100"/>
      <c r="AQ523" s="100"/>
      <c r="AR523" s="97"/>
    </row>
    <row r="524" spans="2:44">
      <c r="B524" s="69" t="s">
        <v>4642</v>
      </c>
      <c r="C524" s="81">
        <v>521</v>
      </c>
      <c r="D524" s="82">
        <v>252610572</v>
      </c>
      <c r="E524" s="176" t="s">
        <v>993</v>
      </c>
      <c r="F524" s="84" t="s">
        <v>994</v>
      </c>
      <c r="G524" s="162" t="s">
        <v>4251</v>
      </c>
      <c r="H524" s="85" t="s">
        <v>6865</v>
      </c>
      <c r="I524" s="162">
        <v>3088252579</v>
      </c>
      <c r="J524" s="163">
        <v>3088252579</v>
      </c>
      <c r="K524" s="85" t="s">
        <v>90</v>
      </c>
      <c r="L524" s="85" t="s">
        <v>4557</v>
      </c>
      <c r="M524" s="87">
        <v>39712</v>
      </c>
      <c r="N524" s="85" t="s">
        <v>4958</v>
      </c>
      <c r="O524" s="85" t="s">
        <v>4329</v>
      </c>
      <c r="P524" s="99">
        <v>1</v>
      </c>
      <c r="Q524" s="99">
        <v>2</v>
      </c>
      <c r="R524" s="99">
        <v>0</v>
      </c>
      <c r="S524" s="99">
        <v>0</v>
      </c>
      <c r="T524" s="88">
        <f t="shared" si="8"/>
        <v>2</v>
      </c>
      <c r="U524" s="85" t="s">
        <v>5031</v>
      </c>
      <c r="V524" s="88" t="s">
        <v>4595</v>
      </c>
      <c r="W524" s="177" t="s">
        <v>6866</v>
      </c>
      <c r="X524" s="109" t="s">
        <v>4360</v>
      </c>
      <c r="Y524" s="109" t="s">
        <v>4360</v>
      </c>
      <c r="Z524" s="109" t="s">
        <v>4406</v>
      </c>
      <c r="AA524" s="109" t="s">
        <v>6867</v>
      </c>
      <c r="AB524" s="109" t="s">
        <v>5140</v>
      </c>
      <c r="AC524" s="109">
        <v>40111</v>
      </c>
      <c r="AD524" s="85" t="s">
        <v>6868</v>
      </c>
      <c r="AE524" s="88" t="s">
        <v>6869</v>
      </c>
      <c r="AF524" s="88" t="s">
        <v>6870</v>
      </c>
      <c r="AG524" s="85" t="s">
        <v>6871</v>
      </c>
      <c r="AH524" s="85" t="s">
        <v>6872</v>
      </c>
      <c r="AI524" s="85" t="s">
        <v>4779</v>
      </c>
      <c r="AJ524" s="85" t="s">
        <v>4779</v>
      </c>
      <c r="AK524" s="85" t="s">
        <v>4553</v>
      </c>
      <c r="AL524" s="85" t="s">
        <v>4406</v>
      </c>
      <c r="AM524" s="85" t="s">
        <v>4319</v>
      </c>
      <c r="AN524" s="85" t="s">
        <v>6873</v>
      </c>
      <c r="AO524" s="85" t="s">
        <v>6874</v>
      </c>
      <c r="AP524" s="88">
        <v>153</v>
      </c>
      <c r="AQ524" s="88">
        <v>41</v>
      </c>
      <c r="AR524" s="85" t="s">
        <v>4322</v>
      </c>
    </row>
    <row r="525" s="66" customFormat="1" spans="2:44">
      <c r="B525" s="91" t="s">
        <v>4355</v>
      </c>
      <c r="C525" s="92">
        <v>522</v>
      </c>
      <c r="D525" s="93">
        <v>252610189</v>
      </c>
      <c r="E525" s="175" t="s">
        <v>1761</v>
      </c>
      <c r="F525" s="95" t="s">
        <v>1762</v>
      </c>
      <c r="G525" s="161" t="s">
        <v>4252</v>
      </c>
      <c r="H525" s="97"/>
      <c r="I525" s="161" t="s">
        <v>1761</v>
      </c>
      <c r="J525" s="161" t="s">
        <v>1761</v>
      </c>
      <c r="K525" s="97"/>
      <c r="L525" s="97"/>
      <c r="M525" s="98"/>
      <c r="N525" s="97"/>
      <c r="O525" s="97"/>
      <c r="P525" s="99"/>
      <c r="Q525" s="96"/>
      <c r="R525" s="96"/>
      <c r="S525" s="96"/>
      <c r="T525" s="88">
        <f t="shared" si="8"/>
        <v>0</v>
      </c>
      <c r="U525" s="97"/>
      <c r="V525" s="100"/>
      <c r="W525" s="101"/>
      <c r="X525" s="101"/>
      <c r="Y525" s="101"/>
      <c r="Z525" s="101"/>
      <c r="AA525" s="101"/>
      <c r="AB525" s="101"/>
      <c r="AC525" s="101"/>
      <c r="AD525" s="97"/>
      <c r="AE525" s="100"/>
      <c r="AF525" s="100"/>
      <c r="AG525" s="97"/>
      <c r="AH525" s="97"/>
      <c r="AI525" s="97"/>
      <c r="AJ525" s="97"/>
      <c r="AK525" s="97"/>
      <c r="AL525" s="97"/>
      <c r="AM525" s="97"/>
      <c r="AN525" s="97"/>
      <c r="AO525" s="97"/>
      <c r="AP525" s="100"/>
      <c r="AQ525" s="100"/>
      <c r="AR525" s="97"/>
    </row>
    <row r="526" s="66" customFormat="1" spans="2:44">
      <c r="B526" s="91" t="s">
        <v>4354</v>
      </c>
      <c r="C526" s="92">
        <v>523</v>
      </c>
      <c r="D526" s="93">
        <v>252610095</v>
      </c>
      <c r="E526" s="175" t="s">
        <v>1287</v>
      </c>
      <c r="F526" s="95" t="s">
        <v>1288</v>
      </c>
      <c r="G526" s="160" t="s">
        <v>4253</v>
      </c>
      <c r="H526" s="97"/>
      <c r="I526" s="160" t="s">
        <v>1287</v>
      </c>
      <c r="J526" s="160" t="s">
        <v>1287</v>
      </c>
      <c r="K526" s="97"/>
      <c r="L526" s="97"/>
      <c r="M526" s="98"/>
      <c r="N526" s="97"/>
      <c r="O526" s="97"/>
      <c r="P526" s="88"/>
      <c r="Q526" s="96"/>
      <c r="R526" s="96"/>
      <c r="S526" s="96"/>
      <c r="T526" s="88">
        <f t="shared" si="8"/>
        <v>0</v>
      </c>
      <c r="U526" s="97"/>
      <c r="V526" s="100"/>
      <c r="W526" s="101"/>
      <c r="X526" s="101"/>
      <c r="Y526" s="101"/>
      <c r="Z526" s="101"/>
      <c r="AA526" s="101"/>
      <c r="AB526" s="101"/>
      <c r="AC526" s="101"/>
      <c r="AD526" s="97"/>
      <c r="AE526" s="100"/>
      <c r="AF526" s="100"/>
      <c r="AG526" s="97"/>
      <c r="AH526" s="97"/>
      <c r="AI526" s="97"/>
      <c r="AJ526" s="97"/>
      <c r="AK526" s="97"/>
      <c r="AL526" s="97"/>
      <c r="AM526" s="97"/>
      <c r="AN526" s="97"/>
      <c r="AO526" s="97"/>
      <c r="AP526" s="100"/>
      <c r="AQ526" s="100"/>
      <c r="AR526" s="97"/>
    </row>
    <row r="527" spans="2:44">
      <c r="B527" s="69" t="s">
        <v>4568</v>
      </c>
      <c r="C527" s="81">
        <v>524</v>
      </c>
      <c r="D527" s="82">
        <v>252610236</v>
      </c>
      <c r="E527" s="176" t="s">
        <v>4256</v>
      </c>
      <c r="F527" s="84" t="s">
        <v>4254</v>
      </c>
      <c r="G527" s="156" t="s">
        <v>4254</v>
      </c>
      <c r="H527" s="104" t="s">
        <v>6875</v>
      </c>
      <c r="I527" s="156" t="s">
        <v>4256</v>
      </c>
      <c r="J527" s="157" t="s">
        <v>4256</v>
      </c>
      <c r="K527" s="104" t="s">
        <v>90</v>
      </c>
      <c r="L527" s="104" t="s">
        <v>6876</v>
      </c>
      <c r="M527" s="105">
        <v>40390</v>
      </c>
      <c r="N527" s="104" t="s">
        <v>4307</v>
      </c>
      <c r="O527" s="104" t="s">
        <v>4344</v>
      </c>
      <c r="P527" s="88">
        <v>2</v>
      </c>
      <c r="Q527" s="88">
        <v>2</v>
      </c>
      <c r="R527" s="88">
        <v>2</v>
      </c>
      <c r="S527" s="88">
        <v>0</v>
      </c>
      <c r="T527" s="88">
        <f t="shared" si="8"/>
        <v>4</v>
      </c>
      <c r="U527" s="104" t="s">
        <v>4309</v>
      </c>
      <c r="V527" s="99" t="s">
        <v>4595</v>
      </c>
      <c r="W527" s="108" t="s">
        <v>6877</v>
      </c>
      <c r="X527" s="108" t="s">
        <v>4464</v>
      </c>
      <c r="Y527" s="108" t="s">
        <v>4477</v>
      </c>
      <c r="Z527" s="108" t="s">
        <v>6878</v>
      </c>
      <c r="AA527" s="108" t="s">
        <v>4826</v>
      </c>
      <c r="AB527" s="108" t="s">
        <v>4562</v>
      </c>
      <c r="AC527" s="108">
        <v>40214</v>
      </c>
      <c r="AD527" s="104" t="s">
        <v>6879</v>
      </c>
      <c r="AE527" s="99" t="s">
        <v>4422</v>
      </c>
      <c r="AF527" s="99" t="s">
        <v>4680</v>
      </c>
      <c r="AG527" s="104" t="s">
        <v>6880</v>
      </c>
      <c r="AH527" s="104" t="s">
        <v>6881</v>
      </c>
      <c r="AI527" s="104" t="s">
        <v>4638</v>
      </c>
      <c r="AJ527" s="104">
        <v>0</v>
      </c>
      <c r="AK527" s="104" t="s">
        <v>4553</v>
      </c>
      <c r="AL527" s="104" t="s">
        <v>4406</v>
      </c>
      <c r="AM527" s="104" t="s">
        <v>4372</v>
      </c>
      <c r="AN527" s="104" t="s">
        <v>6882</v>
      </c>
      <c r="AO527" s="106"/>
      <c r="AP527" s="99">
        <v>157</v>
      </c>
      <c r="AQ527" s="99">
        <v>45</v>
      </c>
      <c r="AR527" s="104" t="s">
        <v>4340</v>
      </c>
    </row>
    <row r="528" s="66" customFormat="1" spans="2:44">
      <c r="B528" s="91" t="s">
        <v>4324</v>
      </c>
      <c r="C528" s="92">
        <v>525</v>
      </c>
      <c r="D528" s="93">
        <v>252610141</v>
      </c>
      <c r="E528" s="175" t="s">
        <v>1763</v>
      </c>
      <c r="F528" s="95" t="s">
        <v>1764</v>
      </c>
      <c r="G528" s="160" t="s">
        <v>1764</v>
      </c>
      <c r="H528" s="97"/>
      <c r="I528" s="160" t="s">
        <v>1763</v>
      </c>
      <c r="J528" s="160" t="s">
        <v>1763</v>
      </c>
      <c r="K528" s="97"/>
      <c r="L528" s="97"/>
      <c r="M528" s="98"/>
      <c r="N528" s="97"/>
      <c r="O528" s="97"/>
      <c r="P528" s="88"/>
      <c r="Q528" s="96"/>
      <c r="R528" s="96"/>
      <c r="S528" s="96"/>
      <c r="T528" s="88">
        <f t="shared" si="8"/>
        <v>0</v>
      </c>
      <c r="U528" s="97"/>
      <c r="V528" s="100"/>
      <c r="W528" s="101"/>
      <c r="X528" s="101"/>
      <c r="Y528" s="101"/>
      <c r="Z528" s="101"/>
      <c r="AA528" s="101"/>
      <c r="AB528" s="101"/>
      <c r="AC528" s="101"/>
      <c r="AD528" s="97"/>
      <c r="AE528" s="100"/>
      <c r="AF528" s="100"/>
      <c r="AG528" s="97"/>
      <c r="AH528" s="97"/>
      <c r="AI528" s="97"/>
      <c r="AJ528" s="97"/>
      <c r="AK528" s="97"/>
      <c r="AL528" s="97"/>
      <c r="AM528" s="97"/>
      <c r="AN528" s="97"/>
      <c r="AO528" s="97"/>
      <c r="AP528" s="100"/>
      <c r="AQ528" s="100"/>
      <c r="AR528" s="97"/>
    </row>
    <row r="529" s="66" customFormat="1" spans="2:44">
      <c r="B529" s="91" t="s">
        <v>4323</v>
      </c>
      <c r="C529" s="92">
        <v>526</v>
      </c>
      <c r="D529" s="93">
        <v>252610283</v>
      </c>
      <c r="E529" s="175" t="s">
        <v>1765</v>
      </c>
      <c r="F529" s="95" t="s">
        <v>1766</v>
      </c>
      <c r="G529" s="161" t="s">
        <v>4255</v>
      </c>
      <c r="H529" s="97"/>
      <c r="I529" s="161" t="s">
        <v>1765</v>
      </c>
      <c r="J529" s="161" t="s">
        <v>1765</v>
      </c>
      <c r="K529" s="97"/>
      <c r="L529" s="97"/>
      <c r="M529" s="98"/>
      <c r="N529" s="97"/>
      <c r="O529" s="97"/>
      <c r="P529" s="99"/>
      <c r="Q529" s="96"/>
      <c r="R529" s="96"/>
      <c r="S529" s="96"/>
      <c r="T529" s="88">
        <f t="shared" si="8"/>
        <v>0</v>
      </c>
      <c r="U529" s="97"/>
      <c r="V529" s="100"/>
      <c r="W529" s="101"/>
      <c r="X529" s="101"/>
      <c r="Y529" s="101"/>
      <c r="Z529" s="101"/>
      <c r="AA529" s="101"/>
      <c r="AB529" s="101"/>
      <c r="AC529" s="101"/>
      <c r="AD529" s="97"/>
      <c r="AE529" s="100"/>
      <c r="AF529" s="100"/>
      <c r="AG529" s="97"/>
      <c r="AH529" s="97"/>
      <c r="AI529" s="97"/>
      <c r="AJ529" s="97"/>
      <c r="AK529" s="97"/>
      <c r="AL529" s="97"/>
      <c r="AM529" s="97"/>
      <c r="AN529" s="97"/>
      <c r="AO529" s="97"/>
      <c r="AP529" s="100"/>
      <c r="AQ529" s="100"/>
      <c r="AR529" s="97"/>
    </row>
    <row r="530" spans="2:44">
      <c r="B530" s="69" t="s">
        <v>4373</v>
      </c>
      <c r="C530" s="81">
        <v>527</v>
      </c>
      <c r="D530" s="82">
        <v>252610523</v>
      </c>
      <c r="E530" s="176" t="s">
        <v>1959</v>
      </c>
      <c r="F530" s="84" t="s">
        <v>1960</v>
      </c>
      <c r="G530" s="162" t="s">
        <v>1960</v>
      </c>
      <c r="H530" s="85" t="s">
        <v>6883</v>
      </c>
      <c r="I530" s="162" t="s">
        <v>1959</v>
      </c>
      <c r="J530" s="163" t="s">
        <v>1959</v>
      </c>
      <c r="K530" s="85" t="s">
        <v>90</v>
      </c>
      <c r="L530" s="85" t="s">
        <v>4343</v>
      </c>
      <c r="M530" s="87">
        <v>40163</v>
      </c>
      <c r="N530" s="85" t="s">
        <v>4460</v>
      </c>
      <c r="O530" s="85" t="s">
        <v>4344</v>
      </c>
      <c r="P530" s="99">
        <v>3</v>
      </c>
      <c r="Q530" s="99">
        <v>0</v>
      </c>
      <c r="R530" s="99">
        <v>3</v>
      </c>
      <c r="S530" s="99">
        <v>0</v>
      </c>
      <c r="T530" s="88">
        <f t="shared" si="8"/>
        <v>3</v>
      </c>
      <c r="U530" s="85" t="s">
        <v>6884</v>
      </c>
      <c r="V530" s="88" t="s">
        <v>4595</v>
      </c>
      <c r="W530" s="109" t="s">
        <v>6885</v>
      </c>
      <c r="X530" s="109" t="s">
        <v>4477</v>
      </c>
      <c r="Y530" s="109">
        <v>13</v>
      </c>
      <c r="Z530" s="109" t="s">
        <v>5679</v>
      </c>
      <c r="AA530" s="109" t="s">
        <v>4521</v>
      </c>
      <c r="AB530" s="109" t="s">
        <v>4395</v>
      </c>
      <c r="AC530" s="109">
        <v>40214</v>
      </c>
      <c r="AD530" s="85" t="s">
        <v>6886</v>
      </c>
      <c r="AE530" s="88" t="s">
        <v>4333</v>
      </c>
      <c r="AF530" s="88" t="s">
        <v>6755</v>
      </c>
      <c r="AG530" s="85" t="s">
        <v>6887</v>
      </c>
      <c r="AH530" s="85" t="s">
        <v>6888</v>
      </c>
      <c r="AI530" s="85" t="s">
        <v>5008</v>
      </c>
      <c r="AJ530" s="85" t="s">
        <v>5008</v>
      </c>
      <c r="AK530" s="85" t="s">
        <v>4337</v>
      </c>
      <c r="AL530" s="85" t="s">
        <v>4406</v>
      </c>
      <c r="AM530" s="85" t="s">
        <v>4372</v>
      </c>
      <c r="AN530" s="85" t="s">
        <v>5543</v>
      </c>
      <c r="AO530" s="85" t="s">
        <v>6889</v>
      </c>
      <c r="AP530" s="88">
        <v>155</v>
      </c>
      <c r="AQ530" s="88">
        <v>43</v>
      </c>
      <c r="AR530" s="85" t="s">
        <v>5393</v>
      </c>
    </row>
    <row r="531" spans="2:44">
      <c r="B531" s="69" t="s">
        <v>4304</v>
      </c>
      <c r="C531" s="81">
        <v>528</v>
      </c>
      <c r="D531" s="121">
        <v>252610475</v>
      </c>
      <c r="E531" s="176" t="s">
        <v>1767</v>
      </c>
      <c r="F531" s="84" t="s">
        <v>1768</v>
      </c>
      <c r="G531" s="156" t="s">
        <v>1768</v>
      </c>
      <c r="H531" s="104" t="s">
        <v>6890</v>
      </c>
      <c r="I531" s="156" t="s">
        <v>1767</v>
      </c>
      <c r="J531" s="157" t="s">
        <v>1767</v>
      </c>
      <c r="K531" s="104" t="s">
        <v>90</v>
      </c>
      <c r="L531" s="104" t="s">
        <v>4343</v>
      </c>
      <c r="M531" s="105">
        <v>39955</v>
      </c>
      <c r="N531" s="104" t="s">
        <v>4460</v>
      </c>
      <c r="O531" s="104" t="s">
        <v>4344</v>
      </c>
      <c r="P531" s="88">
        <v>2</v>
      </c>
      <c r="Q531" s="88">
        <v>2</v>
      </c>
      <c r="R531" s="88">
        <v>0</v>
      </c>
      <c r="S531" s="88">
        <v>0</v>
      </c>
      <c r="T531" s="88">
        <f t="shared" si="8"/>
        <v>2</v>
      </c>
      <c r="U531" s="104" t="s">
        <v>4604</v>
      </c>
      <c r="V531" s="99">
        <v>0</v>
      </c>
      <c r="W531" s="108" t="s">
        <v>6891</v>
      </c>
      <c r="X531" s="108" t="s">
        <v>4391</v>
      </c>
      <c r="Y531" s="108" t="s">
        <v>4632</v>
      </c>
      <c r="Z531" s="108" t="s">
        <v>4795</v>
      </c>
      <c r="AA531" s="108" t="s">
        <v>4795</v>
      </c>
      <c r="AB531" s="108" t="s">
        <v>4766</v>
      </c>
      <c r="AC531" s="108">
        <v>40215</v>
      </c>
      <c r="AD531" s="104" t="s">
        <v>6892</v>
      </c>
      <c r="AE531" s="99" t="s">
        <v>5764</v>
      </c>
      <c r="AF531" s="99" t="s">
        <v>4453</v>
      </c>
      <c r="AG531" s="104" t="s">
        <v>6893</v>
      </c>
      <c r="AH531" s="104" t="s">
        <v>6894</v>
      </c>
      <c r="AI531" s="104" t="s">
        <v>5871</v>
      </c>
      <c r="AJ531" s="104" t="s">
        <v>5008</v>
      </c>
      <c r="AK531" s="104" t="s">
        <v>6508</v>
      </c>
      <c r="AL531" s="104" t="s">
        <v>5871</v>
      </c>
      <c r="AM531" s="104" t="s">
        <v>4337</v>
      </c>
      <c r="AN531" s="104" t="s">
        <v>5135</v>
      </c>
      <c r="AO531" s="104" t="s">
        <v>6895</v>
      </c>
      <c r="AP531" s="99">
        <v>152</v>
      </c>
      <c r="AQ531" s="99">
        <v>42</v>
      </c>
      <c r="AR531" s="104" t="s">
        <v>4428</v>
      </c>
    </row>
    <row r="532" s="66" customFormat="1" spans="2:44">
      <c r="B532" s="91" t="s">
        <v>4341</v>
      </c>
      <c r="C532" s="92">
        <v>529</v>
      </c>
      <c r="D532" s="93">
        <v>252610332</v>
      </c>
      <c r="E532" s="175" t="s">
        <v>1859</v>
      </c>
      <c r="F532" s="95" t="s">
        <v>1860</v>
      </c>
      <c r="G532" s="160" t="s">
        <v>1860</v>
      </c>
      <c r="H532" s="97"/>
      <c r="I532" s="160" t="s">
        <v>1859</v>
      </c>
      <c r="J532" s="160" t="s">
        <v>1859</v>
      </c>
      <c r="K532" s="97"/>
      <c r="L532" s="97"/>
      <c r="M532" s="98"/>
      <c r="N532" s="97"/>
      <c r="O532" s="97"/>
      <c r="P532" s="88"/>
      <c r="Q532" s="96"/>
      <c r="R532" s="96"/>
      <c r="S532" s="96"/>
      <c r="T532" s="88">
        <f t="shared" si="8"/>
        <v>0</v>
      </c>
      <c r="U532" s="97"/>
      <c r="V532" s="100"/>
      <c r="W532" s="101"/>
      <c r="X532" s="101"/>
      <c r="Y532" s="101"/>
      <c r="Z532" s="101"/>
      <c r="AA532" s="101"/>
      <c r="AB532" s="101"/>
      <c r="AC532" s="101"/>
      <c r="AD532" s="97"/>
      <c r="AE532" s="100"/>
      <c r="AF532" s="100"/>
      <c r="AG532" s="97"/>
      <c r="AH532" s="97"/>
      <c r="AI532" s="97"/>
      <c r="AJ532" s="97"/>
      <c r="AK532" s="97"/>
      <c r="AL532" s="97"/>
      <c r="AM532" s="97"/>
      <c r="AN532" s="97"/>
      <c r="AO532" s="97"/>
      <c r="AP532" s="100"/>
      <c r="AQ532" s="100"/>
      <c r="AR532" s="97"/>
    </row>
    <row r="533" spans="2:44">
      <c r="B533" s="69" t="s">
        <v>4568</v>
      </c>
      <c r="C533" s="81">
        <v>530</v>
      </c>
      <c r="D533" s="82">
        <v>252610237</v>
      </c>
      <c r="E533" s="176" t="s">
        <v>4259</v>
      </c>
      <c r="F533" s="84" t="s">
        <v>4257</v>
      </c>
      <c r="G533" s="156" t="s">
        <v>4258</v>
      </c>
      <c r="H533" s="104" t="s">
        <v>6896</v>
      </c>
      <c r="I533" s="156" t="s">
        <v>4259</v>
      </c>
      <c r="J533" s="157" t="s">
        <v>4259</v>
      </c>
      <c r="K533" s="104" t="s">
        <v>89</v>
      </c>
      <c r="L533" s="104" t="s">
        <v>4357</v>
      </c>
      <c r="M533" s="105">
        <v>39676</v>
      </c>
      <c r="N533" s="104" t="s">
        <v>4307</v>
      </c>
      <c r="O533" s="104" t="s">
        <v>4308</v>
      </c>
      <c r="P533" s="88">
        <v>4</v>
      </c>
      <c r="Q533" s="88">
        <v>5</v>
      </c>
      <c r="R533" s="88">
        <v>0</v>
      </c>
      <c r="S533" s="88">
        <v>0</v>
      </c>
      <c r="T533" s="88">
        <f t="shared" si="8"/>
        <v>5</v>
      </c>
      <c r="U533" s="104" t="s">
        <v>4308</v>
      </c>
      <c r="V533" s="99" t="s">
        <v>4358</v>
      </c>
      <c r="W533" s="108" t="s">
        <v>6897</v>
      </c>
      <c r="X533" s="108" t="s">
        <v>4431</v>
      </c>
      <c r="Y533" s="108" t="s">
        <v>6422</v>
      </c>
      <c r="Z533" s="108" t="s">
        <v>4406</v>
      </c>
      <c r="AA533" s="108" t="s">
        <v>4363</v>
      </c>
      <c r="AB533" s="108" t="s">
        <v>4364</v>
      </c>
      <c r="AC533" s="108">
        <v>40534</v>
      </c>
      <c r="AD533" s="104" t="s">
        <v>6898</v>
      </c>
      <c r="AE533" s="99" t="s">
        <v>4623</v>
      </c>
      <c r="AF533" s="99" t="s">
        <v>4750</v>
      </c>
      <c r="AG533" s="104" t="s">
        <v>6899</v>
      </c>
      <c r="AH533" s="104" t="s">
        <v>6900</v>
      </c>
      <c r="AI533" s="104" t="s">
        <v>4683</v>
      </c>
      <c r="AJ533" s="104" t="s">
        <v>4384</v>
      </c>
      <c r="AK533" s="104" t="s">
        <v>4337</v>
      </c>
      <c r="AL533" s="104" t="s">
        <v>4406</v>
      </c>
      <c r="AM533" s="104" t="s">
        <v>4337</v>
      </c>
      <c r="AN533" s="104" t="s">
        <v>4846</v>
      </c>
      <c r="AO533" s="104" t="s">
        <v>4406</v>
      </c>
      <c r="AP533" s="99">
        <v>172</v>
      </c>
      <c r="AQ533" s="99">
        <v>52</v>
      </c>
      <c r="AR533" s="104" t="s">
        <v>4340</v>
      </c>
    </row>
    <row r="534" spans="2:44">
      <c r="B534" s="69" t="s">
        <v>4323</v>
      </c>
      <c r="C534" s="81">
        <v>531</v>
      </c>
      <c r="D534" s="82">
        <v>252610284</v>
      </c>
      <c r="E534" s="176" t="s">
        <v>1473</v>
      </c>
      <c r="F534" s="84" t="s">
        <v>1474</v>
      </c>
      <c r="G534" s="162" t="s">
        <v>1474</v>
      </c>
      <c r="H534" s="85" t="s">
        <v>6901</v>
      </c>
      <c r="I534" s="162" t="s">
        <v>1473</v>
      </c>
      <c r="J534" s="163" t="s">
        <v>1473</v>
      </c>
      <c r="K534" s="85" t="s">
        <v>89</v>
      </c>
      <c r="L534" s="85" t="s">
        <v>4557</v>
      </c>
      <c r="M534" s="87">
        <v>40120</v>
      </c>
      <c r="N534" s="85" t="s">
        <v>6902</v>
      </c>
      <c r="O534" s="85" t="s">
        <v>4489</v>
      </c>
      <c r="P534" s="99">
        <v>3</v>
      </c>
      <c r="Q534" s="99">
        <v>4</v>
      </c>
      <c r="R534" s="99">
        <v>0</v>
      </c>
      <c r="S534" s="99">
        <v>0</v>
      </c>
      <c r="T534" s="88">
        <f t="shared" si="8"/>
        <v>4</v>
      </c>
      <c r="U534" s="85" t="s">
        <v>4489</v>
      </c>
      <c r="V534" s="88" t="s">
        <v>4310</v>
      </c>
      <c r="W534" s="109" t="s">
        <v>6903</v>
      </c>
      <c r="X534" s="109" t="s">
        <v>4392</v>
      </c>
      <c r="Y534" s="109" t="s">
        <v>4431</v>
      </c>
      <c r="Z534" s="109" t="s">
        <v>6904</v>
      </c>
      <c r="AA534" s="109" t="s">
        <v>4494</v>
      </c>
      <c r="AB534" s="109" t="s">
        <v>4451</v>
      </c>
      <c r="AC534" s="109">
        <v>40534</v>
      </c>
      <c r="AD534" s="85" t="s">
        <v>6905</v>
      </c>
      <c r="AE534" s="88" t="s">
        <v>4669</v>
      </c>
      <c r="AF534" s="88" t="s">
        <v>6906</v>
      </c>
      <c r="AG534" s="85" t="s">
        <v>6907</v>
      </c>
      <c r="AH534" s="85" t="s">
        <v>6908</v>
      </c>
      <c r="AI534" s="85" t="s">
        <v>4672</v>
      </c>
      <c r="AJ534" s="85" t="s">
        <v>6909</v>
      </c>
      <c r="AK534" s="85" t="s">
        <v>4372</v>
      </c>
      <c r="AL534" s="90"/>
      <c r="AM534" s="85" t="s">
        <v>4320</v>
      </c>
      <c r="AN534" s="85" t="s">
        <v>3124</v>
      </c>
      <c r="AO534" s="85" t="s">
        <v>6910</v>
      </c>
      <c r="AP534" s="88">
        <v>159</v>
      </c>
      <c r="AQ534" s="88">
        <v>45</v>
      </c>
      <c r="AR534" s="85" t="s">
        <v>4428</v>
      </c>
    </row>
    <row r="535" spans="2:44">
      <c r="B535" s="69" t="s">
        <v>4323</v>
      </c>
      <c r="C535" s="81">
        <v>532</v>
      </c>
      <c r="D535" s="82">
        <v>252610285</v>
      </c>
      <c r="E535" s="176" t="s">
        <v>1666</v>
      </c>
      <c r="F535" s="84" t="s">
        <v>1667</v>
      </c>
      <c r="G535" s="156" t="s">
        <v>1667</v>
      </c>
      <c r="H535" s="104" t="s">
        <v>6911</v>
      </c>
      <c r="I535" s="156" t="s">
        <v>1666</v>
      </c>
      <c r="J535" s="157" t="s">
        <v>1666</v>
      </c>
      <c r="K535" s="104" t="s">
        <v>90</v>
      </c>
      <c r="L535" s="104" t="s">
        <v>4343</v>
      </c>
      <c r="M535" s="105">
        <v>39906</v>
      </c>
      <c r="N535" s="104" t="s">
        <v>4307</v>
      </c>
      <c r="O535" s="104" t="s">
        <v>4344</v>
      </c>
      <c r="P535" s="88">
        <v>4</v>
      </c>
      <c r="Q535" s="88">
        <v>5</v>
      </c>
      <c r="R535" s="88">
        <v>0</v>
      </c>
      <c r="S535" s="88">
        <v>0</v>
      </c>
      <c r="T535" s="88">
        <f t="shared" si="8"/>
        <v>5</v>
      </c>
      <c r="U535" s="104" t="s">
        <v>4309</v>
      </c>
      <c r="V535" s="99" t="s">
        <v>4595</v>
      </c>
      <c r="W535" s="108" t="s">
        <v>6912</v>
      </c>
      <c r="X535" s="108" t="s">
        <v>4477</v>
      </c>
      <c r="Y535" s="108" t="s">
        <v>4360</v>
      </c>
      <c r="Z535" s="114"/>
      <c r="AA535" s="108" t="s">
        <v>4835</v>
      </c>
      <c r="AB535" s="108" t="s">
        <v>4395</v>
      </c>
      <c r="AC535" s="108">
        <v>40211</v>
      </c>
      <c r="AD535" s="104" t="s">
        <v>6913</v>
      </c>
      <c r="AE535" s="99" t="s">
        <v>6914</v>
      </c>
      <c r="AF535" s="99" t="s">
        <v>4348</v>
      </c>
      <c r="AG535" s="104" t="s">
        <v>6915</v>
      </c>
      <c r="AH535" s="104" t="s">
        <v>6916</v>
      </c>
      <c r="AI535" s="104" t="s">
        <v>4638</v>
      </c>
      <c r="AJ535" s="104" t="s">
        <v>4638</v>
      </c>
      <c r="AK535" s="104" t="s">
        <v>4553</v>
      </c>
      <c r="AL535" s="104" t="s">
        <v>6917</v>
      </c>
      <c r="AM535" s="104" t="s">
        <v>4372</v>
      </c>
      <c r="AN535" s="104" t="s">
        <v>6918</v>
      </c>
      <c r="AO535" s="104" t="s">
        <v>6919</v>
      </c>
      <c r="AP535" s="99">
        <v>146</v>
      </c>
      <c r="AQ535" s="99">
        <v>40</v>
      </c>
      <c r="AR535" s="104" t="s">
        <v>4340</v>
      </c>
    </row>
    <row r="536" spans="2:44">
      <c r="B536" s="69" t="s">
        <v>4325</v>
      </c>
      <c r="C536" s="81">
        <v>533</v>
      </c>
      <c r="D536" s="82">
        <v>252610047</v>
      </c>
      <c r="E536" s="102" t="s">
        <v>1094</v>
      </c>
      <c r="F536" s="171" t="s">
        <v>1095</v>
      </c>
      <c r="G536" s="162" t="s">
        <v>1095</v>
      </c>
      <c r="H536" s="85" t="s">
        <v>6920</v>
      </c>
      <c r="I536" s="162">
        <v>3090259322</v>
      </c>
      <c r="J536" s="163">
        <v>3090259322</v>
      </c>
      <c r="K536" s="85" t="s">
        <v>90</v>
      </c>
      <c r="L536" s="85" t="s">
        <v>4557</v>
      </c>
      <c r="M536" s="87">
        <v>40100</v>
      </c>
      <c r="N536" s="85" t="s">
        <v>4460</v>
      </c>
      <c r="O536" s="85" t="s">
        <v>4462</v>
      </c>
      <c r="P536" s="99">
        <v>4</v>
      </c>
      <c r="Q536" s="99">
        <v>3</v>
      </c>
      <c r="R536" s="99">
        <v>0</v>
      </c>
      <c r="S536" s="99">
        <v>0</v>
      </c>
      <c r="T536" s="88">
        <f t="shared" si="8"/>
        <v>3</v>
      </c>
      <c r="U536" s="85" t="s">
        <v>4594</v>
      </c>
      <c r="V536" s="88" t="s">
        <v>4358</v>
      </c>
      <c r="W536" s="109" t="s">
        <v>6921</v>
      </c>
      <c r="X536" s="109" t="s">
        <v>4544</v>
      </c>
      <c r="Y536" s="109" t="s">
        <v>4391</v>
      </c>
      <c r="Z536" s="109" t="s">
        <v>6922</v>
      </c>
      <c r="AA536" s="109" t="s">
        <v>6922</v>
      </c>
      <c r="AB536" s="109" t="s">
        <v>4766</v>
      </c>
      <c r="AC536" s="109">
        <v>40215</v>
      </c>
      <c r="AD536" s="85" t="s">
        <v>6923</v>
      </c>
      <c r="AE536" s="88" t="s">
        <v>4410</v>
      </c>
      <c r="AF536" s="88">
        <v>2</v>
      </c>
      <c r="AG536" s="85" t="s">
        <v>6924</v>
      </c>
      <c r="AH536" s="85" t="s">
        <v>6925</v>
      </c>
      <c r="AI536" s="85" t="s">
        <v>5830</v>
      </c>
      <c r="AJ536" s="85" t="s">
        <v>5830</v>
      </c>
      <c r="AK536" s="85" t="s">
        <v>4338</v>
      </c>
      <c r="AL536" s="85" t="s">
        <v>6926</v>
      </c>
      <c r="AM536" s="85" t="s">
        <v>4338</v>
      </c>
      <c r="AN536" s="85" t="s">
        <v>6927</v>
      </c>
      <c r="AO536" s="90"/>
      <c r="AP536" s="88">
        <v>158</v>
      </c>
      <c r="AQ536" s="88">
        <v>49</v>
      </c>
      <c r="AR536" s="85" t="s">
        <v>4322</v>
      </c>
    </row>
    <row r="537" s="66" customFormat="1" spans="2:44">
      <c r="B537" s="91" t="s">
        <v>4355</v>
      </c>
      <c r="C537" s="92">
        <v>534</v>
      </c>
      <c r="D537" s="93">
        <v>252610190</v>
      </c>
      <c r="E537" s="175" t="s">
        <v>1475</v>
      </c>
      <c r="F537" s="95" t="s">
        <v>1476</v>
      </c>
      <c r="G537" s="161" t="s">
        <v>4260</v>
      </c>
      <c r="H537" s="97"/>
      <c r="I537" s="161" t="s">
        <v>1475</v>
      </c>
      <c r="J537" s="161" t="s">
        <v>1475</v>
      </c>
      <c r="K537" s="97"/>
      <c r="L537" s="97"/>
      <c r="M537" s="98"/>
      <c r="N537" s="97"/>
      <c r="O537" s="97"/>
      <c r="P537" s="99"/>
      <c r="Q537" s="96"/>
      <c r="R537" s="96"/>
      <c r="S537" s="96"/>
      <c r="T537" s="88">
        <f t="shared" si="8"/>
        <v>0</v>
      </c>
      <c r="U537" s="97"/>
      <c r="V537" s="100"/>
      <c r="W537" s="101"/>
      <c r="X537" s="101"/>
      <c r="Y537" s="101"/>
      <c r="Z537" s="101"/>
      <c r="AA537" s="101"/>
      <c r="AB537" s="101"/>
      <c r="AC537" s="101"/>
      <c r="AD537" s="97"/>
      <c r="AE537" s="100"/>
      <c r="AF537" s="100"/>
      <c r="AG537" s="97"/>
      <c r="AH537" s="97"/>
      <c r="AI537" s="97"/>
      <c r="AJ537" s="97"/>
      <c r="AK537" s="97"/>
      <c r="AL537" s="97"/>
      <c r="AM537" s="97"/>
      <c r="AN537" s="97"/>
      <c r="AO537" s="97"/>
      <c r="AP537" s="100"/>
      <c r="AQ537" s="100"/>
      <c r="AR537" s="97"/>
    </row>
    <row r="538" s="66" customFormat="1" spans="2:44">
      <c r="B538" s="91" t="s">
        <v>4324</v>
      </c>
      <c r="C538" s="92">
        <v>535</v>
      </c>
      <c r="D538" s="93">
        <v>252610142</v>
      </c>
      <c r="E538" s="175" t="s">
        <v>1668</v>
      </c>
      <c r="F538" s="95" t="s">
        <v>1669</v>
      </c>
      <c r="G538" s="160" t="s">
        <v>4261</v>
      </c>
      <c r="H538" s="97"/>
      <c r="I538" s="160" t="s">
        <v>1668</v>
      </c>
      <c r="J538" s="160" t="s">
        <v>1668</v>
      </c>
      <c r="K538" s="97"/>
      <c r="L538" s="97"/>
      <c r="M538" s="98"/>
      <c r="N538" s="97"/>
      <c r="O538" s="97"/>
      <c r="P538" s="88"/>
      <c r="Q538" s="96"/>
      <c r="R538" s="96"/>
      <c r="S538" s="96"/>
      <c r="T538" s="88">
        <f t="shared" si="8"/>
        <v>0</v>
      </c>
      <c r="U538" s="97"/>
      <c r="V538" s="100"/>
      <c r="W538" s="101"/>
      <c r="X538" s="101"/>
      <c r="Y538" s="101"/>
      <c r="Z538" s="101"/>
      <c r="AA538" s="101"/>
      <c r="AB538" s="101"/>
      <c r="AC538" s="101"/>
      <c r="AD538" s="97"/>
      <c r="AE538" s="100"/>
      <c r="AF538" s="100"/>
      <c r="AG538" s="97"/>
      <c r="AH538" s="97"/>
      <c r="AI538" s="97"/>
      <c r="AJ538" s="97"/>
      <c r="AK538" s="97"/>
      <c r="AL538" s="97"/>
      <c r="AM538" s="97"/>
      <c r="AN538" s="97"/>
      <c r="AO538" s="97"/>
      <c r="AP538" s="100"/>
      <c r="AQ538" s="100"/>
      <c r="AR538" s="97"/>
    </row>
    <row r="539" spans="2:44">
      <c r="B539" s="69" t="s">
        <v>4354</v>
      </c>
      <c r="C539" s="81">
        <v>536</v>
      </c>
      <c r="D539" s="82">
        <v>252610096</v>
      </c>
      <c r="E539" s="116" t="s">
        <v>1861</v>
      </c>
      <c r="F539" s="84" t="s">
        <v>1862</v>
      </c>
      <c r="G539" s="165" t="s">
        <v>1862</v>
      </c>
      <c r="H539" s="104" t="s">
        <v>6928</v>
      </c>
      <c r="I539" s="165" t="s">
        <v>1861</v>
      </c>
      <c r="J539" s="163" t="s">
        <v>1861</v>
      </c>
      <c r="K539" s="104" t="s">
        <v>90</v>
      </c>
      <c r="L539" s="104" t="s">
        <v>4327</v>
      </c>
      <c r="M539" s="105">
        <v>40114</v>
      </c>
      <c r="N539" s="104" t="s">
        <v>4307</v>
      </c>
      <c r="O539" s="104" t="s">
        <v>4344</v>
      </c>
      <c r="P539" s="88">
        <v>1</v>
      </c>
      <c r="Q539" s="88">
        <v>2</v>
      </c>
      <c r="R539" s="88">
        <v>1</v>
      </c>
      <c r="S539" s="88">
        <v>0</v>
      </c>
      <c r="T539" s="88">
        <f t="shared" si="8"/>
        <v>3</v>
      </c>
      <c r="U539" s="104" t="s">
        <v>4344</v>
      </c>
      <c r="V539" s="99" t="s">
        <v>4595</v>
      </c>
      <c r="W539" s="108" t="s">
        <v>6929</v>
      </c>
      <c r="X539" s="108" t="s">
        <v>4492</v>
      </c>
      <c r="Y539" s="108">
        <v>24</v>
      </c>
      <c r="Z539" s="108" t="s">
        <v>5366</v>
      </c>
      <c r="AA539" s="108" t="s">
        <v>4363</v>
      </c>
      <c r="AB539" s="108" t="s">
        <v>4479</v>
      </c>
      <c r="AC539" s="108">
        <v>40534</v>
      </c>
      <c r="AD539" s="104" t="s">
        <v>6930</v>
      </c>
      <c r="AE539" s="99" t="s">
        <v>4669</v>
      </c>
      <c r="AF539" s="99" t="s">
        <v>5269</v>
      </c>
      <c r="AG539" s="104" t="s">
        <v>6931</v>
      </c>
      <c r="AH539" s="104" t="s">
        <v>6932</v>
      </c>
      <c r="AI539" s="104" t="s">
        <v>4351</v>
      </c>
      <c r="AJ539" s="104" t="s">
        <v>4318</v>
      </c>
      <c r="AK539" s="104" t="s">
        <v>4319</v>
      </c>
      <c r="AL539" s="104" t="s">
        <v>4406</v>
      </c>
      <c r="AM539" s="104" t="s">
        <v>4372</v>
      </c>
      <c r="AN539" s="104" t="s">
        <v>3124</v>
      </c>
      <c r="AO539" s="104">
        <v>0</v>
      </c>
      <c r="AP539" s="99">
        <v>150</v>
      </c>
      <c r="AQ539" s="99">
        <v>40</v>
      </c>
      <c r="AR539" s="104" t="s">
        <v>4322</v>
      </c>
    </row>
    <row r="540" s="66" customFormat="1" spans="2:44">
      <c r="B540" s="91" t="s">
        <v>4341</v>
      </c>
      <c r="C540" s="92">
        <v>537</v>
      </c>
      <c r="D540" s="93">
        <v>252610333</v>
      </c>
      <c r="E540" s="175" t="s">
        <v>1961</v>
      </c>
      <c r="F540" s="95" t="s">
        <v>1962</v>
      </c>
      <c r="G540" s="161" t="s">
        <v>1962</v>
      </c>
      <c r="H540" s="97"/>
      <c r="I540" s="161" t="s">
        <v>1961</v>
      </c>
      <c r="J540" s="161" t="s">
        <v>1961</v>
      </c>
      <c r="K540" s="97"/>
      <c r="L540" s="97"/>
      <c r="M540" s="98"/>
      <c r="N540" s="97"/>
      <c r="O540" s="97"/>
      <c r="P540" s="88"/>
      <c r="Q540" s="96"/>
      <c r="R540" s="96"/>
      <c r="S540" s="96"/>
      <c r="T540" s="88">
        <f t="shared" si="8"/>
        <v>0</v>
      </c>
      <c r="U540" s="97"/>
      <c r="V540" s="100"/>
      <c r="W540" s="101"/>
      <c r="X540" s="101"/>
      <c r="Y540" s="101"/>
      <c r="Z540" s="101"/>
      <c r="AA540" s="101"/>
      <c r="AB540" s="101"/>
      <c r="AC540" s="101"/>
      <c r="AD540" s="97"/>
      <c r="AE540" s="100"/>
      <c r="AF540" s="100"/>
      <c r="AG540" s="97"/>
      <c r="AH540" s="97"/>
      <c r="AI540" s="97"/>
      <c r="AJ540" s="97"/>
      <c r="AK540" s="97"/>
      <c r="AL540" s="97"/>
      <c r="AM540" s="97"/>
      <c r="AN540" s="97"/>
      <c r="AO540" s="97"/>
      <c r="AP540" s="100"/>
      <c r="AQ540" s="100"/>
      <c r="AR540" s="97"/>
    </row>
    <row r="541" s="66" customFormat="1" spans="2:44">
      <c r="B541" s="91" t="s">
        <v>4568</v>
      </c>
      <c r="C541" s="92">
        <v>538</v>
      </c>
      <c r="D541" s="93">
        <v>252610238</v>
      </c>
      <c r="E541" s="175" t="s">
        <v>995</v>
      </c>
      <c r="F541" s="95" t="s">
        <v>996</v>
      </c>
      <c r="G541" s="160" t="s">
        <v>996</v>
      </c>
      <c r="H541" s="97"/>
      <c r="I541" s="160" t="s">
        <v>995</v>
      </c>
      <c r="J541" s="160" t="s">
        <v>995</v>
      </c>
      <c r="K541" s="97"/>
      <c r="L541" s="97"/>
      <c r="M541" s="98"/>
      <c r="N541" s="97"/>
      <c r="O541" s="97"/>
      <c r="P541" s="99"/>
      <c r="Q541" s="96"/>
      <c r="R541" s="96"/>
      <c r="S541" s="96"/>
      <c r="T541" s="88">
        <f t="shared" si="8"/>
        <v>0</v>
      </c>
      <c r="U541" s="97"/>
      <c r="V541" s="100"/>
      <c r="W541" s="101"/>
      <c r="X541" s="101"/>
      <c r="Y541" s="101"/>
      <c r="Z541" s="101"/>
      <c r="AA541" s="101"/>
      <c r="AB541" s="101"/>
      <c r="AC541" s="101"/>
      <c r="AD541" s="97"/>
      <c r="AE541" s="100"/>
      <c r="AF541" s="100"/>
      <c r="AG541" s="97"/>
      <c r="AH541" s="97"/>
      <c r="AI541" s="97"/>
      <c r="AJ541" s="97"/>
      <c r="AK541" s="97"/>
      <c r="AL541" s="97"/>
      <c r="AM541" s="97"/>
      <c r="AN541" s="97"/>
      <c r="AO541" s="97"/>
      <c r="AP541" s="100"/>
      <c r="AQ541" s="100"/>
      <c r="AR541" s="97"/>
    </row>
    <row r="542" s="66" customFormat="1" spans="2:44">
      <c r="B542" s="91" t="s">
        <v>4386</v>
      </c>
      <c r="C542" s="92">
        <v>539</v>
      </c>
      <c r="D542" s="93">
        <v>252610380</v>
      </c>
      <c r="E542" s="175" t="s">
        <v>1670</v>
      </c>
      <c r="F542" s="95" t="s">
        <v>1671</v>
      </c>
      <c r="G542" s="161" t="s">
        <v>1671</v>
      </c>
      <c r="H542" s="97"/>
      <c r="I542" s="161" t="s">
        <v>1670</v>
      </c>
      <c r="J542" s="161" t="s">
        <v>1670</v>
      </c>
      <c r="K542" s="97"/>
      <c r="L542" s="97"/>
      <c r="M542" s="98"/>
      <c r="N542" s="97"/>
      <c r="O542" s="97"/>
      <c r="P542" s="88"/>
      <c r="Q542" s="96"/>
      <c r="R542" s="96"/>
      <c r="S542" s="96"/>
      <c r="T542" s="88">
        <f t="shared" si="8"/>
        <v>0</v>
      </c>
      <c r="U542" s="97"/>
      <c r="V542" s="100"/>
      <c r="W542" s="101"/>
      <c r="X542" s="101"/>
      <c r="Y542" s="101"/>
      <c r="Z542" s="101"/>
      <c r="AA542" s="101"/>
      <c r="AB542" s="101"/>
      <c r="AC542" s="101"/>
      <c r="AD542" s="97"/>
      <c r="AE542" s="100"/>
      <c r="AF542" s="100"/>
      <c r="AG542" s="97"/>
      <c r="AH542" s="97"/>
      <c r="AI542" s="97"/>
      <c r="AJ542" s="97"/>
      <c r="AK542" s="97"/>
      <c r="AL542" s="97"/>
      <c r="AM542" s="97"/>
      <c r="AN542" s="97"/>
      <c r="AO542" s="97"/>
      <c r="AP542" s="100"/>
      <c r="AQ542" s="100"/>
      <c r="AR542" s="97"/>
    </row>
    <row r="543" spans="2:44">
      <c r="B543" s="69" t="s">
        <v>4324</v>
      </c>
      <c r="C543" s="81">
        <v>540</v>
      </c>
      <c r="D543" s="82">
        <v>252610143</v>
      </c>
      <c r="E543" s="116" t="s">
        <v>1289</v>
      </c>
      <c r="F543" s="178" t="s">
        <v>1290</v>
      </c>
      <c r="G543" s="165" t="s">
        <v>4262</v>
      </c>
      <c r="H543" s="104" t="s">
        <v>6933</v>
      </c>
      <c r="I543" s="165" t="s">
        <v>1289</v>
      </c>
      <c r="J543" s="163" t="s">
        <v>1289</v>
      </c>
      <c r="K543" s="104" t="s">
        <v>90</v>
      </c>
      <c r="L543" s="104" t="s">
        <v>6934</v>
      </c>
      <c r="M543" s="105">
        <v>40326</v>
      </c>
      <c r="N543" s="104" t="s">
        <v>4460</v>
      </c>
      <c r="O543" s="104" t="s">
        <v>4308</v>
      </c>
      <c r="P543" s="88">
        <v>1</v>
      </c>
      <c r="Q543" s="88">
        <v>2</v>
      </c>
      <c r="R543" s="88">
        <v>0</v>
      </c>
      <c r="S543" s="88">
        <v>0</v>
      </c>
      <c r="T543" s="88">
        <f t="shared" si="8"/>
        <v>2</v>
      </c>
      <c r="U543" s="104" t="s">
        <v>4308</v>
      </c>
      <c r="V543" s="99" t="s">
        <v>4330</v>
      </c>
      <c r="W543" s="108" t="s">
        <v>6935</v>
      </c>
      <c r="X543" s="108" t="s">
        <v>4492</v>
      </c>
      <c r="Y543" s="108">
        <v>28</v>
      </c>
      <c r="Z543" s="114"/>
      <c r="AA543" s="108" t="s">
        <v>4574</v>
      </c>
      <c r="AB543" s="108" t="s">
        <v>4364</v>
      </c>
      <c r="AC543" s="108">
        <v>40535</v>
      </c>
      <c r="AD543" s="104" t="s">
        <v>6936</v>
      </c>
      <c r="AE543" s="99" t="s">
        <v>4333</v>
      </c>
      <c r="AF543" s="99">
        <v>1</v>
      </c>
      <c r="AG543" s="104" t="s">
        <v>6937</v>
      </c>
      <c r="AH543" s="104" t="s">
        <v>6938</v>
      </c>
      <c r="AI543" s="104" t="s">
        <v>6939</v>
      </c>
      <c r="AJ543" s="104" t="s">
        <v>6939</v>
      </c>
      <c r="AK543" s="104" t="s">
        <v>4320</v>
      </c>
      <c r="AL543" s="106"/>
      <c r="AM543" s="104" t="s">
        <v>4372</v>
      </c>
      <c r="AN543" s="104" t="s">
        <v>6072</v>
      </c>
      <c r="AO543" s="106"/>
      <c r="AP543" s="99">
        <v>158</v>
      </c>
      <c r="AQ543" s="99">
        <v>42</v>
      </c>
      <c r="AR543" s="104" t="s">
        <v>4322</v>
      </c>
    </row>
    <row r="544" spans="2:44">
      <c r="B544" s="69" t="s">
        <v>4373</v>
      </c>
      <c r="C544" s="81">
        <v>541</v>
      </c>
      <c r="D544" s="82">
        <v>252610524</v>
      </c>
      <c r="E544" s="176" t="s">
        <v>1371</v>
      </c>
      <c r="F544" s="84" t="s">
        <v>1372</v>
      </c>
      <c r="G544" s="159" t="s">
        <v>1372</v>
      </c>
      <c r="H544" s="85" t="s">
        <v>6940</v>
      </c>
      <c r="I544" s="159" t="s">
        <v>4263</v>
      </c>
      <c r="J544" s="157" t="s">
        <v>1371</v>
      </c>
      <c r="K544" s="85" t="s">
        <v>90</v>
      </c>
      <c r="L544" s="85" t="s">
        <v>6941</v>
      </c>
      <c r="M544" s="87">
        <v>40205</v>
      </c>
      <c r="N544" s="85" t="s">
        <v>4460</v>
      </c>
      <c r="O544" s="85" t="s">
        <v>4489</v>
      </c>
      <c r="P544" s="99">
        <v>4</v>
      </c>
      <c r="Q544" s="99">
        <v>3</v>
      </c>
      <c r="R544" s="99">
        <v>0</v>
      </c>
      <c r="S544" s="99">
        <v>0</v>
      </c>
      <c r="T544" s="88">
        <f t="shared" si="8"/>
        <v>3</v>
      </c>
      <c r="U544" s="85" t="s">
        <v>4344</v>
      </c>
      <c r="V544" s="88" t="s">
        <v>4595</v>
      </c>
      <c r="W544" s="109" t="s">
        <v>6942</v>
      </c>
      <c r="X544" s="109" t="s">
        <v>4606</v>
      </c>
      <c r="Y544" s="109" t="s">
        <v>4431</v>
      </c>
      <c r="Z544" s="109" t="s">
        <v>6943</v>
      </c>
      <c r="AA544" s="109" t="s">
        <v>6477</v>
      </c>
      <c r="AB544" s="109" t="s">
        <v>4562</v>
      </c>
      <c r="AC544" s="109">
        <v>40215</v>
      </c>
      <c r="AD544" s="85" t="s">
        <v>6944</v>
      </c>
      <c r="AE544" s="88" t="s">
        <v>5764</v>
      </c>
      <c r="AF544" s="88" t="s">
        <v>4742</v>
      </c>
      <c r="AG544" s="85" t="s">
        <v>6945</v>
      </c>
      <c r="AH544" s="85" t="s">
        <v>6946</v>
      </c>
      <c r="AI544" s="85" t="s">
        <v>4384</v>
      </c>
      <c r="AJ544" s="85" t="s">
        <v>4318</v>
      </c>
      <c r="AK544" s="85" t="s">
        <v>4337</v>
      </c>
      <c r="AL544" s="90"/>
      <c r="AM544" s="85" t="s">
        <v>4372</v>
      </c>
      <c r="AN544" s="85" t="s">
        <v>4800</v>
      </c>
      <c r="AO544" s="90"/>
      <c r="AP544" s="88">
        <v>154</v>
      </c>
      <c r="AQ544" s="88">
        <v>42</v>
      </c>
      <c r="AR544" s="85" t="s">
        <v>4428</v>
      </c>
    </row>
    <row r="545" s="66" customFormat="1" spans="2:44">
      <c r="B545" s="91" t="s">
        <v>4304</v>
      </c>
      <c r="C545" s="92">
        <v>542</v>
      </c>
      <c r="D545" s="93">
        <v>252610476</v>
      </c>
      <c r="E545" s="175" t="s">
        <v>1769</v>
      </c>
      <c r="F545" s="95" t="s">
        <v>1770</v>
      </c>
      <c r="G545" s="160" t="s">
        <v>1770</v>
      </c>
      <c r="H545" s="97"/>
      <c r="I545" s="160" t="s">
        <v>1769</v>
      </c>
      <c r="J545" s="160" t="s">
        <v>1769</v>
      </c>
      <c r="K545" s="97"/>
      <c r="L545" s="97"/>
      <c r="M545" s="98"/>
      <c r="N545" s="97"/>
      <c r="O545" s="97"/>
      <c r="P545" s="99"/>
      <c r="Q545" s="96"/>
      <c r="R545" s="96"/>
      <c r="S545" s="96"/>
      <c r="T545" s="88">
        <f t="shared" si="8"/>
        <v>0</v>
      </c>
      <c r="U545" s="97"/>
      <c r="V545" s="100"/>
      <c r="W545" s="101"/>
      <c r="X545" s="101"/>
      <c r="Y545" s="101"/>
      <c r="Z545" s="101"/>
      <c r="AA545" s="101"/>
      <c r="AB545" s="101"/>
      <c r="AC545" s="101"/>
      <c r="AD545" s="97"/>
      <c r="AE545" s="100"/>
      <c r="AF545" s="100"/>
      <c r="AG545" s="97"/>
      <c r="AH545" s="97"/>
      <c r="AI545" s="97"/>
      <c r="AJ545" s="97"/>
      <c r="AK545" s="97"/>
      <c r="AL545" s="97"/>
      <c r="AM545" s="97"/>
      <c r="AN545" s="97"/>
      <c r="AO545" s="97"/>
      <c r="AP545" s="100"/>
      <c r="AQ545" s="100"/>
      <c r="AR545" s="97"/>
    </row>
    <row r="546" s="66" customFormat="1" spans="2:44">
      <c r="B546" s="91" t="s">
        <v>4355</v>
      </c>
      <c r="C546" s="92">
        <v>543</v>
      </c>
      <c r="D546" s="93">
        <v>252610191</v>
      </c>
      <c r="E546" s="115" t="s">
        <v>1373</v>
      </c>
      <c r="F546" s="95" t="s">
        <v>1374</v>
      </c>
      <c r="G546" s="161" t="s">
        <v>1374</v>
      </c>
      <c r="H546" s="97"/>
      <c r="I546" s="161" t="s">
        <v>1373</v>
      </c>
      <c r="J546" s="161" t="s">
        <v>1373</v>
      </c>
      <c r="K546" s="97"/>
      <c r="L546" s="97"/>
      <c r="M546" s="98"/>
      <c r="N546" s="97"/>
      <c r="O546" s="97"/>
      <c r="P546" s="88"/>
      <c r="Q546" s="96"/>
      <c r="R546" s="96"/>
      <c r="S546" s="96"/>
      <c r="T546" s="88">
        <f t="shared" si="8"/>
        <v>0</v>
      </c>
      <c r="U546" s="97"/>
      <c r="V546" s="100"/>
      <c r="W546" s="101"/>
      <c r="X546" s="101"/>
      <c r="Y546" s="101"/>
      <c r="Z546" s="101"/>
      <c r="AA546" s="101"/>
      <c r="AB546" s="101"/>
      <c r="AC546" s="101"/>
      <c r="AD546" s="97"/>
      <c r="AE546" s="100"/>
      <c r="AF546" s="100"/>
      <c r="AG546" s="97"/>
      <c r="AH546" s="97"/>
      <c r="AI546" s="97"/>
      <c r="AJ546" s="97"/>
      <c r="AK546" s="97"/>
      <c r="AL546" s="97"/>
      <c r="AM546" s="97"/>
      <c r="AN546" s="97"/>
      <c r="AO546" s="97"/>
      <c r="AP546" s="100"/>
      <c r="AQ546" s="100"/>
      <c r="AR546" s="97"/>
    </row>
    <row r="547" spans="2:44">
      <c r="B547" s="69" t="s">
        <v>4355</v>
      </c>
      <c r="C547" s="81">
        <v>544</v>
      </c>
      <c r="D547" s="82">
        <v>252610192</v>
      </c>
      <c r="E547" s="83" t="s">
        <v>1191</v>
      </c>
      <c r="F547" s="84" t="s">
        <v>1192</v>
      </c>
      <c r="G547" s="156" t="s">
        <v>1192</v>
      </c>
      <c r="H547" s="104" t="s">
        <v>6947</v>
      </c>
      <c r="I547" s="156" t="s">
        <v>1191</v>
      </c>
      <c r="J547" s="157" t="s">
        <v>1191</v>
      </c>
      <c r="K547" s="104" t="s">
        <v>90</v>
      </c>
      <c r="L547" s="104" t="s">
        <v>4629</v>
      </c>
      <c r="M547" s="105">
        <v>40338</v>
      </c>
      <c r="N547" s="104" t="s">
        <v>4328</v>
      </c>
      <c r="O547" s="104" t="s">
        <v>4489</v>
      </c>
      <c r="P547" s="88">
        <v>2</v>
      </c>
      <c r="Q547" s="88">
        <v>1</v>
      </c>
      <c r="R547" s="88">
        <v>0</v>
      </c>
      <c r="S547" s="88">
        <v>0</v>
      </c>
      <c r="T547" s="88">
        <f t="shared" si="8"/>
        <v>1</v>
      </c>
      <c r="U547" s="104" t="s">
        <v>4489</v>
      </c>
      <c r="V547" s="99" t="s">
        <v>4358</v>
      </c>
      <c r="W547" s="108" t="s">
        <v>6948</v>
      </c>
      <c r="X547" s="108" t="s">
        <v>4793</v>
      </c>
      <c r="Y547" s="108" t="s">
        <v>4477</v>
      </c>
      <c r="Z547" s="108" t="s">
        <v>4494</v>
      </c>
      <c r="AA547" s="108" t="s">
        <v>4494</v>
      </c>
      <c r="AB547" s="108" t="s">
        <v>4451</v>
      </c>
      <c r="AC547" s="108">
        <v>40534</v>
      </c>
      <c r="AD547" s="104" t="s">
        <v>6949</v>
      </c>
      <c r="AE547" s="99" t="s">
        <v>4496</v>
      </c>
      <c r="AF547" s="99" t="s">
        <v>4733</v>
      </c>
      <c r="AG547" s="104" t="s">
        <v>6950</v>
      </c>
      <c r="AH547" s="104" t="s">
        <v>6951</v>
      </c>
      <c r="AI547" s="104" t="s">
        <v>6952</v>
      </c>
      <c r="AJ547" s="104" t="s">
        <v>4638</v>
      </c>
      <c r="AK547" s="104" t="s">
        <v>4553</v>
      </c>
      <c r="AL547" s="106"/>
      <c r="AM547" s="104" t="s">
        <v>4372</v>
      </c>
      <c r="AN547" s="104" t="s">
        <v>3124</v>
      </c>
      <c r="AO547" s="106"/>
      <c r="AP547" s="99">
        <v>146</v>
      </c>
      <c r="AQ547" s="99">
        <v>42</v>
      </c>
      <c r="AR547" s="104" t="s">
        <v>4322</v>
      </c>
    </row>
    <row r="548" spans="2:44">
      <c r="B548" s="69" t="s">
        <v>4386</v>
      </c>
      <c r="C548" s="81">
        <v>545</v>
      </c>
      <c r="D548" s="82">
        <v>252610381</v>
      </c>
      <c r="E548" s="176" t="s">
        <v>1375</v>
      </c>
      <c r="F548" s="84" t="s">
        <v>1376</v>
      </c>
      <c r="G548" s="179" t="s">
        <v>1376</v>
      </c>
      <c r="H548" s="85" t="s">
        <v>6953</v>
      </c>
      <c r="I548" s="180" t="s">
        <v>4269</v>
      </c>
      <c r="J548" s="163" t="s">
        <v>4269</v>
      </c>
      <c r="K548" s="85" t="s">
        <v>89</v>
      </c>
      <c r="L548" s="85" t="s">
        <v>6954</v>
      </c>
      <c r="M548" s="87">
        <v>39944</v>
      </c>
      <c r="N548" s="85" t="s">
        <v>4328</v>
      </c>
      <c r="O548" s="85" t="s">
        <v>4489</v>
      </c>
      <c r="P548" s="99">
        <v>3</v>
      </c>
      <c r="Q548" s="99">
        <v>4</v>
      </c>
      <c r="R548" s="99">
        <v>0</v>
      </c>
      <c r="S548" s="99">
        <v>0</v>
      </c>
      <c r="T548" s="88">
        <f t="shared" si="8"/>
        <v>4</v>
      </c>
      <c r="U548" s="85" t="s">
        <v>5686</v>
      </c>
      <c r="V548" s="88" t="s">
        <v>4330</v>
      </c>
      <c r="W548" s="109" t="s">
        <v>6955</v>
      </c>
      <c r="X548" s="109" t="s">
        <v>6956</v>
      </c>
      <c r="Y548" s="109" t="s">
        <v>6957</v>
      </c>
      <c r="Z548" s="109" t="s">
        <v>6958</v>
      </c>
      <c r="AA548" s="109" t="s">
        <v>6959</v>
      </c>
      <c r="AB548" s="109" t="s">
        <v>4562</v>
      </c>
      <c r="AC548" s="109">
        <v>40212</v>
      </c>
      <c r="AD548" s="85" t="s">
        <v>6960</v>
      </c>
      <c r="AE548" s="88" t="s">
        <v>4410</v>
      </c>
      <c r="AF548" s="88">
        <v>0</v>
      </c>
      <c r="AG548" s="85" t="s">
        <v>6961</v>
      </c>
      <c r="AH548" s="85" t="s">
        <v>6962</v>
      </c>
      <c r="AI548" s="85" t="s">
        <v>4318</v>
      </c>
      <c r="AJ548" s="85" t="s">
        <v>4456</v>
      </c>
      <c r="AK548" s="85" t="s">
        <v>4337</v>
      </c>
      <c r="AL548" s="85" t="s">
        <v>5038</v>
      </c>
      <c r="AM548" s="85" t="s">
        <v>4372</v>
      </c>
      <c r="AN548" s="85" t="s">
        <v>6963</v>
      </c>
      <c r="AO548" s="85" t="s">
        <v>6964</v>
      </c>
      <c r="AP548" s="88">
        <v>163</v>
      </c>
      <c r="AQ548" s="88">
        <v>50</v>
      </c>
      <c r="AR548" s="85" t="s">
        <v>4340</v>
      </c>
    </row>
    <row r="549" spans="2:44">
      <c r="B549" s="69" t="s">
        <v>4373</v>
      </c>
      <c r="C549" s="81">
        <v>546</v>
      </c>
      <c r="D549" s="82">
        <v>252610525</v>
      </c>
      <c r="E549" s="176" t="s">
        <v>1771</v>
      </c>
      <c r="F549" s="84" t="s">
        <v>1772</v>
      </c>
      <c r="G549" s="162" t="s">
        <v>1772</v>
      </c>
      <c r="H549" s="85" t="s">
        <v>6965</v>
      </c>
      <c r="I549" s="162" t="s">
        <v>1771</v>
      </c>
      <c r="J549" s="163" t="s">
        <v>1771</v>
      </c>
      <c r="K549" s="85" t="s">
        <v>90</v>
      </c>
      <c r="L549" s="85" t="s">
        <v>4557</v>
      </c>
      <c r="M549" s="87">
        <v>40030</v>
      </c>
      <c r="N549" s="85" t="s">
        <v>4328</v>
      </c>
      <c r="O549" s="85" t="s">
        <v>4489</v>
      </c>
      <c r="P549" s="99">
        <v>2</v>
      </c>
      <c r="Q549" s="99">
        <v>1</v>
      </c>
      <c r="R549" s="99">
        <v>0</v>
      </c>
      <c r="S549" s="99">
        <v>0</v>
      </c>
      <c r="T549" s="88">
        <f t="shared" si="8"/>
        <v>1</v>
      </c>
      <c r="U549" s="85" t="s">
        <v>5686</v>
      </c>
      <c r="V549" s="88" t="s">
        <v>4310</v>
      </c>
      <c r="W549" s="109" t="s">
        <v>6966</v>
      </c>
      <c r="X549" s="109" t="s">
        <v>4360</v>
      </c>
      <c r="Y549" s="109" t="s">
        <v>5230</v>
      </c>
      <c r="Z549" s="109" t="s">
        <v>6967</v>
      </c>
      <c r="AA549" s="109" t="s">
        <v>4420</v>
      </c>
      <c r="AB549" s="109" t="s">
        <v>4420</v>
      </c>
      <c r="AC549" s="109">
        <v>40215</v>
      </c>
      <c r="AD549" s="85" t="s">
        <v>6968</v>
      </c>
      <c r="AE549" s="88" t="s">
        <v>4410</v>
      </c>
      <c r="AF549" s="88" t="s">
        <v>4314</v>
      </c>
      <c r="AG549" s="85" t="s">
        <v>6969</v>
      </c>
      <c r="AH549" s="85" t="s">
        <v>6970</v>
      </c>
      <c r="AI549" s="85" t="s">
        <v>4638</v>
      </c>
      <c r="AJ549" s="85" t="s">
        <v>4638</v>
      </c>
      <c r="AK549" s="85" t="s">
        <v>4337</v>
      </c>
      <c r="AL549" s="90"/>
      <c r="AM549" s="85" t="s">
        <v>4372</v>
      </c>
      <c r="AN549" s="85" t="s">
        <v>3421</v>
      </c>
      <c r="AO549" s="85"/>
      <c r="AP549" s="88">
        <v>157</v>
      </c>
      <c r="AQ549" s="88">
        <v>43</v>
      </c>
      <c r="AR549" s="85" t="s">
        <v>4428</v>
      </c>
    </row>
    <row r="550" spans="2:44">
      <c r="B550" s="69" t="s">
        <v>4325</v>
      </c>
      <c r="C550" s="81">
        <v>547</v>
      </c>
      <c r="D550" s="82">
        <v>252610048</v>
      </c>
      <c r="E550" s="102" t="s">
        <v>1963</v>
      </c>
      <c r="F550" s="171" t="s">
        <v>1964</v>
      </c>
      <c r="G550" s="156" t="s">
        <v>1964</v>
      </c>
      <c r="H550" s="104" t="s">
        <v>6971</v>
      </c>
      <c r="I550" s="156" t="s">
        <v>1963</v>
      </c>
      <c r="J550" s="157" t="s">
        <v>1963</v>
      </c>
      <c r="K550" s="104" t="s">
        <v>90</v>
      </c>
      <c r="L550" s="104" t="s">
        <v>4459</v>
      </c>
      <c r="M550" s="105">
        <v>40098</v>
      </c>
      <c r="N550" s="104" t="s">
        <v>4460</v>
      </c>
      <c r="O550" s="104" t="s">
        <v>4462</v>
      </c>
      <c r="P550" s="88">
        <v>3</v>
      </c>
      <c r="Q550" s="88">
        <v>4</v>
      </c>
      <c r="R550" s="88">
        <v>2</v>
      </c>
      <c r="S550" s="88">
        <v>6</v>
      </c>
      <c r="T550" s="88">
        <f t="shared" si="8"/>
        <v>12</v>
      </c>
      <c r="U550" s="104" t="s">
        <v>4791</v>
      </c>
      <c r="V550" s="99">
        <v>0</v>
      </c>
      <c r="W550" s="108" t="s">
        <v>6972</v>
      </c>
      <c r="X550" s="108" t="s">
        <v>4464</v>
      </c>
      <c r="Y550" s="108" t="s">
        <v>4464</v>
      </c>
      <c r="Z550" s="108" t="s">
        <v>6973</v>
      </c>
      <c r="AA550" s="108" t="s">
        <v>5679</v>
      </c>
      <c r="AB550" s="108" t="s">
        <v>4766</v>
      </c>
      <c r="AC550" s="108">
        <v>40214</v>
      </c>
      <c r="AD550" s="104" t="s">
        <v>6974</v>
      </c>
      <c r="AE550" s="99" t="s">
        <v>4990</v>
      </c>
      <c r="AF550" s="99" t="s">
        <v>4482</v>
      </c>
      <c r="AG550" s="104" t="s">
        <v>6975</v>
      </c>
      <c r="AH550" s="104" t="s">
        <v>6976</v>
      </c>
      <c r="AI550" s="104" t="s">
        <v>5390</v>
      </c>
      <c r="AJ550" s="104" t="s">
        <v>4638</v>
      </c>
      <c r="AK550" s="104" t="s">
        <v>6508</v>
      </c>
      <c r="AL550" s="104" t="s">
        <v>6268</v>
      </c>
      <c r="AM550" s="104" t="s">
        <v>4372</v>
      </c>
      <c r="AN550" s="104" t="s">
        <v>6977</v>
      </c>
      <c r="AO550" s="106"/>
      <c r="AP550" s="99">
        <v>158</v>
      </c>
      <c r="AQ550" s="99">
        <v>58</v>
      </c>
      <c r="AR550" s="104" t="s">
        <v>4428</v>
      </c>
    </row>
    <row r="551" spans="2:44">
      <c r="B551" s="69" t="s">
        <v>4568</v>
      </c>
      <c r="C551" s="81">
        <v>548</v>
      </c>
      <c r="D551" s="82">
        <v>252610239</v>
      </c>
      <c r="E551" s="116" t="s">
        <v>1096</v>
      </c>
      <c r="F551" s="84" t="s">
        <v>1097</v>
      </c>
      <c r="G551" s="162" t="s">
        <v>1097</v>
      </c>
      <c r="H551" s="85" t="s">
        <v>6978</v>
      </c>
      <c r="I551" s="162" t="s">
        <v>1096</v>
      </c>
      <c r="J551" s="163" t="s">
        <v>1096</v>
      </c>
      <c r="K551" s="85" t="s">
        <v>90</v>
      </c>
      <c r="L551" s="85" t="s">
        <v>4343</v>
      </c>
      <c r="M551" s="87">
        <v>40102</v>
      </c>
      <c r="N551" s="85" t="s">
        <v>4307</v>
      </c>
      <c r="O551" s="85" t="s">
        <v>4489</v>
      </c>
      <c r="P551" s="99">
        <v>2</v>
      </c>
      <c r="Q551" s="99">
        <v>2</v>
      </c>
      <c r="R551" s="99">
        <v>2</v>
      </c>
      <c r="S551" s="99">
        <v>0</v>
      </c>
      <c r="T551" s="88">
        <f t="shared" si="8"/>
        <v>4</v>
      </c>
      <c r="U551" s="85" t="s">
        <v>4462</v>
      </c>
      <c r="V551" s="88" t="s">
        <v>4595</v>
      </c>
      <c r="W551" s="109" t="s">
        <v>6979</v>
      </c>
      <c r="X551" s="109" t="s">
        <v>4391</v>
      </c>
      <c r="Y551" s="109" t="s">
        <v>5323</v>
      </c>
      <c r="Z551" s="109" t="s">
        <v>4406</v>
      </c>
      <c r="AA551" s="109" t="s">
        <v>4645</v>
      </c>
      <c r="AB551" s="109" t="s">
        <v>4420</v>
      </c>
      <c r="AC551" s="109">
        <v>40216</v>
      </c>
      <c r="AD551" s="85" t="s">
        <v>6980</v>
      </c>
      <c r="AE551" s="88" t="s">
        <v>4422</v>
      </c>
      <c r="AF551" s="88" t="s">
        <v>5113</v>
      </c>
      <c r="AG551" s="85" t="s">
        <v>6981</v>
      </c>
      <c r="AH551" s="85" t="s">
        <v>6982</v>
      </c>
      <c r="AI551" s="85" t="s">
        <v>6983</v>
      </c>
      <c r="AJ551" s="85" t="s">
        <v>4456</v>
      </c>
      <c r="AK551" s="85" t="s">
        <v>4320</v>
      </c>
      <c r="AL551" s="85" t="s">
        <v>4406</v>
      </c>
      <c r="AM551" s="85" t="s">
        <v>4372</v>
      </c>
      <c r="AN551" s="85" t="s">
        <v>3274</v>
      </c>
      <c r="AO551" s="85"/>
      <c r="AP551" s="88">
        <v>149</v>
      </c>
      <c r="AQ551" s="88">
        <v>42</v>
      </c>
      <c r="AR551" s="85" t="s">
        <v>4322</v>
      </c>
    </row>
    <row r="552" s="66" customFormat="1" spans="2:44">
      <c r="B552" s="91" t="s">
        <v>4674</v>
      </c>
      <c r="C552" s="92">
        <v>549</v>
      </c>
      <c r="D552" s="93">
        <v>252610427</v>
      </c>
      <c r="E552" s="175" t="s">
        <v>1572</v>
      </c>
      <c r="F552" s="95" t="s">
        <v>1573</v>
      </c>
      <c r="G552" s="161" t="s">
        <v>1573</v>
      </c>
      <c r="H552" s="97"/>
      <c r="I552" s="161" t="s">
        <v>1572</v>
      </c>
      <c r="J552" s="161" t="s">
        <v>1572</v>
      </c>
      <c r="K552" s="97"/>
      <c r="L552" s="97"/>
      <c r="M552" s="98"/>
      <c r="N552" s="97"/>
      <c r="O552" s="97"/>
      <c r="P552" s="99"/>
      <c r="Q552" s="96"/>
      <c r="R552" s="96"/>
      <c r="S552" s="96"/>
      <c r="T552" s="88">
        <f t="shared" si="8"/>
        <v>0</v>
      </c>
      <c r="U552" s="97"/>
      <c r="V552" s="100"/>
      <c r="W552" s="101"/>
      <c r="X552" s="101"/>
      <c r="Y552" s="101"/>
      <c r="Z552" s="101"/>
      <c r="AA552" s="101"/>
      <c r="AB552" s="101"/>
      <c r="AC552" s="101"/>
      <c r="AD552" s="97"/>
      <c r="AE552" s="100"/>
      <c r="AF552" s="100"/>
      <c r="AG552" s="97"/>
      <c r="AH552" s="97"/>
      <c r="AI552" s="97"/>
      <c r="AJ552" s="97"/>
      <c r="AK552" s="97"/>
      <c r="AL552" s="97"/>
      <c r="AM552" s="97"/>
      <c r="AN552" s="97"/>
      <c r="AO552" s="97"/>
      <c r="AP552" s="100"/>
      <c r="AQ552" s="100"/>
      <c r="AR552" s="97"/>
    </row>
    <row r="553" spans="2:44">
      <c r="B553" s="69" t="s">
        <v>4323</v>
      </c>
      <c r="C553" s="81">
        <v>550</v>
      </c>
      <c r="D553" s="82">
        <v>252610286</v>
      </c>
      <c r="E553" s="176" t="s">
        <v>1377</v>
      </c>
      <c r="F553" s="84" t="s">
        <v>1378</v>
      </c>
      <c r="G553" s="162" t="s">
        <v>1378</v>
      </c>
      <c r="H553" s="85" t="s">
        <v>6984</v>
      </c>
      <c r="I553" s="162" t="s">
        <v>1377</v>
      </c>
      <c r="J553" s="163" t="s">
        <v>1377</v>
      </c>
      <c r="K553" s="85" t="s">
        <v>90</v>
      </c>
      <c r="L553" s="85" t="s">
        <v>4357</v>
      </c>
      <c r="M553" s="87">
        <v>39936</v>
      </c>
      <c r="N553" s="85" t="s">
        <v>4307</v>
      </c>
      <c r="O553" s="85" t="s">
        <v>4344</v>
      </c>
      <c r="P553" s="99">
        <v>1</v>
      </c>
      <c r="Q553" s="99">
        <v>2</v>
      </c>
      <c r="R553" s="99">
        <v>0</v>
      </c>
      <c r="S553" s="99">
        <v>0</v>
      </c>
      <c r="T553" s="88">
        <f t="shared" si="8"/>
        <v>2</v>
      </c>
      <c r="U553" s="85" t="s">
        <v>4345</v>
      </c>
      <c r="V553" s="88" t="s">
        <v>4595</v>
      </c>
      <c r="W553" s="109" t="s">
        <v>6985</v>
      </c>
      <c r="X553" s="109" t="s">
        <v>5004</v>
      </c>
      <c r="Y553" s="109" t="s">
        <v>5004</v>
      </c>
      <c r="Z553" s="109" t="s">
        <v>6986</v>
      </c>
      <c r="AA553" s="109" t="s">
        <v>6987</v>
      </c>
      <c r="AB553" s="109" t="s">
        <v>6988</v>
      </c>
      <c r="AC553" s="109">
        <v>40522</v>
      </c>
      <c r="AD553" s="85" t="s">
        <v>6989</v>
      </c>
      <c r="AE553" s="88" t="s">
        <v>4366</v>
      </c>
      <c r="AF553" s="88">
        <v>4</v>
      </c>
      <c r="AG553" s="85" t="s">
        <v>6990</v>
      </c>
      <c r="AH553" s="85" t="s">
        <v>6991</v>
      </c>
      <c r="AI553" s="85" t="s">
        <v>4318</v>
      </c>
      <c r="AJ553" s="85" t="s">
        <v>4318</v>
      </c>
      <c r="AK553" s="85" t="s">
        <v>4441</v>
      </c>
      <c r="AL553" s="90"/>
      <c r="AM553" s="85" t="s">
        <v>4372</v>
      </c>
      <c r="AN553" s="85" t="s">
        <v>5497</v>
      </c>
      <c r="AO553" s="90"/>
      <c r="AP553" s="88">
        <v>158</v>
      </c>
      <c r="AQ553" s="88">
        <v>46</v>
      </c>
      <c r="AR553" s="85" t="s">
        <v>4322</v>
      </c>
    </row>
    <row r="554" spans="2:44">
      <c r="B554" s="69" t="s">
        <v>4674</v>
      </c>
      <c r="C554" s="81">
        <v>551</v>
      </c>
      <c r="D554" s="82">
        <v>252610428</v>
      </c>
      <c r="E554" s="176" t="s">
        <v>1672</v>
      </c>
      <c r="F554" s="84" t="s">
        <v>1673</v>
      </c>
      <c r="G554" s="156" t="s">
        <v>1673</v>
      </c>
      <c r="H554" s="104" t="s">
        <v>6992</v>
      </c>
      <c r="I554" s="156" t="s">
        <v>1672</v>
      </c>
      <c r="J554" s="157" t="s">
        <v>1672</v>
      </c>
      <c r="K554" s="104" t="s">
        <v>90</v>
      </c>
      <c r="L554" s="104" t="s">
        <v>4629</v>
      </c>
      <c r="M554" s="105">
        <v>40041</v>
      </c>
      <c r="N554" s="104" t="s">
        <v>4307</v>
      </c>
      <c r="O554" s="104" t="s">
        <v>4489</v>
      </c>
      <c r="P554" s="88">
        <v>1</v>
      </c>
      <c r="Q554" s="88">
        <v>0</v>
      </c>
      <c r="R554" s="88">
        <v>0</v>
      </c>
      <c r="S554" s="88">
        <v>0</v>
      </c>
      <c r="T554" s="88">
        <f t="shared" si="8"/>
        <v>0</v>
      </c>
      <c r="U554" s="104" t="s">
        <v>4489</v>
      </c>
      <c r="V554" s="99" t="s">
        <v>4358</v>
      </c>
      <c r="W554" s="108" t="s">
        <v>6993</v>
      </c>
      <c r="X554" s="108" t="s">
        <v>4376</v>
      </c>
      <c r="Y554" s="108" t="s">
        <v>4376</v>
      </c>
      <c r="Z554" s="108" t="s">
        <v>6994</v>
      </c>
      <c r="AA554" s="108" t="s">
        <v>4363</v>
      </c>
      <c r="AB554" s="108" t="s">
        <v>4479</v>
      </c>
      <c r="AC554" s="108">
        <v>40534</v>
      </c>
      <c r="AD554" s="104" t="s">
        <v>6995</v>
      </c>
      <c r="AE554" s="99" t="s">
        <v>4422</v>
      </c>
      <c r="AF554" s="99" t="s">
        <v>4411</v>
      </c>
      <c r="AG554" s="104" t="s">
        <v>6996</v>
      </c>
      <c r="AH554" s="104" t="s">
        <v>6997</v>
      </c>
      <c r="AI554" s="104" t="s">
        <v>4318</v>
      </c>
      <c r="AJ554" s="104" t="s">
        <v>4672</v>
      </c>
      <c r="AK554" s="104" t="s">
        <v>4320</v>
      </c>
      <c r="AL554" s="104" t="s">
        <v>6998</v>
      </c>
      <c r="AM554" s="104" t="s">
        <v>4372</v>
      </c>
      <c r="AN554" s="104" t="s">
        <v>5371</v>
      </c>
      <c r="AO554" s="106"/>
      <c r="AP554" s="99">
        <v>148</v>
      </c>
      <c r="AQ554" s="99">
        <v>57</v>
      </c>
      <c r="AR554" s="104" t="s">
        <v>4340</v>
      </c>
    </row>
    <row r="555" spans="2:44">
      <c r="B555" s="69" t="s">
        <v>4674</v>
      </c>
      <c r="C555" s="81">
        <v>552</v>
      </c>
      <c r="D555" s="82">
        <v>252610429</v>
      </c>
      <c r="E555" s="176" t="s">
        <v>1379</v>
      </c>
      <c r="F555" s="84" t="s">
        <v>1380</v>
      </c>
      <c r="G555" s="162" t="s">
        <v>4264</v>
      </c>
      <c r="H555" s="85" t="s">
        <v>6999</v>
      </c>
      <c r="I555" s="162">
        <v>3094442744</v>
      </c>
      <c r="J555" s="163">
        <v>3094442744</v>
      </c>
      <c r="K555" s="85" t="s">
        <v>90</v>
      </c>
      <c r="L555" s="85" t="s">
        <v>4343</v>
      </c>
      <c r="M555" s="87">
        <v>40046</v>
      </c>
      <c r="N555" s="85" t="s">
        <v>4307</v>
      </c>
      <c r="O555" s="85" t="s">
        <v>4344</v>
      </c>
      <c r="P555" s="99">
        <v>4</v>
      </c>
      <c r="Q555" s="99">
        <v>4</v>
      </c>
      <c r="R555" s="99">
        <v>0</v>
      </c>
      <c r="S555" s="99">
        <v>0</v>
      </c>
      <c r="T555" s="88">
        <f t="shared" si="8"/>
        <v>4</v>
      </c>
      <c r="U555" s="85" t="s">
        <v>4345</v>
      </c>
      <c r="V555" s="88">
        <v>0</v>
      </c>
      <c r="W555" s="109" t="s">
        <v>7000</v>
      </c>
      <c r="X555" s="109" t="s">
        <v>5397</v>
      </c>
      <c r="Y555" s="109" t="s">
        <v>4606</v>
      </c>
      <c r="Z555" s="109" t="s">
        <v>5119</v>
      </c>
      <c r="AA555" s="109" t="s">
        <v>5119</v>
      </c>
      <c r="AB555" s="109" t="s">
        <v>5120</v>
      </c>
      <c r="AC555" s="109">
        <v>40182</v>
      </c>
      <c r="AD555" s="85" t="s">
        <v>7001</v>
      </c>
      <c r="AE555" s="88" t="s">
        <v>5764</v>
      </c>
      <c r="AF555" s="88" t="s">
        <v>4411</v>
      </c>
      <c r="AG555" s="85" t="s">
        <v>7002</v>
      </c>
      <c r="AH555" s="85" t="s">
        <v>7002</v>
      </c>
      <c r="AI555" s="85" t="s">
        <v>7003</v>
      </c>
      <c r="AJ555" s="85" t="s">
        <v>4318</v>
      </c>
      <c r="AK555" s="85" t="s">
        <v>4553</v>
      </c>
      <c r="AL555" s="85" t="s">
        <v>4406</v>
      </c>
      <c r="AM555" s="85" t="s">
        <v>4553</v>
      </c>
      <c r="AN555" s="85" t="s">
        <v>7004</v>
      </c>
      <c r="AO555" s="85" t="s">
        <v>7005</v>
      </c>
      <c r="AP555" s="88">
        <v>154</v>
      </c>
      <c r="AQ555" s="88">
        <v>45</v>
      </c>
      <c r="AR555" s="85" t="s">
        <v>4428</v>
      </c>
    </row>
    <row r="556" s="66" customFormat="1" spans="2:44">
      <c r="B556" s="91" t="s">
        <v>4304</v>
      </c>
      <c r="C556" s="92">
        <v>553</v>
      </c>
      <c r="D556" s="93">
        <v>252610477</v>
      </c>
      <c r="E556" s="175" t="s">
        <v>1863</v>
      </c>
      <c r="F556" s="95" t="s">
        <v>1864</v>
      </c>
      <c r="G556" s="161" t="s">
        <v>4265</v>
      </c>
      <c r="H556" s="97"/>
      <c r="I556" s="161" t="s">
        <v>1863</v>
      </c>
      <c r="J556" s="161" t="s">
        <v>1863</v>
      </c>
      <c r="K556" s="97"/>
      <c r="L556" s="97"/>
      <c r="M556" s="98"/>
      <c r="N556" s="97"/>
      <c r="O556" s="97"/>
      <c r="P556" s="99"/>
      <c r="Q556" s="96"/>
      <c r="R556" s="96"/>
      <c r="S556" s="96"/>
      <c r="T556" s="88">
        <f t="shared" si="8"/>
        <v>0</v>
      </c>
      <c r="U556" s="97"/>
      <c r="V556" s="100"/>
      <c r="W556" s="101"/>
      <c r="X556" s="101"/>
      <c r="Y556" s="101"/>
      <c r="Z556" s="101"/>
      <c r="AA556" s="101"/>
      <c r="AB556" s="101"/>
      <c r="AC556" s="101"/>
      <c r="AD556" s="97"/>
      <c r="AE556" s="100"/>
      <c r="AF556" s="100"/>
      <c r="AG556" s="97"/>
      <c r="AH556" s="97"/>
      <c r="AI556" s="97"/>
      <c r="AJ556" s="97"/>
      <c r="AK556" s="97"/>
      <c r="AL556" s="97"/>
      <c r="AM556" s="97"/>
      <c r="AN556" s="97"/>
      <c r="AO556" s="97"/>
      <c r="AP556" s="100"/>
      <c r="AQ556" s="100"/>
      <c r="AR556" s="97"/>
    </row>
    <row r="557" s="66" customFormat="1" spans="2:44">
      <c r="B557" s="91" t="s">
        <v>4341</v>
      </c>
      <c r="C557" s="92">
        <v>554</v>
      </c>
      <c r="D557" s="93">
        <v>252610334</v>
      </c>
      <c r="E557" s="175" t="s">
        <v>2060</v>
      </c>
      <c r="F557" s="95" t="s">
        <v>2061</v>
      </c>
      <c r="G557" s="160" t="s">
        <v>2061</v>
      </c>
      <c r="H557" s="97"/>
      <c r="I557" s="160" t="s">
        <v>4266</v>
      </c>
      <c r="J557" s="160" t="s">
        <v>2060</v>
      </c>
      <c r="K557" s="97"/>
      <c r="L557" s="97"/>
      <c r="M557" s="98"/>
      <c r="N557" s="97"/>
      <c r="O557" s="97"/>
      <c r="P557" s="88"/>
      <c r="Q557" s="96"/>
      <c r="R557" s="96"/>
      <c r="S557" s="96"/>
      <c r="T557" s="88">
        <f t="shared" si="8"/>
        <v>0</v>
      </c>
      <c r="U557" s="97"/>
      <c r="V557" s="100"/>
      <c r="W557" s="101"/>
      <c r="X557" s="101"/>
      <c r="Y557" s="101"/>
      <c r="Z557" s="101"/>
      <c r="AA557" s="101"/>
      <c r="AB557" s="101"/>
      <c r="AC557" s="101"/>
      <c r="AD557" s="97"/>
      <c r="AE557" s="100"/>
      <c r="AF557" s="100"/>
      <c r="AG557" s="97"/>
      <c r="AH557" s="97"/>
      <c r="AI557" s="97"/>
      <c r="AJ557" s="97"/>
      <c r="AK557" s="97"/>
      <c r="AL557" s="97"/>
      <c r="AM557" s="97"/>
      <c r="AN557" s="97"/>
      <c r="AO557" s="97"/>
      <c r="AP557" s="100"/>
      <c r="AQ557" s="100"/>
      <c r="AR557" s="97"/>
    </row>
    <row r="558" s="66" customFormat="1" spans="2:44">
      <c r="B558" s="91" t="s">
        <v>4386</v>
      </c>
      <c r="C558" s="92">
        <v>555</v>
      </c>
      <c r="D558" s="93">
        <v>252610382</v>
      </c>
      <c r="E558" s="175" t="s">
        <v>1477</v>
      </c>
      <c r="F558" s="95" t="s">
        <v>1478</v>
      </c>
      <c r="G558" s="161" t="s">
        <v>1478</v>
      </c>
      <c r="H558" s="97"/>
      <c r="I558" s="161" t="s">
        <v>1477</v>
      </c>
      <c r="J558" s="161" t="s">
        <v>1477</v>
      </c>
      <c r="K558" s="97"/>
      <c r="L558" s="97"/>
      <c r="M558" s="98"/>
      <c r="N558" s="97"/>
      <c r="O558" s="97"/>
      <c r="P558" s="99"/>
      <c r="Q558" s="96"/>
      <c r="R558" s="96"/>
      <c r="S558" s="96"/>
      <c r="T558" s="88">
        <f t="shared" si="8"/>
        <v>0</v>
      </c>
      <c r="U558" s="97"/>
      <c r="V558" s="100"/>
      <c r="W558" s="101"/>
      <c r="X558" s="101"/>
      <c r="Y558" s="101"/>
      <c r="Z558" s="101"/>
      <c r="AA558" s="101"/>
      <c r="AB558" s="101"/>
      <c r="AC558" s="101"/>
      <c r="AD558" s="97"/>
      <c r="AE558" s="100"/>
      <c r="AF558" s="100"/>
      <c r="AG558" s="97"/>
      <c r="AH558" s="97"/>
      <c r="AI558" s="97"/>
      <c r="AJ558" s="97"/>
      <c r="AK558" s="97"/>
      <c r="AL558" s="97"/>
      <c r="AM558" s="97"/>
      <c r="AN558" s="97"/>
      <c r="AO558" s="97"/>
      <c r="AP558" s="100"/>
      <c r="AQ558" s="100"/>
      <c r="AR558" s="97"/>
    </row>
    <row r="559" spans="2:44">
      <c r="B559" s="69" t="s">
        <v>4341</v>
      </c>
      <c r="C559" s="81">
        <v>556</v>
      </c>
      <c r="D559" s="82">
        <v>252610335</v>
      </c>
      <c r="E559" s="116" t="s">
        <v>1381</v>
      </c>
      <c r="F559" s="84" t="s">
        <v>1382</v>
      </c>
      <c r="G559" s="162" t="s">
        <v>1382</v>
      </c>
      <c r="H559" s="85" t="s">
        <v>7006</v>
      </c>
      <c r="I559" s="162" t="s">
        <v>1381</v>
      </c>
      <c r="J559" s="163" t="s">
        <v>1381</v>
      </c>
      <c r="K559" s="85" t="s">
        <v>89</v>
      </c>
      <c r="L559" s="85" t="s">
        <v>4343</v>
      </c>
      <c r="M559" s="87">
        <v>40085</v>
      </c>
      <c r="N559" s="85" t="s">
        <v>4541</v>
      </c>
      <c r="O559" s="85" t="s">
        <v>4308</v>
      </c>
      <c r="P559" s="99">
        <v>5</v>
      </c>
      <c r="Q559" s="99">
        <v>7</v>
      </c>
      <c r="R559" s="99">
        <v>0</v>
      </c>
      <c r="S559" s="99">
        <v>0</v>
      </c>
      <c r="T559" s="88">
        <f t="shared" si="8"/>
        <v>7</v>
      </c>
      <c r="U559" s="85" t="s">
        <v>7007</v>
      </c>
      <c r="V559" s="88">
        <v>0</v>
      </c>
      <c r="W559" s="109" t="s">
        <v>7008</v>
      </c>
      <c r="X559" s="109" t="s">
        <v>4477</v>
      </c>
      <c r="Y559" s="109" t="s">
        <v>4361</v>
      </c>
      <c r="Z559" s="109" t="s">
        <v>4406</v>
      </c>
      <c r="AA559" s="109" t="s">
        <v>6279</v>
      </c>
      <c r="AB559" s="109" t="s">
        <v>6280</v>
      </c>
      <c r="AC559" s="109">
        <v>40182</v>
      </c>
      <c r="AD559" s="85" t="s">
        <v>7009</v>
      </c>
      <c r="AE559" s="88" t="s">
        <v>7010</v>
      </c>
      <c r="AF559" s="88" t="s">
        <v>6499</v>
      </c>
      <c r="AG559" s="85" t="s">
        <v>7011</v>
      </c>
      <c r="AH559" s="85" t="s">
        <v>7012</v>
      </c>
      <c r="AI559" s="85" t="s">
        <v>4318</v>
      </c>
      <c r="AJ559" s="85" t="s">
        <v>4318</v>
      </c>
      <c r="AK559" s="85" t="s">
        <v>4320</v>
      </c>
      <c r="AL559" s="85" t="s">
        <v>4406</v>
      </c>
      <c r="AM559" s="85" t="s">
        <v>4372</v>
      </c>
      <c r="AN559" s="85" t="s">
        <v>7013</v>
      </c>
      <c r="AO559" s="90"/>
      <c r="AP559" s="88">
        <v>169</v>
      </c>
      <c r="AQ559" s="88" t="s">
        <v>7014</v>
      </c>
      <c r="AR559" s="85" t="s">
        <v>4428</v>
      </c>
    </row>
    <row r="560" spans="2:44">
      <c r="B560" s="69" t="s">
        <v>4324</v>
      </c>
      <c r="C560" s="81">
        <v>557</v>
      </c>
      <c r="D560" s="82">
        <v>252610144</v>
      </c>
      <c r="E560" s="83" t="s">
        <v>1965</v>
      </c>
      <c r="F560" s="84" t="s">
        <v>1966</v>
      </c>
      <c r="G560" s="181" t="s">
        <v>1966</v>
      </c>
      <c r="H560" s="104" t="s">
        <v>7015</v>
      </c>
      <c r="I560" s="156">
        <v>3091779992</v>
      </c>
      <c r="J560" s="157">
        <v>3091779992</v>
      </c>
      <c r="K560" s="104" t="s">
        <v>90</v>
      </c>
      <c r="L560" s="104" t="s">
        <v>7016</v>
      </c>
      <c r="M560" s="105">
        <v>39883</v>
      </c>
      <c r="N560" s="104" t="s">
        <v>4460</v>
      </c>
      <c r="O560" s="104" t="s">
        <v>4308</v>
      </c>
      <c r="P560" s="88">
        <v>3</v>
      </c>
      <c r="Q560" s="88">
        <v>0</v>
      </c>
      <c r="R560" s="88">
        <v>0</v>
      </c>
      <c r="S560" s="88">
        <v>2</v>
      </c>
      <c r="T560" s="88">
        <f t="shared" si="8"/>
        <v>2</v>
      </c>
      <c r="U560" s="104" t="s">
        <v>4308</v>
      </c>
      <c r="V560" s="99" t="s">
        <v>4358</v>
      </c>
      <c r="W560" s="108" t="s">
        <v>7017</v>
      </c>
      <c r="X560" s="108" t="s">
        <v>4544</v>
      </c>
      <c r="Y560" s="108" t="s">
        <v>4929</v>
      </c>
      <c r="Z560" s="108" t="s">
        <v>7018</v>
      </c>
      <c r="AA560" s="108" t="s">
        <v>4667</v>
      </c>
      <c r="AB560" s="108" t="s">
        <v>4364</v>
      </c>
      <c r="AC560" s="108">
        <v>40534</v>
      </c>
      <c r="AD560" s="104" t="s">
        <v>7019</v>
      </c>
      <c r="AE560" s="99" t="s">
        <v>4410</v>
      </c>
      <c r="AF560" s="99" t="s">
        <v>4348</v>
      </c>
      <c r="AG560" s="104" t="s">
        <v>7020</v>
      </c>
      <c r="AH560" s="104" t="s">
        <v>7021</v>
      </c>
      <c r="AI560" s="104" t="s">
        <v>4384</v>
      </c>
      <c r="AJ560" s="104" t="s">
        <v>4638</v>
      </c>
      <c r="AK560" s="104" t="s">
        <v>4553</v>
      </c>
      <c r="AL560" s="106"/>
      <c r="AM560" s="104" t="s">
        <v>4372</v>
      </c>
      <c r="AN560" s="104" t="s">
        <v>5445</v>
      </c>
      <c r="AO560" s="106"/>
      <c r="AP560" s="99">
        <v>158</v>
      </c>
      <c r="AQ560" s="99">
        <v>50</v>
      </c>
      <c r="AR560" s="104" t="s">
        <v>4415</v>
      </c>
    </row>
    <row r="561" s="66" customFormat="1" spans="2:44">
      <c r="B561" s="91" t="s">
        <v>4568</v>
      </c>
      <c r="C561" s="92">
        <v>558</v>
      </c>
      <c r="D561" s="93">
        <v>252610240</v>
      </c>
      <c r="E561" s="94" t="s">
        <v>1383</v>
      </c>
      <c r="F561" s="95" t="s">
        <v>1384</v>
      </c>
      <c r="G561" s="160" t="s">
        <v>4268</v>
      </c>
      <c r="H561" s="97"/>
      <c r="I561" s="160" t="s">
        <v>1383</v>
      </c>
      <c r="J561" s="160" t="s">
        <v>1383</v>
      </c>
      <c r="K561" s="97"/>
      <c r="L561" s="97"/>
      <c r="M561" s="98"/>
      <c r="N561" s="97"/>
      <c r="O561" s="97"/>
      <c r="P561" s="182"/>
      <c r="Q561" s="183"/>
      <c r="R561" s="183"/>
      <c r="S561" s="183"/>
      <c r="T561" s="88">
        <f t="shared" si="8"/>
        <v>0</v>
      </c>
      <c r="U561" s="97"/>
      <c r="V561" s="100"/>
      <c r="W561" s="101"/>
      <c r="X561" s="101"/>
      <c r="Y561" s="101"/>
      <c r="Z561" s="101"/>
      <c r="AA561" s="101"/>
      <c r="AB561" s="101"/>
      <c r="AC561" s="101"/>
      <c r="AD561" s="97"/>
      <c r="AE561" s="100"/>
      <c r="AF561" s="100"/>
      <c r="AG561" s="97"/>
      <c r="AH561" s="97"/>
      <c r="AI561" s="97"/>
      <c r="AJ561" s="97"/>
      <c r="AK561" s="97"/>
      <c r="AL561" s="97"/>
      <c r="AM561" s="97"/>
      <c r="AN561" s="97"/>
      <c r="AO561" s="97"/>
      <c r="AP561" s="100"/>
      <c r="AQ561" s="100"/>
      <c r="AR561" s="97"/>
    </row>
    <row r="562" spans="2:44">
      <c r="B562" s="69" t="s">
        <v>4341</v>
      </c>
      <c r="C562" s="81">
        <v>559</v>
      </c>
      <c r="D562" s="82">
        <v>252610336</v>
      </c>
      <c r="E562" s="83" t="s">
        <v>1098</v>
      </c>
      <c r="F562" s="84" t="s">
        <v>1099</v>
      </c>
      <c r="G562" s="159" t="s">
        <v>1099</v>
      </c>
      <c r="H562" s="85" t="s">
        <v>7022</v>
      </c>
      <c r="I562" s="159" t="s">
        <v>1098</v>
      </c>
      <c r="J562" s="157" t="s">
        <v>1098</v>
      </c>
      <c r="K562" s="85" t="s">
        <v>90</v>
      </c>
      <c r="L562" s="85" t="s">
        <v>7023</v>
      </c>
      <c r="M562" s="87">
        <v>40011</v>
      </c>
      <c r="N562" s="85" t="s">
        <v>4307</v>
      </c>
      <c r="O562" s="85" t="s">
        <v>4344</v>
      </c>
      <c r="P562" s="99">
        <v>2</v>
      </c>
      <c r="Q562" s="99">
        <v>1</v>
      </c>
      <c r="R562" s="99">
        <v>0</v>
      </c>
      <c r="S562" s="99">
        <v>0</v>
      </c>
      <c r="T562" s="88">
        <f t="shared" si="8"/>
        <v>1</v>
      </c>
      <c r="U562" s="85" t="s">
        <v>4344</v>
      </c>
      <c r="V562" s="88" t="s">
        <v>4358</v>
      </c>
      <c r="W562" s="109" t="s">
        <v>7024</v>
      </c>
      <c r="X562" s="109">
        <v>26</v>
      </c>
      <c r="Y562" s="109">
        <v>11</v>
      </c>
      <c r="Z562" s="109" t="s">
        <v>7025</v>
      </c>
      <c r="AA562" s="109" t="s">
        <v>7026</v>
      </c>
      <c r="AB562" s="109" t="s">
        <v>7027</v>
      </c>
      <c r="AC562" s="109">
        <v>46253</v>
      </c>
      <c r="AD562" s="85" t="s">
        <v>7028</v>
      </c>
      <c r="AE562" s="88" t="s">
        <v>4669</v>
      </c>
      <c r="AF562" s="88" t="s">
        <v>4658</v>
      </c>
      <c r="AG562" s="85" t="s">
        <v>7029</v>
      </c>
      <c r="AH562" s="85" t="s">
        <v>7030</v>
      </c>
      <c r="AI562" s="85" t="s">
        <v>4638</v>
      </c>
      <c r="AJ562" s="85" t="s">
        <v>4536</v>
      </c>
      <c r="AK562" s="85" t="s">
        <v>4337</v>
      </c>
      <c r="AL562" s="90"/>
      <c r="AM562" s="85" t="s">
        <v>4338</v>
      </c>
      <c r="AN562" s="85" t="s">
        <v>4846</v>
      </c>
      <c r="AO562" s="90"/>
      <c r="AP562" s="88">
        <v>151</v>
      </c>
      <c r="AQ562" s="88">
        <v>46</v>
      </c>
      <c r="AR562" s="85" t="s">
        <v>4322</v>
      </c>
    </row>
    <row r="563" s="66" customFormat="1" spans="2:44">
      <c r="B563" s="91" t="s">
        <v>4674</v>
      </c>
      <c r="C563" s="92">
        <v>560</v>
      </c>
      <c r="D563" s="93">
        <v>252610430</v>
      </c>
      <c r="E563" s="175" t="s">
        <v>1100</v>
      </c>
      <c r="F563" s="95" t="s">
        <v>1101</v>
      </c>
      <c r="G563" s="160" t="s">
        <v>1101</v>
      </c>
      <c r="H563" s="97"/>
      <c r="I563" s="160" t="s">
        <v>1100</v>
      </c>
      <c r="J563" s="160" t="s">
        <v>1100</v>
      </c>
      <c r="K563" s="97"/>
      <c r="L563" s="97"/>
      <c r="M563" s="98"/>
      <c r="N563" s="97"/>
      <c r="O563" s="97"/>
      <c r="P563" s="182"/>
      <c r="Q563" s="183"/>
      <c r="R563" s="183"/>
      <c r="S563" s="183"/>
      <c r="T563" s="88">
        <f t="shared" si="8"/>
        <v>0</v>
      </c>
      <c r="U563" s="97"/>
      <c r="V563" s="100"/>
      <c r="W563" s="101"/>
      <c r="X563" s="101"/>
      <c r="Y563" s="101"/>
      <c r="Z563" s="101"/>
      <c r="AA563" s="101"/>
      <c r="AB563" s="101"/>
      <c r="AC563" s="101"/>
      <c r="AD563" s="97"/>
      <c r="AE563" s="100"/>
      <c r="AF563" s="100"/>
      <c r="AG563" s="97"/>
      <c r="AH563" s="97"/>
      <c r="AI563" s="97"/>
      <c r="AJ563" s="97"/>
      <c r="AK563" s="97"/>
      <c r="AL563" s="97"/>
      <c r="AM563" s="97"/>
      <c r="AN563" s="97"/>
      <c r="AO563" s="97"/>
      <c r="AP563" s="100"/>
      <c r="AQ563" s="100"/>
      <c r="AR563" s="97"/>
    </row>
    <row r="564" spans="2:44">
      <c r="B564" s="69" t="s">
        <v>4373</v>
      </c>
      <c r="C564" s="81">
        <v>561</v>
      </c>
      <c r="D564" s="82">
        <v>252610526</v>
      </c>
      <c r="E564" s="176" t="s">
        <v>1674</v>
      </c>
      <c r="F564" s="84" t="s">
        <v>1675</v>
      </c>
      <c r="G564" s="159" t="s">
        <v>1675</v>
      </c>
      <c r="H564" s="85" t="s">
        <v>7031</v>
      </c>
      <c r="I564" s="159" t="s">
        <v>1674</v>
      </c>
      <c r="J564" s="157" t="s">
        <v>1674</v>
      </c>
      <c r="K564" s="85" t="s">
        <v>89</v>
      </c>
      <c r="L564" s="85" t="s">
        <v>4629</v>
      </c>
      <c r="M564" s="87">
        <v>40027</v>
      </c>
      <c r="N564" s="85" t="s">
        <v>4328</v>
      </c>
      <c r="O564" s="85" t="s">
        <v>4489</v>
      </c>
      <c r="P564" s="99">
        <v>1</v>
      </c>
      <c r="Q564" s="99">
        <v>2</v>
      </c>
      <c r="R564" s="99">
        <v>0</v>
      </c>
      <c r="S564" s="99">
        <v>0</v>
      </c>
      <c r="T564" s="88">
        <f t="shared" si="8"/>
        <v>2</v>
      </c>
      <c r="U564" s="85" t="s">
        <v>7032</v>
      </c>
      <c r="V564" s="88" t="s">
        <v>4310</v>
      </c>
      <c r="W564" s="109" t="s">
        <v>7033</v>
      </c>
      <c r="X564" s="109" t="s">
        <v>4492</v>
      </c>
      <c r="Y564" s="109" t="s">
        <v>4376</v>
      </c>
      <c r="Z564" s="109" t="s">
        <v>4494</v>
      </c>
      <c r="AA564" s="109" t="s">
        <v>4494</v>
      </c>
      <c r="AB564" s="109" t="s">
        <v>4451</v>
      </c>
      <c r="AC564" s="109">
        <v>40534</v>
      </c>
      <c r="AD564" s="85" t="s">
        <v>7034</v>
      </c>
      <c r="AE564" s="88" t="s">
        <v>4410</v>
      </c>
      <c r="AF564" s="88" t="s">
        <v>4381</v>
      </c>
      <c r="AG564" s="85" t="s">
        <v>7035</v>
      </c>
      <c r="AH564" s="85" t="s">
        <v>7036</v>
      </c>
      <c r="AI564" s="85" t="s">
        <v>4318</v>
      </c>
      <c r="AJ564" s="85" t="s">
        <v>4318</v>
      </c>
      <c r="AK564" s="85" t="s">
        <v>4320</v>
      </c>
      <c r="AL564" s="85" t="s">
        <v>4406</v>
      </c>
      <c r="AM564" s="85" t="s">
        <v>4372</v>
      </c>
      <c r="AN564" s="85" t="s">
        <v>3124</v>
      </c>
      <c r="AO564" s="85" t="s">
        <v>4555</v>
      </c>
      <c r="AP564" s="88">
        <v>152</v>
      </c>
      <c r="AQ564" s="88">
        <v>43</v>
      </c>
      <c r="AR564" s="85" t="s">
        <v>4340</v>
      </c>
    </row>
    <row r="565" s="66" customFormat="1" spans="2:44">
      <c r="B565" s="91" t="s">
        <v>4304</v>
      </c>
      <c r="C565" s="92">
        <v>562</v>
      </c>
      <c r="D565" s="93">
        <v>252610478</v>
      </c>
      <c r="E565" s="175" t="s">
        <v>997</v>
      </c>
      <c r="F565" s="95" t="s">
        <v>998</v>
      </c>
      <c r="G565" s="161" t="s">
        <v>4270</v>
      </c>
      <c r="H565" s="97"/>
      <c r="I565" s="161" t="s">
        <v>997</v>
      </c>
      <c r="J565" s="161" t="s">
        <v>997</v>
      </c>
      <c r="K565" s="97"/>
      <c r="L565" s="97"/>
      <c r="M565" s="98"/>
      <c r="N565" s="97"/>
      <c r="O565" s="97"/>
      <c r="P565" s="182"/>
      <c r="Q565" s="183"/>
      <c r="R565" s="183"/>
      <c r="S565" s="183"/>
      <c r="T565" s="88">
        <f t="shared" si="8"/>
        <v>0</v>
      </c>
      <c r="U565" s="97"/>
      <c r="V565" s="100"/>
      <c r="W565" s="101"/>
      <c r="X565" s="101"/>
      <c r="Y565" s="101"/>
      <c r="Z565" s="101"/>
      <c r="AA565" s="101"/>
      <c r="AB565" s="101"/>
      <c r="AC565" s="101"/>
      <c r="AD565" s="97"/>
      <c r="AE565" s="100"/>
      <c r="AF565" s="100"/>
      <c r="AG565" s="97"/>
      <c r="AH565" s="97"/>
      <c r="AI565" s="97"/>
      <c r="AJ565" s="97"/>
      <c r="AK565" s="97"/>
      <c r="AL565" s="97"/>
      <c r="AM565" s="97"/>
      <c r="AN565" s="97"/>
      <c r="AO565" s="97"/>
      <c r="AP565" s="100"/>
      <c r="AQ565" s="100"/>
      <c r="AR565" s="97"/>
    </row>
    <row r="566" spans="2:44">
      <c r="B566" s="69" t="s">
        <v>4386</v>
      </c>
      <c r="C566" s="81">
        <v>563</v>
      </c>
      <c r="D566" s="82">
        <v>252610383</v>
      </c>
      <c r="E566" s="116" t="s">
        <v>1193</v>
      </c>
      <c r="F566" s="84" t="s">
        <v>1194</v>
      </c>
      <c r="G566" s="165" t="s">
        <v>1194</v>
      </c>
      <c r="H566" s="104" t="s">
        <v>7037</v>
      </c>
      <c r="I566" s="165" t="s">
        <v>1193</v>
      </c>
      <c r="J566" s="163" t="s">
        <v>1193</v>
      </c>
      <c r="K566" s="104" t="s">
        <v>90</v>
      </c>
      <c r="L566" s="104" t="s">
        <v>4357</v>
      </c>
      <c r="M566" s="105">
        <v>40050</v>
      </c>
      <c r="N566" s="104" t="s">
        <v>4307</v>
      </c>
      <c r="O566" s="104" t="s">
        <v>4344</v>
      </c>
      <c r="P566" s="88">
        <v>1</v>
      </c>
      <c r="Q566" s="88">
        <v>1</v>
      </c>
      <c r="R566" s="88">
        <v>0</v>
      </c>
      <c r="S566" s="88">
        <v>0</v>
      </c>
      <c r="T566" s="88">
        <f t="shared" si="8"/>
        <v>1</v>
      </c>
      <c r="U566" s="104" t="s">
        <v>4345</v>
      </c>
      <c r="V566" s="99" t="s">
        <v>4310</v>
      </c>
      <c r="W566" s="108" t="s">
        <v>7038</v>
      </c>
      <c r="X566" s="108" t="s">
        <v>4464</v>
      </c>
      <c r="Y566" s="108" t="s">
        <v>5004</v>
      </c>
      <c r="Z566" s="108" t="s">
        <v>7039</v>
      </c>
      <c r="AA566" s="108" t="s">
        <v>4450</v>
      </c>
      <c r="AB566" s="108" t="s">
        <v>4451</v>
      </c>
      <c r="AC566" s="108">
        <v>40535</v>
      </c>
      <c r="AD566" s="104" t="s">
        <v>7040</v>
      </c>
      <c r="AE566" s="99" t="s">
        <v>4422</v>
      </c>
      <c r="AF566" s="117">
        <v>1306342</v>
      </c>
      <c r="AG566" s="104" t="s">
        <v>7041</v>
      </c>
      <c r="AH566" s="104" t="s">
        <v>7042</v>
      </c>
      <c r="AI566" s="104" t="s">
        <v>4638</v>
      </c>
      <c r="AJ566" s="104" t="s">
        <v>4384</v>
      </c>
      <c r="AK566" s="104" t="s">
        <v>4338</v>
      </c>
      <c r="AL566" s="104" t="s">
        <v>5370</v>
      </c>
      <c r="AM566" s="104" t="s">
        <v>4372</v>
      </c>
      <c r="AN566" s="104" t="s">
        <v>7043</v>
      </c>
      <c r="AO566" s="104" t="s">
        <v>7044</v>
      </c>
      <c r="AP566" s="99">
        <v>155</v>
      </c>
      <c r="AQ566" s="99">
        <v>51</v>
      </c>
      <c r="AR566" s="104" t="s">
        <v>4322</v>
      </c>
    </row>
    <row r="567" s="66" customFormat="1" spans="2:44">
      <c r="B567" s="91" t="s">
        <v>4304</v>
      </c>
      <c r="C567" s="92">
        <v>564</v>
      </c>
      <c r="D567" s="93">
        <v>252610479</v>
      </c>
      <c r="E567" s="115" t="s">
        <v>2062</v>
      </c>
      <c r="F567" s="95" t="s">
        <v>2063</v>
      </c>
      <c r="G567" s="161" t="s">
        <v>2063</v>
      </c>
      <c r="H567" s="97"/>
      <c r="I567" s="161">
        <v>3109581748</v>
      </c>
      <c r="J567" s="161">
        <v>3109581748</v>
      </c>
      <c r="K567" s="97"/>
      <c r="L567" s="97"/>
      <c r="M567" s="98"/>
      <c r="N567" s="97"/>
      <c r="O567" s="97"/>
      <c r="P567" s="182"/>
      <c r="Q567" s="183"/>
      <c r="R567" s="183"/>
      <c r="S567" s="183"/>
      <c r="T567" s="88">
        <f t="shared" si="8"/>
        <v>0</v>
      </c>
      <c r="U567" s="97"/>
      <c r="V567" s="100"/>
      <c r="W567" s="101"/>
      <c r="X567" s="101"/>
      <c r="Y567" s="101"/>
      <c r="Z567" s="101"/>
      <c r="AA567" s="101"/>
      <c r="AB567" s="101"/>
      <c r="AC567" s="101"/>
      <c r="AD567" s="97"/>
      <c r="AE567" s="100"/>
      <c r="AF567" s="100"/>
      <c r="AG567" s="97"/>
      <c r="AH567" s="97"/>
      <c r="AI567" s="97"/>
      <c r="AJ567" s="97"/>
      <c r="AK567" s="97"/>
      <c r="AL567" s="97"/>
      <c r="AM567" s="97"/>
      <c r="AN567" s="97"/>
      <c r="AO567" s="97"/>
      <c r="AP567" s="100"/>
      <c r="AQ567" s="100"/>
      <c r="AR567" s="97"/>
    </row>
    <row r="568" spans="2:44">
      <c r="B568" s="69" t="s">
        <v>4323</v>
      </c>
      <c r="C568" s="81">
        <v>565</v>
      </c>
      <c r="D568" s="82">
        <v>252610287</v>
      </c>
      <c r="E568" s="116" t="s">
        <v>1865</v>
      </c>
      <c r="F568" s="84" t="s">
        <v>1866</v>
      </c>
      <c r="G568" s="165" t="s">
        <v>1866</v>
      </c>
      <c r="H568" s="104" t="s">
        <v>7045</v>
      </c>
      <c r="I568" s="165">
        <v>3094169713</v>
      </c>
      <c r="J568" s="163">
        <v>3094169713</v>
      </c>
      <c r="K568" s="104" t="s">
        <v>89</v>
      </c>
      <c r="L568" s="104" t="s">
        <v>4357</v>
      </c>
      <c r="M568" s="105">
        <v>40033</v>
      </c>
      <c r="N568" s="104" t="s">
        <v>4307</v>
      </c>
      <c r="O568" s="104" t="s">
        <v>4344</v>
      </c>
      <c r="P568" s="88">
        <v>2</v>
      </c>
      <c r="Q568" s="88">
        <v>2</v>
      </c>
      <c r="R568" s="88">
        <v>0</v>
      </c>
      <c r="S568" s="88">
        <v>0</v>
      </c>
      <c r="T568" s="88">
        <f t="shared" si="8"/>
        <v>2</v>
      </c>
      <c r="U568" s="104" t="s">
        <v>5499</v>
      </c>
      <c r="V568" s="99" t="s">
        <v>4330</v>
      </c>
      <c r="W568" s="108" t="s">
        <v>6039</v>
      </c>
      <c r="X568" s="108" t="s">
        <v>4544</v>
      </c>
      <c r="Y568" s="108" t="s">
        <v>7046</v>
      </c>
      <c r="Z568" s="108" t="s">
        <v>7047</v>
      </c>
      <c r="AA568" s="108" t="s">
        <v>5623</v>
      </c>
      <c r="AB568" s="108" t="s">
        <v>4451</v>
      </c>
      <c r="AC568" s="108">
        <v>40535</v>
      </c>
      <c r="AD568" s="104" t="s">
        <v>7048</v>
      </c>
      <c r="AE568" s="99" t="s">
        <v>4422</v>
      </c>
      <c r="AF568" s="99" t="s">
        <v>4453</v>
      </c>
      <c r="AG568" s="104" t="s">
        <v>7049</v>
      </c>
      <c r="AH568" s="104" t="s">
        <v>7050</v>
      </c>
      <c r="AI568" s="104" t="s">
        <v>4370</v>
      </c>
      <c r="AJ568" s="104" t="s">
        <v>4515</v>
      </c>
      <c r="AK568" s="104" t="s">
        <v>4319</v>
      </c>
      <c r="AL568" s="106"/>
      <c r="AM568" s="104" t="s">
        <v>4372</v>
      </c>
      <c r="AN568" s="104" t="s">
        <v>7051</v>
      </c>
      <c r="AO568" s="106"/>
      <c r="AP568" s="99">
        <v>178</v>
      </c>
      <c r="AQ568" s="99">
        <v>55</v>
      </c>
      <c r="AR568" s="104" t="s">
        <v>4322</v>
      </c>
    </row>
    <row r="569" s="66" customFormat="1" spans="2:44">
      <c r="B569" s="91" t="s">
        <v>4642</v>
      </c>
      <c r="C569" s="92">
        <v>566</v>
      </c>
      <c r="D569" s="93">
        <v>252610573</v>
      </c>
      <c r="E569" s="175" t="s">
        <v>1574</v>
      </c>
      <c r="F569" s="95" t="s">
        <v>1575</v>
      </c>
      <c r="G569" s="161" t="s">
        <v>1575</v>
      </c>
      <c r="H569" s="97"/>
      <c r="I569" s="161" t="s">
        <v>1574</v>
      </c>
      <c r="J569" s="161" t="s">
        <v>1574</v>
      </c>
      <c r="K569" s="97"/>
      <c r="L569" s="97"/>
      <c r="M569" s="98"/>
      <c r="N569" s="97"/>
      <c r="O569" s="97"/>
      <c r="P569" s="182"/>
      <c r="Q569" s="183"/>
      <c r="R569" s="183"/>
      <c r="S569" s="183"/>
      <c r="T569" s="88">
        <f t="shared" si="8"/>
        <v>0</v>
      </c>
      <c r="U569" s="97"/>
      <c r="V569" s="100"/>
      <c r="W569" s="101"/>
      <c r="X569" s="101"/>
      <c r="Y569" s="101"/>
      <c r="Z569" s="101"/>
      <c r="AA569" s="101"/>
      <c r="AB569" s="101"/>
      <c r="AC569" s="101"/>
      <c r="AD569" s="97"/>
      <c r="AE569" s="100"/>
      <c r="AF569" s="100"/>
      <c r="AG569" s="97"/>
      <c r="AH569" s="97"/>
      <c r="AI569" s="97"/>
      <c r="AJ569" s="97"/>
      <c r="AK569" s="97"/>
      <c r="AL569" s="97"/>
      <c r="AM569" s="97"/>
      <c r="AN569" s="97"/>
      <c r="AO569" s="97"/>
      <c r="AP569" s="100"/>
      <c r="AQ569" s="100"/>
      <c r="AR569" s="97"/>
    </row>
    <row r="570" spans="2:44">
      <c r="B570" s="69" t="s">
        <v>4674</v>
      </c>
      <c r="C570" s="81">
        <v>567</v>
      </c>
      <c r="D570" s="82">
        <v>252610431</v>
      </c>
      <c r="E570" s="116" t="s">
        <v>1195</v>
      </c>
      <c r="F570" s="84" t="s">
        <v>1196</v>
      </c>
      <c r="G570" s="165" t="s">
        <v>4271</v>
      </c>
      <c r="H570" s="104" t="s">
        <v>7052</v>
      </c>
      <c r="I570" s="165" t="s">
        <v>1195</v>
      </c>
      <c r="J570" s="163" t="s">
        <v>1195</v>
      </c>
      <c r="K570" s="104" t="s">
        <v>90</v>
      </c>
      <c r="L570" s="104" t="s">
        <v>4343</v>
      </c>
      <c r="M570" s="105">
        <v>40091</v>
      </c>
      <c r="N570" s="104" t="s">
        <v>4328</v>
      </c>
      <c r="O570" s="104" t="s">
        <v>4308</v>
      </c>
      <c r="P570" s="88">
        <v>1</v>
      </c>
      <c r="Q570" s="88">
        <v>1</v>
      </c>
      <c r="R570" s="88">
        <v>0</v>
      </c>
      <c r="S570" s="88">
        <v>0</v>
      </c>
      <c r="T570" s="88">
        <f t="shared" si="8"/>
        <v>1</v>
      </c>
      <c r="U570" s="104" t="s">
        <v>4344</v>
      </c>
      <c r="V570" s="99" t="s">
        <v>4358</v>
      </c>
      <c r="W570" s="108" t="s">
        <v>7053</v>
      </c>
      <c r="X570" s="108" t="s">
        <v>4419</v>
      </c>
      <c r="Y570" s="108">
        <v>26</v>
      </c>
      <c r="Z570" s="114"/>
      <c r="AA570" s="108" t="s">
        <v>4667</v>
      </c>
      <c r="AB570" s="108" t="s">
        <v>4364</v>
      </c>
      <c r="AC570" s="108">
        <v>40534</v>
      </c>
      <c r="AD570" s="104" t="s">
        <v>7054</v>
      </c>
      <c r="AE570" s="99" t="s">
        <v>4924</v>
      </c>
      <c r="AF570" s="99" t="s">
        <v>4381</v>
      </c>
      <c r="AG570" s="104" t="s">
        <v>7055</v>
      </c>
      <c r="AH570" s="104" t="s">
        <v>5052</v>
      </c>
      <c r="AI570" s="104" t="s">
        <v>4384</v>
      </c>
      <c r="AJ570" s="104" t="s">
        <v>4384</v>
      </c>
      <c r="AK570" s="104" t="s">
        <v>4337</v>
      </c>
      <c r="AL570" s="106"/>
      <c r="AM570" s="104" t="s">
        <v>4402</v>
      </c>
      <c r="AN570" s="104" t="s">
        <v>4592</v>
      </c>
      <c r="AO570" s="106"/>
      <c r="AP570" s="99">
        <v>155</v>
      </c>
      <c r="AQ570" s="99">
        <v>45</v>
      </c>
      <c r="AR570" s="104" t="s">
        <v>4322</v>
      </c>
    </row>
    <row r="571" spans="2:44">
      <c r="B571" s="69" t="s">
        <v>4386</v>
      </c>
      <c r="C571" s="81">
        <v>568</v>
      </c>
      <c r="D571" s="82">
        <v>252610384</v>
      </c>
      <c r="E571" s="83" t="s">
        <v>1867</v>
      </c>
      <c r="F571" s="84" t="s">
        <v>1868</v>
      </c>
      <c r="G571" s="159" t="s">
        <v>1868</v>
      </c>
      <c r="H571" s="85" t="s">
        <v>7056</v>
      </c>
      <c r="I571" s="159" t="s">
        <v>1867</v>
      </c>
      <c r="J571" s="157" t="s">
        <v>1867</v>
      </c>
      <c r="K571" s="85" t="s">
        <v>89</v>
      </c>
      <c r="L571" s="85" t="s">
        <v>4629</v>
      </c>
      <c r="M571" s="87">
        <v>40092</v>
      </c>
      <c r="N571" s="85" t="s">
        <v>4328</v>
      </c>
      <c r="O571" s="85" t="s">
        <v>4489</v>
      </c>
      <c r="P571" s="99">
        <v>1</v>
      </c>
      <c r="Q571" s="99">
        <v>0</v>
      </c>
      <c r="R571" s="99">
        <v>0</v>
      </c>
      <c r="S571" s="99">
        <v>0</v>
      </c>
      <c r="T571" s="88">
        <f t="shared" si="8"/>
        <v>0</v>
      </c>
      <c r="U571" s="85" t="s">
        <v>7057</v>
      </c>
      <c r="V571" s="88">
        <v>0</v>
      </c>
      <c r="W571" s="109" t="s">
        <v>7058</v>
      </c>
      <c r="X571" s="109" t="s">
        <v>4419</v>
      </c>
      <c r="Y571" s="109">
        <v>11</v>
      </c>
      <c r="Z571" s="109" t="s">
        <v>4450</v>
      </c>
      <c r="AA571" s="109" t="s">
        <v>4450</v>
      </c>
      <c r="AB571" s="109" t="s">
        <v>4451</v>
      </c>
      <c r="AC571" s="109">
        <v>40535</v>
      </c>
      <c r="AD571" s="85" t="s">
        <v>7059</v>
      </c>
      <c r="AE571" s="88" t="s">
        <v>4815</v>
      </c>
      <c r="AF571" s="88" t="s">
        <v>4411</v>
      </c>
      <c r="AG571" s="85" t="s">
        <v>7060</v>
      </c>
      <c r="AH571" s="85" t="s">
        <v>7061</v>
      </c>
      <c r="AI571" s="85" t="s">
        <v>4318</v>
      </c>
      <c r="AJ571" s="85" t="s">
        <v>4318</v>
      </c>
      <c r="AK571" s="85" t="s">
        <v>4372</v>
      </c>
      <c r="AL571" s="90"/>
      <c r="AM571" s="85" t="s">
        <v>4553</v>
      </c>
      <c r="AN571" s="85" t="s">
        <v>4846</v>
      </c>
      <c r="AO571" s="90"/>
      <c r="AP571" s="88">
        <v>176</v>
      </c>
      <c r="AQ571" s="88">
        <v>80</v>
      </c>
      <c r="AR571" s="85" t="s">
        <v>4428</v>
      </c>
    </row>
    <row r="572" spans="2:44">
      <c r="B572" s="69" t="s">
        <v>4304</v>
      </c>
      <c r="C572" s="184">
        <v>569</v>
      </c>
      <c r="D572" s="121">
        <v>252610480</v>
      </c>
      <c r="E572" s="110" t="s">
        <v>1576</v>
      </c>
      <c r="F572" s="84" t="s">
        <v>1577</v>
      </c>
      <c r="G572" s="165" t="s">
        <v>1577</v>
      </c>
      <c r="H572" s="104" t="s">
        <v>7062</v>
      </c>
      <c r="I572" s="165" t="s">
        <v>1576</v>
      </c>
      <c r="J572" s="163" t="s">
        <v>1576</v>
      </c>
      <c r="K572" s="104" t="s">
        <v>90</v>
      </c>
      <c r="L572" s="104" t="s">
        <v>7063</v>
      </c>
      <c r="M572" s="105">
        <v>40117</v>
      </c>
      <c r="N572" s="104" t="s">
        <v>4460</v>
      </c>
      <c r="O572" s="104" t="s">
        <v>4462</v>
      </c>
      <c r="P572" s="88">
        <v>2</v>
      </c>
      <c r="Q572" s="88">
        <v>2</v>
      </c>
      <c r="R572" s="88">
        <v>0</v>
      </c>
      <c r="S572" s="88">
        <v>0</v>
      </c>
      <c r="T572" s="88">
        <f t="shared" si="8"/>
        <v>2</v>
      </c>
      <c r="U572" s="104" t="s">
        <v>5786</v>
      </c>
      <c r="V572" s="99" t="s">
        <v>4595</v>
      </c>
      <c r="W572" s="108" t="s">
        <v>7064</v>
      </c>
      <c r="X572" s="108" t="s">
        <v>4419</v>
      </c>
      <c r="Y572" s="108" t="s">
        <v>4793</v>
      </c>
      <c r="Z572" s="108" t="s">
        <v>7065</v>
      </c>
      <c r="AA572" s="108" t="s">
        <v>4795</v>
      </c>
      <c r="AB572" s="108" t="s">
        <v>4766</v>
      </c>
      <c r="AC572" s="108">
        <v>40215</v>
      </c>
      <c r="AD572" s="104" t="s">
        <v>7066</v>
      </c>
      <c r="AE572" s="99" t="s">
        <v>4898</v>
      </c>
      <c r="AF572" s="99" t="s">
        <v>4453</v>
      </c>
      <c r="AG572" s="104" t="s">
        <v>7067</v>
      </c>
      <c r="AH572" s="104" t="s">
        <v>7068</v>
      </c>
      <c r="AI572" s="104" t="s">
        <v>4318</v>
      </c>
      <c r="AJ572" s="104" t="s">
        <v>4318</v>
      </c>
      <c r="AK572" s="104" t="s">
        <v>4441</v>
      </c>
      <c r="AL572" s="104" t="s">
        <v>4406</v>
      </c>
      <c r="AM572" s="104" t="s">
        <v>4338</v>
      </c>
      <c r="AN572" s="104" t="s">
        <v>7069</v>
      </c>
      <c r="AO572" s="104"/>
      <c r="AP572" s="99">
        <v>163</v>
      </c>
      <c r="AQ572" s="99">
        <v>52</v>
      </c>
      <c r="AR572" s="104" t="s">
        <v>4322</v>
      </c>
    </row>
    <row r="573" spans="2:44">
      <c r="B573" s="65" t="s">
        <v>4674</v>
      </c>
      <c r="C573" s="81">
        <v>570</v>
      </c>
      <c r="D573" s="82">
        <v>252610432</v>
      </c>
      <c r="E573" s="83" t="s">
        <v>2064</v>
      </c>
      <c r="F573" s="84" t="s">
        <v>2065</v>
      </c>
      <c r="G573" s="159" t="s">
        <v>2065</v>
      </c>
      <c r="H573" s="85" t="s">
        <v>7070</v>
      </c>
      <c r="I573" s="159" t="s">
        <v>2064</v>
      </c>
      <c r="J573" s="157" t="s">
        <v>4273</v>
      </c>
      <c r="K573" s="85" t="s">
        <v>89</v>
      </c>
      <c r="L573" s="85" t="s">
        <v>6941</v>
      </c>
      <c r="M573" s="87">
        <v>40169</v>
      </c>
      <c r="N573" s="85" t="s">
        <v>4328</v>
      </c>
      <c r="O573" s="85" t="s">
        <v>4462</v>
      </c>
      <c r="P573" s="99">
        <v>2</v>
      </c>
      <c r="Q573" s="99">
        <v>2</v>
      </c>
      <c r="R573" s="99">
        <v>0</v>
      </c>
      <c r="S573" s="99">
        <v>0</v>
      </c>
      <c r="T573" s="88">
        <f t="shared" si="8"/>
        <v>2</v>
      </c>
      <c r="U573" s="85" t="s">
        <v>5881</v>
      </c>
      <c r="V573" s="88" t="s">
        <v>4358</v>
      </c>
      <c r="W573" s="109" t="s">
        <v>7071</v>
      </c>
      <c r="X573" s="109" t="s">
        <v>4392</v>
      </c>
      <c r="Y573" s="109" t="s">
        <v>4714</v>
      </c>
      <c r="Z573" s="109" t="s">
        <v>7072</v>
      </c>
      <c r="AA573" s="109" t="s">
        <v>4634</v>
      </c>
      <c r="AB573" s="109" t="s">
        <v>4988</v>
      </c>
      <c r="AC573" s="109">
        <v>40534</v>
      </c>
      <c r="AD573" s="85" t="s">
        <v>7073</v>
      </c>
      <c r="AE573" s="88" t="s">
        <v>4380</v>
      </c>
      <c r="AF573" s="113">
        <v>1400</v>
      </c>
      <c r="AG573" s="85" t="s">
        <v>7074</v>
      </c>
      <c r="AH573" s="85" t="s">
        <v>6809</v>
      </c>
      <c r="AI573" s="85" t="s">
        <v>7075</v>
      </c>
      <c r="AJ573" s="85" t="s">
        <v>7075</v>
      </c>
      <c r="AK573" s="85" t="s">
        <v>4337</v>
      </c>
      <c r="AL573" s="90"/>
      <c r="AM573" s="85" t="s">
        <v>4372</v>
      </c>
      <c r="AN573" s="85" t="s">
        <v>7076</v>
      </c>
      <c r="AO573" s="90"/>
      <c r="AP573" s="88">
        <v>168</v>
      </c>
      <c r="AQ573" s="88">
        <v>83</v>
      </c>
      <c r="AR573" s="85" t="s">
        <v>4428</v>
      </c>
    </row>
    <row r="574" s="66" customFormat="1" spans="2:44">
      <c r="B574" s="91" t="s">
        <v>4323</v>
      </c>
      <c r="C574" s="92">
        <v>571</v>
      </c>
      <c r="D574" s="93">
        <v>252610288</v>
      </c>
      <c r="E574" s="115" t="s">
        <v>1479</v>
      </c>
      <c r="F574" s="95" t="s">
        <v>1480</v>
      </c>
      <c r="G574" s="160" t="s">
        <v>1480</v>
      </c>
      <c r="H574" s="97"/>
      <c r="I574" s="160" t="s">
        <v>1479</v>
      </c>
      <c r="J574" s="160" t="s">
        <v>1479</v>
      </c>
      <c r="K574" s="97"/>
      <c r="L574" s="97"/>
      <c r="M574" s="98"/>
      <c r="N574" s="97"/>
      <c r="O574" s="97"/>
      <c r="P574" s="182"/>
      <c r="Q574" s="183"/>
      <c r="R574" s="183"/>
      <c r="S574" s="183"/>
      <c r="T574" s="88">
        <f t="shared" si="8"/>
        <v>0</v>
      </c>
      <c r="U574" s="97"/>
      <c r="V574" s="100"/>
      <c r="W574" s="101"/>
      <c r="X574" s="101"/>
      <c r="Y574" s="101"/>
      <c r="Z574" s="101"/>
      <c r="AA574" s="101"/>
      <c r="AB574" s="101"/>
      <c r="AC574" s="101"/>
      <c r="AD574" s="97"/>
      <c r="AE574" s="100"/>
      <c r="AF574" s="100"/>
      <c r="AG574" s="97"/>
      <c r="AH574" s="97"/>
      <c r="AI574" s="97"/>
      <c r="AJ574" s="97"/>
      <c r="AK574" s="97"/>
      <c r="AL574" s="97"/>
      <c r="AM574" s="97"/>
      <c r="AN574" s="97"/>
      <c r="AO574" s="97"/>
      <c r="AP574" s="100"/>
      <c r="AQ574" s="100"/>
      <c r="AR574" s="97"/>
    </row>
    <row r="575" s="66" customFormat="1" spans="2:44">
      <c r="B575" s="91" t="s">
        <v>4373</v>
      </c>
      <c r="C575" s="92">
        <v>572</v>
      </c>
      <c r="D575" s="93">
        <v>252610527</v>
      </c>
      <c r="E575" s="94" t="s">
        <v>1869</v>
      </c>
      <c r="F575" s="185" t="s">
        <v>1870</v>
      </c>
      <c r="G575" s="161" t="s">
        <v>4272</v>
      </c>
      <c r="H575" s="97"/>
      <c r="I575" s="161" t="s">
        <v>1869</v>
      </c>
      <c r="J575" s="161" t="s">
        <v>1869</v>
      </c>
      <c r="K575" s="97"/>
      <c r="L575" s="97"/>
      <c r="M575" s="98"/>
      <c r="N575" s="97"/>
      <c r="O575" s="97"/>
      <c r="P575" s="186"/>
      <c r="Q575" s="187"/>
      <c r="R575" s="187"/>
      <c r="S575" s="187"/>
      <c r="T575" s="88">
        <f t="shared" si="8"/>
        <v>0</v>
      </c>
      <c r="U575" s="97"/>
      <c r="V575" s="100"/>
      <c r="W575" s="101"/>
      <c r="X575" s="101"/>
      <c r="Y575" s="101"/>
      <c r="Z575" s="101"/>
      <c r="AA575" s="101"/>
      <c r="AB575" s="101"/>
      <c r="AC575" s="101"/>
      <c r="AD575" s="97"/>
      <c r="AE575" s="100"/>
      <c r="AF575" s="100"/>
      <c r="AG575" s="97"/>
      <c r="AH575" s="97"/>
      <c r="AI575" s="97"/>
      <c r="AJ575" s="97"/>
      <c r="AK575" s="97"/>
      <c r="AL575" s="97"/>
      <c r="AM575" s="97"/>
      <c r="AN575" s="97"/>
      <c r="AO575" s="97"/>
      <c r="AP575" s="100"/>
      <c r="AQ575" s="100"/>
      <c r="AR575" s="97"/>
    </row>
    <row r="576" spans="2:44">
      <c r="B576" s="69" t="s">
        <v>4373</v>
      </c>
      <c r="C576" s="81">
        <v>573</v>
      </c>
      <c r="D576" s="188">
        <v>252610528</v>
      </c>
      <c r="E576" s="189" t="s">
        <v>1967</v>
      </c>
      <c r="F576" s="84" t="s">
        <v>1968</v>
      </c>
      <c r="G576" s="190" t="s">
        <v>4274</v>
      </c>
      <c r="H576" s="104" t="s">
        <v>7077</v>
      </c>
      <c r="I576" s="190" t="s">
        <v>1967</v>
      </c>
      <c r="J576" s="191" t="s">
        <v>1967</v>
      </c>
      <c r="K576" s="104" t="s">
        <v>89</v>
      </c>
      <c r="L576" s="104" t="s">
        <v>4343</v>
      </c>
      <c r="M576" s="105">
        <v>40096</v>
      </c>
      <c r="N576" s="104" t="s">
        <v>4328</v>
      </c>
      <c r="O576" s="104" t="s">
        <v>4619</v>
      </c>
      <c r="P576" s="88">
        <v>3</v>
      </c>
      <c r="Q576" s="88">
        <v>4</v>
      </c>
      <c r="R576" s="88">
        <v>0</v>
      </c>
      <c r="S576" s="88">
        <v>0</v>
      </c>
      <c r="T576" s="88">
        <f t="shared" si="8"/>
        <v>4</v>
      </c>
      <c r="U576" s="104" t="s">
        <v>5031</v>
      </c>
      <c r="V576" s="99">
        <v>0</v>
      </c>
      <c r="W576" s="108" t="s">
        <v>7078</v>
      </c>
      <c r="X576" s="108" t="s">
        <v>4464</v>
      </c>
      <c r="Y576" s="108" t="s">
        <v>4492</v>
      </c>
      <c r="Z576" s="108" t="s">
        <v>7079</v>
      </c>
      <c r="AA576" s="108" t="s">
        <v>7079</v>
      </c>
      <c r="AB576" s="108" t="s">
        <v>5140</v>
      </c>
      <c r="AC576" s="108">
        <v>40216</v>
      </c>
      <c r="AD576" s="104" t="s">
        <v>7080</v>
      </c>
      <c r="AE576" s="99" t="s">
        <v>4909</v>
      </c>
      <c r="AF576" s="99" t="s">
        <v>6130</v>
      </c>
      <c r="AG576" s="104" t="s">
        <v>7081</v>
      </c>
      <c r="AH576" s="104" t="s">
        <v>7082</v>
      </c>
      <c r="AI576" s="104" t="s">
        <v>5168</v>
      </c>
      <c r="AJ576" s="104" t="s">
        <v>4384</v>
      </c>
      <c r="AK576" s="104" t="s">
        <v>4319</v>
      </c>
      <c r="AL576" s="106"/>
      <c r="AM576" s="104" t="s">
        <v>4553</v>
      </c>
      <c r="AN576" s="104" t="s">
        <v>6585</v>
      </c>
      <c r="AO576" s="106"/>
      <c r="AP576" s="99">
        <v>170</v>
      </c>
      <c r="AQ576" s="99">
        <v>42</v>
      </c>
      <c r="AR576" s="104" t="s">
        <v>4322</v>
      </c>
    </row>
    <row r="577" spans="7:44">
      <c r="G577" s="90"/>
      <c r="H577" s="90"/>
      <c r="I577" s="90"/>
      <c r="K577" s="90"/>
      <c r="L577" s="192"/>
      <c r="M577" s="90"/>
      <c r="N577" s="90"/>
      <c r="O577" s="90"/>
      <c r="P577" s="193"/>
      <c r="Q577" s="90"/>
      <c r="R577" s="90"/>
      <c r="S577" s="90"/>
      <c r="T577" s="193"/>
      <c r="U577" s="90"/>
      <c r="V577" s="193"/>
      <c r="W577" s="112"/>
      <c r="X577" s="112"/>
      <c r="Y577" s="112"/>
      <c r="Z577" s="112"/>
      <c r="AA577" s="112"/>
      <c r="AB577" s="112"/>
      <c r="AC577" s="112"/>
      <c r="AD577" s="90"/>
      <c r="AE577" s="193"/>
      <c r="AF577" s="193"/>
      <c r="AG577" s="90"/>
      <c r="AH577" s="90"/>
      <c r="AI577" s="90"/>
      <c r="AJ577" s="90"/>
      <c r="AK577" s="194"/>
      <c r="AL577" s="90"/>
      <c r="AM577" s="90"/>
      <c r="AN577" s="90"/>
      <c r="AO577" s="90"/>
      <c r="AP577" s="195"/>
      <c r="AQ577" s="193"/>
      <c r="AR577" s="90"/>
    </row>
    <row r="578" spans="7:44">
      <c r="G578" s="106"/>
      <c r="H578" s="106"/>
      <c r="I578" s="106"/>
      <c r="K578" s="106"/>
      <c r="L578" s="196"/>
      <c r="M578" s="106"/>
      <c r="N578" s="106"/>
      <c r="O578" s="106"/>
      <c r="P578" s="197"/>
      <c r="Q578" s="106"/>
      <c r="R578" s="106"/>
      <c r="S578" s="106"/>
      <c r="T578" s="197"/>
      <c r="U578" s="106"/>
      <c r="V578" s="197"/>
      <c r="W578" s="114"/>
      <c r="X578" s="114"/>
      <c r="Y578" s="114"/>
      <c r="Z578" s="114"/>
      <c r="AA578" s="114"/>
      <c r="AB578" s="114"/>
      <c r="AC578" s="114"/>
      <c r="AD578" s="106"/>
      <c r="AE578" s="197"/>
      <c r="AF578" s="197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97"/>
      <c r="AQ578" s="197"/>
      <c r="AR578" s="106"/>
    </row>
    <row r="579" spans="7:44">
      <c r="G579" s="90"/>
      <c r="H579" s="90"/>
      <c r="I579" s="90"/>
      <c r="K579" s="90"/>
      <c r="L579" s="90"/>
      <c r="M579" s="90"/>
      <c r="N579" s="90"/>
      <c r="O579" s="90"/>
      <c r="P579" s="193"/>
      <c r="Q579" s="90"/>
      <c r="R579" s="90"/>
      <c r="S579" s="90"/>
      <c r="T579" s="193"/>
      <c r="U579" s="90"/>
      <c r="V579" s="193"/>
      <c r="W579" s="112"/>
      <c r="X579" s="112"/>
      <c r="Y579" s="112"/>
      <c r="Z579" s="112"/>
      <c r="AA579" s="112"/>
      <c r="AB579" s="112"/>
      <c r="AC579" s="112"/>
      <c r="AD579" s="90"/>
      <c r="AE579" s="193"/>
      <c r="AF579" s="193"/>
      <c r="AG579" s="90"/>
      <c r="AH579" s="90"/>
      <c r="AI579" s="90"/>
      <c r="AJ579" s="90"/>
      <c r="AK579" s="90"/>
      <c r="AL579" s="90"/>
      <c r="AM579" s="90"/>
      <c r="AN579" s="90"/>
      <c r="AO579" s="90"/>
      <c r="AP579" s="193"/>
      <c r="AQ579" s="193"/>
      <c r="AR579" s="90"/>
    </row>
    <row r="580" spans="7:44">
      <c r="G580" s="106"/>
      <c r="H580" s="106"/>
      <c r="I580" s="106"/>
      <c r="K580" s="106"/>
      <c r="L580" s="106"/>
      <c r="M580" s="106"/>
      <c r="N580" s="106"/>
      <c r="O580" s="106"/>
      <c r="P580" s="197"/>
      <c r="Q580" s="106"/>
      <c r="R580" s="106"/>
      <c r="S580" s="106"/>
      <c r="T580" s="197"/>
      <c r="U580" s="106"/>
      <c r="V580" s="197"/>
      <c r="W580" s="114"/>
      <c r="X580" s="114"/>
      <c r="Y580" s="114"/>
      <c r="Z580" s="114"/>
      <c r="AA580" s="114"/>
      <c r="AB580" s="114"/>
      <c r="AC580" s="114"/>
      <c r="AD580" s="106"/>
      <c r="AE580" s="197"/>
      <c r="AF580" s="197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97"/>
      <c r="AQ580" s="197"/>
      <c r="AR580" s="106"/>
    </row>
    <row r="581" spans="7:44">
      <c r="G581" s="90"/>
      <c r="H581" s="90"/>
      <c r="I581" s="90"/>
      <c r="K581" s="90"/>
      <c r="L581" s="90"/>
      <c r="M581" s="90"/>
      <c r="N581" s="90"/>
      <c r="O581" s="90"/>
      <c r="P581" s="193"/>
      <c r="Q581" s="90"/>
      <c r="R581" s="90"/>
      <c r="S581" s="90"/>
      <c r="T581" s="193"/>
      <c r="U581" s="90"/>
      <c r="V581" s="193"/>
      <c r="W581" s="112"/>
      <c r="X581" s="112"/>
      <c r="Y581" s="112"/>
      <c r="Z581" s="112"/>
      <c r="AA581" s="112"/>
      <c r="AB581" s="112"/>
      <c r="AC581" s="112"/>
      <c r="AD581" s="90"/>
      <c r="AE581" s="193"/>
      <c r="AF581" s="193"/>
      <c r="AG581" s="90"/>
      <c r="AH581" s="90"/>
      <c r="AI581" s="90"/>
      <c r="AJ581" s="90"/>
      <c r="AK581" s="90"/>
      <c r="AL581" s="90"/>
      <c r="AM581" s="90"/>
      <c r="AN581" s="90"/>
      <c r="AO581" s="90"/>
      <c r="AP581" s="193"/>
      <c r="AQ581" s="193"/>
      <c r="AR581" s="90"/>
    </row>
    <row r="582" spans="7:44">
      <c r="G582" s="106"/>
      <c r="H582" s="106"/>
      <c r="I582" s="106"/>
      <c r="K582" s="106"/>
      <c r="L582" s="106"/>
      <c r="M582" s="106"/>
      <c r="N582" s="106"/>
      <c r="O582" s="106"/>
      <c r="P582" s="197"/>
      <c r="Q582" s="106"/>
      <c r="R582" s="106"/>
      <c r="S582" s="106"/>
      <c r="T582" s="197"/>
      <c r="U582" s="106"/>
      <c r="V582" s="197"/>
      <c r="W582" s="114"/>
      <c r="X582" s="114"/>
      <c r="Y582" s="114"/>
      <c r="Z582" s="114"/>
      <c r="AA582" s="114"/>
      <c r="AB582" s="114"/>
      <c r="AC582" s="114"/>
      <c r="AD582" s="106"/>
      <c r="AE582" s="197"/>
      <c r="AF582" s="197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97"/>
      <c r="AQ582" s="197"/>
      <c r="AR582" s="106"/>
    </row>
    <row r="583" spans="7:44">
      <c r="G583" s="90"/>
      <c r="H583" s="90"/>
      <c r="I583" s="90"/>
      <c r="K583" s="90"/>
      <c r="L583" s="90"/>
      <c r="M583" s="90"/>
      <c r="N583" s="90"/>
      <c r="O583" s="90"/>
      <c r="P583" s="193"/>
      <c r="Q583" s="90"/>
      <c r="R583" s="90"/>
      <c r="S583" s="90"/>
      <c r="T583" s="193"/>
      <c r="U583" s="90"/>
      <c r="V583" s="193"/>
      <c r="W583" s="112"/>
      <c r="X583" s="112"/>
      <c r="Y583" s="112"/>
      <c r="Z583" s="112"/>
      <c r="AA583" s="112"/>
      <c r="AB583" s="112"/>
      <c r="AC583" s="112"/>
      <c r="AD583" s="90"/>
      <c r="AE583" s="193"/>
      <c r="AF583" s="193"/>
      <c r="AG583" s="90"/>
      <c r="AH583" s="90"/>
      <c r="AI583" s="90"/>
      <c r="AJ583" s="90"/>
      <c r="AK583" s="90"/>
      <c r="AL583" s="90"/>
      <c r="AM583" s="90"/>
      <c r="AN583" s="90"/>
      <c r="AO583" s="90"/>
      <c r="AP583" s="193"/>
      <c r="AQ583" s="193"/>
      <c r="AR583" s="90"/>
    </row>
    <row r="584" spans="7:44">
      <c r="G584" s="106"/>
      <c r="H584" s="106"/>
      <c r="I584" s="106"/>
      <c r="K584" s="106"/>
      <c r="L584" s="106"/>
      <c r="M584" s="106"/>
      <c r="N584" s="106"/>
      <c r="O584" s="106"/>
      <c r="P584" s="197"/>
      <c r="Q584" s="106"/>
      <c r="R584" s="106"/>
      <c r="S584" s="106"/>
      <c r="T584" s="197"/>
      <c r="U584" s="106"/>
      <c r="V584" s="197"/>
      <c r="W584" s="114"/>
      <c r="X584" s="114"/>
      <c r="Y584" s="114"/>
      <c r="Z584" s="114"/>
      <c r="AA584" s="114"/>
      <c r="AB584" s="114"/>
      <c r="AC584" s="114"/>
      <c r="AD584" s="106"/>
      <c r="AE584" s="197"/>
      <c r="AF584" s="197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97"/>
      <c r="AQ584" s="197"/>
      <c r="AR584" s="106"/>
    </row>
    <row r="585" spans="7:44">
      <c r="G585" s="90"/>
      <c r="H585" s="90"/>
      <c r="I585" s="90"/>
      <c r="K585" s="90"/>
      <c r="L585" s="90"/>
      <c r="M585" s="90"/>
      <c r="N585" s="90"/>
      <c r="O585" s="90"/>
      <c r="P585" s="193"/>
      <c r="Q585" s="90"/>
      <c r="R585" s="90"/>
      <c r="S585" s="90"/>
      <c r="T585" s="193"/>
      <c r="U585" s="90"/>
      <c r="V585" s="193"/>
      <c r="W585" s="112"/>
      <c r="X585" s="112"/>
      <c r="Y585" s="112"/>
      <c r="Z585" s="112"/>
      <c r="AA585" s="112"/>
      <c r="AB585" s="112"/>
      <c r="AC585" s="112"/>
      <c r="AD585" s="90"/>
      <c r="AE585" s="193"/>
      <c r="AF585" s="193"/>
      <c r="AG585" s="90"/>
      <c r="AH585" s="90"/>
      <c r="AI585" s="90"/>
      <c r="AJ585" s="90"/>
      <c r="AK585" s="90"/>
      <c r="AL585" s="90"/>
      <c r="AM585" s="90"/>
      <c r="AN585" s="90"/>
      <c r="AO585" s="90"/>
      <c r="AP585" s="193"/>
      <c r="AQ585" s="193"/>
      <c r="AR585" s="90"/>
    </row>
    <row r="586" spans="7:44">
      <c r="G586" s="106"/>
      <c r="H586" s="106"/>
      <c r="I586" s="106"/>
      <c r="K586" s="106"/>
      <c r="L586" s="106"/>
      <c r="M586" s="106"/>
      <c r="N586" s="106"/>
      <c r="O586" s="106"/>
      <c r="P586" s="197"/>
      <c r="Q586" s="106"/>
      <c r="R586" s="106"/>
      <c r="S586" s="106"/>
      <c r="T586" s="197"/>
      <c r="U586" s="106"/>
      <c r="V586" s="197"/>
      <c r="W586" s="114"/>
      <c r="X586" s="114"/>
      <c r="Y586" s="114"/>
      <c r="Z586" s="114"/>
      <c r="AA586" s="114"/>
      <c r="AB586" s="114"/>
      <c r="AC586" s="114"/>
      <c r="AD586" s="106"/>
      <c r="AE586" s="197"/>
      <c r="AF586" s="197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97"/>
      <c r="AQ586" s="197"/>
      <c r="AR586" s="106"/>
    </row>
    <row r="587" spans="7:44">
      <c r="G587" s="90"/>
      <c r="H587" s="90"/>
      <c r="I587" s="90"/>
      <c r="K587" s="90"/>
      <c r="L587" s="90"/>
      <c r="M587" s="90"/>
      <c r="N587" s="90"/>
      <c r="O587" s="90"/>
      <c r="P587" s="193"/>
      <c r="Q587" s="90"/>
      <c r="R587" s="90"/>
      <c r="S587" s="90"/>
      <c r="T587" s="193"/>
      <c r="U587" s="90"/>
      <c r="V587" s="193"/>
      <c r="W587" s="112"/>
      <c r="X587" s="112"/>
      <c r="Y587" s="112"/>
      <c r="Z587" s="112"/>
      <c r="AA587" s="112"/>
      <c r="AB587" s="112"/>
      <c r="AC587" s="112"/>
      <c r="AD587" s="90"/>
      <c r="AE587" s="193"/>
      <c r="AF587" s="193"/>
      <c r="AG587" s="90"/>
      <c r="AH587" s="90"/>
      <c r="AI587" s="90"/>
      <c r="AJ587" s="90"/>
      <c r="AK587" s="90"/>
      <c r="AL587" s="90"/>
      <c r="AM587" s="90"/>
      <c r="AN587" s="90"/>
      <c r="AO587" s="90"/>
      <c r="AP587" s="193"/>
      <c r="AQ587" s="193"/>
      <c r="AR587" s="90"/>
    </row>
    <row r="588" spans="7:44">
      <c r="G588" s="106"/>
      <c r="H588" s="106"/>
      <c r="I588" s="106"/>
      <c r="K588" s="106"/>
      <c r="L588" s="106"/>
      <c r="M588" s="106"/>
      <c r="N588" s="106"/>
      <c r="O588" s="106"/>
      <c r="P588" s="197"/>
      <c r="Q588" s="106"/>
      <c r="R588" s="106"/>
      <c r="S588" s="106"/>
      <c r="T588" s="197"/>
      <c r="U588" s="106"/>
      <c r="V588" s="197"/>
      <c r="W588" s="114"/>
      <c r="X588" s="114"/>
      <c r="Y588" s="114"/>
      <c r="Z588" s="114"/>
      <c r="AA588" s="114"/>
      <c r="AB588" s="114"/>
      <c r="AC588" s="114"/>
      <c r="AD588" s="106"/>
      <c r="AE588" s="197"/>
      <c r="AF588" s="197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97"/>
      <c r="AQ588" s="197"/>
      <c r="AR588" s="106"/>
    </row>
    <row r="589" spans="7:44">
      <c r="G589" s="90"/>
      <c r="H589" s="90"/>
      <c r="I589" s="90"/>
      <c r="K589" s="90"/>
      <c r="L589" s="90"/>
      <c r="M589" s="90"/>
      <c r="N589" s="90"/>
      <c r="O589" s="90"/>
      <c r="P589" s="193"/>
      <c r="Q589" s="90"/>
      <c r="R589" s="90"/>
      <c r="S589" s="90"/>
      <c r="T589" s="193"/>
      <c r="U589" s="90"/>
      <c r="V589" s="193"/>
      <c r="W589" s="112"/>
      <c r="X589" s="112"/>
      <c r="Y589" s="112"/>
      <c r="Z589" s="112"/>
      <c r="AA589" s="112"/>
      <c r="AB589" s="112"/>
      <c r="AC589" s="112"/>
      <c r="AD589" s="90"/>
      <c r="AE589" s="193"/>
      <c r="AF589" s="193"/>
      <c r="AG589" s="90"/>
      <c r="AH589" s="90"/>
      <c r="AI589" s="90"/>
      <c r="AJ589" s="90"/>
      <c r="AK589" s="90"/>
      <c r="AL589" s="90"/>
      <c r="AM589" s="90"/>
      <c r="AN589" s="90"/>
      <c r="AO589" s="90"/>
      <c r="AP589" s="193"/>
      <c r="AQ589" s="193"/>
      <c r="AR589" s="90"/>
    </row>
    <row r="590" spans="7:44">
      <c r="G590" s="106"/>
      <c r="H590" s="106"/>
      <c r="I590" s="106"/>
      <c r="K590" s="106"/>
      <c r="L590" s="106"/>
      <c r="M590" s="106"/>
      <c r="N590" s="106"/>
      <c r="O590" s="106"/>
      <c r="P590" s="197"/>
      <c r="Q590" s="106"/>
      <c r="R590" s="106"/>
      <c r="S590" s="106"/>
      <c r="T590" s="197"/>
      <c r="U590" s="106"/>
      <c r="V590" s="197"/>
      <c r="W590" s="114"/>
      <c r="X590" s="114"/>
      <c r="Y590" s="114"/>
      <c r="Z590" s="114"/>
      <c r="AA590" s="114"/>
      <c r="AB590" s="114"/>
      <c r="AC590" s="114"/>
      <c r="AD590" s="106"/>
      <c r="AE590" s="197"/>
      <c r="AF590" s="197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97"/>
      <c r="AQ590" s="197"/>
      <c r="AR590" s="106"/>
    </row>
    <row r="591" spans="7:44">
      <c r="G591" s="90"/>
      <c r="H591" s="90"/>
      <c r="I591" s="90"/>
      <c r="K591" s="90"/>
      <c r="L591" s="90"/>
      <c r="M591" s="90"/>
      <c r="N591" s="90"/>
      <c r="O591" s="90"/>
      <c r="P591" s="193"/>
      <c r="Q591" s="90"/>
      <c r="R591" s="90"/>
      <c r="S591" s="90"/>
      <c r="T591" s="193"/>
      <c r="U591" s="90"/>
      <c r="V591" s="193"/>
      <c r="W591" s="112"/>
      <c r="X591" s="112"/>
      <c r="Y591" s="112"/>
      <c r="Z591" s="112"/>
      <c r="AA591" s="112"/>
      <c r="AB591" s="112"/>
      <c r="AC591" s="112"/>
      <c r="AD591" s="90"/>
      <c r="AE591" s="193"/>
      <c r="AF591" s="193"/>
      <c r="AG591" s="90"/>
      <c r="AH591" s="90"/>
      <c r="AI591" s="90"/>
      <c r="AJ591" s="90"/>
      <c r="AK591" s="90"/>
      <c r="AL591" s="90"/>
      <c r="AM591" s="90"/>
      <c r="AN591" s="90"/>
      <c r="AO591" s="90"/>
      <c r="AP591" s="193"/>
      <c r="AQ591" s="193"/>
      <c r="AR591" s="90"/>
    </row>
    <row r="592" spans="7:44">
      <c r="G592" s="106"/>
      <c r="H592" s="106"/>
      <c r="I592" s="106"/>
      <c r="K592" s="106"/>
      <c r="L592" s="106"/>
      <c r="M592" s="106"/>
      <c r="N592" s="106"/>
      <c r="O592" s="106"/>
      <c r="P592" s="197"/>
      <c r="Q592" s="106"/>
      <c r="R592" s="106"/>
      <c r="S592" s="106"/>
      <c r="T592" s="197"/>
      <c r="U592" s="106"/>
      <c r="V592" s="197"/>
      <c r="W592" s="114"/>
      <c r="X592" s="114"/>
      <c r="Y592" s="114"/>
      <c r="Z592" s="114"/>
      <c r="AA592" s="114"/>
      <c r="AB592" s="114"/>
      <c r="AC592" s="114"/>
      <c r="AD592" s="106"/>
      <c r="AE592" s="197"/>
      <c r="AF592" s="197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97"/>
      <c r="AQ592" s="197"/>
      <c r="AR592" s="106"/>
    </row>
    <row r="593" spans="7:44">
      <c r="G593" s="90"/>
      <c r="H593" s="90"/>
      <c r="I593" s="90"/>
      <c r="K593" s="90"/>
      <c r="L593" s="90"/>
      <c r="M593" s="90"/>
      <c r="N593" s="90"/>
      <c r="O593" s="90"/>
      <c r="P593" s="193"/>
      <c r="Q593" s="90"/>
      <c r="R593" s="90"/>
      <c r="S593" s="90"/>
      <c r="T593" s="193"/>
      <c r="U593" s="90"/>
      <c r="V593" s="193"/>
      <c r="W593" s="112"/>
      <c r="X593" s="112"/>
      <c r="Y593" s="112"/>
      <c r="Z593" s="112"/>
      <c r="AA593" s="112"/>
      <c r="AB593" s="112"/>
      <c r="AC593" s="112"/>
      <c r="AD593" s="90"/>
      <c r="AE593" s="193"/>
      <c r="AF593" s="193"/>
      <c r="AG593" s="90"/>
      <c r="AH593" s="90"/>
      <c r="AI593" s="90"/>
      <c r="AJ593" s="90"/>
      <c r="AK593" s="90"/>
      <c r="AL593" s="90"/>
      <c r="AM593" s="90"/>
      <c r="AN593" s="90"/>
      <c r="AO593" s="90"/>
      <c r="AP593" s="193"/>
      <c r="AQ593" s="193"/>
      <c r="AR593" s="90"/>
    </row>
    <row r="594" spans="7:44">
      <c r="G594" s="106"/>
      <c r="H594" s="106"/>
      <c r="I594" s="106"/>
      <c r="K594" s="106"/>
      <c r="L594" s="106"/>
      <c r="M594" s="106"/>
      <c r="N594" s="106"/>
      <c r="O594" s="106"/>
      <c r="P594" s="197"/>
      <c r="Q594" s="106"/>
      <c r="R594" s="106"/>
      <c r="S594" s="106"/>
      <c r="T594" s="197"/>
      <c r="U594" s="106"/>
      <c r="V594" s="197"/>
      <c r="W594" s="114"/>
      <c r="X594" s="114"/>
      <c r="Y594" s="114"/>
      <c r="Z594" s="114"/>
      <c r="AA594" s="114"/>
      <c r="AB594" s="114"/>
      <c r="AC594" s="114"/>
      <c r="AD594" s="106"/>
      <c r="AE594" s="197"/>
      <c r="AF594" s="197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97"/>
      <c r="AQ594" s="197"/>
      <c r="AR594" s="106"/>
    </row>
    <row r="595" spans="7:44">
      <c r="G595" s="90"/>
      <c r="H595" s="90"/>
      <c r="I595" s="90"/>
      <c r="K595" s="90"/>
      <c r="L595" s="90"/>
      <c r="M595" s="90"/>
      <c r="N595" s="90"/>
      <c r="O595" s="90"/>
      <c r="P595" s="193"/>
      <c r="Q595" s="90"/>
      <c r="R595" s="90"/>
      <c r="S595" s="90"/>
      <c r="T595" s="193"/>
      <c r="U595" s="90"/>
      <c r="V595" s="193"/>
      <c r="W595" s="112"/>
      <c r="X595" s="112"/>
      <c r="Y595" s="112"/>
      <c r="Z595" s="112"/>
      <c r="AA595" s="112"/>
      <c r="AB595" s="112"/>
      <c r="AC595" s="112"/>
      <c r="AD595" s="90"/>
      <c r="AE595" s="193"/>
      <c r="AF595" s="193"/>
      <c r="AG595" s="90"/>
      <c r="AH595" s="90"/>
      <c r="AI595" s="90"/>
      <c r="AJ595" s="90"/>
      <c r="AK595" s="90"/>
      <c r="AL595" s="90"/>
      <c r="AM595" s="90"/>
      <c r="AN595" s="90"/>
      <c r="AO595" s="90"/>
      <c r="AP595" s="193"/>
      <c r="AQ595" s="193"/>
      <c r="AR595" s="90"/>
    </row>
    <row r="596" spans="7:44">
      <c r="G596" s="106"/>
      <c r="H596" s="106"/>
      <c r="I596" s="106"/>
      <c r="K596" s="106"/>
      <c r="L596" s="106"/>
      <c r="M596" s="106"/>
      <c r="N596" s="106"/>
      <c r="O596" s="106"/>
      <c r="P596" s="197"/>
      <c r="Q596" s="106"/>
      <c r="R596" s="106"/>
      <c r="S596" s="106"/>
      <c r="T596" s="197"/>
      <c r="U596" s="106"/>
      <c r="V596" s="197"/>
      <c r="W596" s="114"/>
      <c r="X596" s="114"/>
      <c r="Y596" s="114"/>
      <c r="Z596" s="114"/>
      <c r="AA596" s="114"/>
      <c r="AB596" s="114"/>
      <c r="AC596" s="114"/>
      <c r="AD596" s="106"/>
      <c r="AE596" s="197"/>
      <c r="AF596" s="197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97"/>
      <c r="AQ596" s="197"/>
      <c r="AR596" s="106"/>
    </row>
    <row r="597" spans="7:44">
      <c r="G597" s="90"/>
      <c r="H597" s="90"/>
      <c r="I597" s="90"/>
      <c r="K597" s="90"/>
      <c r="L597" s="90"/>
      <c r="M597" s="90"/>
      <c r="N597" s="90"/>
      <c r="O597" s="90"/>
      <c r="P597" s="193"/>
      <c r="Q597" s="90"/>
      <c r="R597" s="90"/>
      <c r="S597" s="90"/>
      <c r="T597" s="193"/>
      <c r="U597" s="90"/>
      <c r="V597" s="193"/>
      <c r="W597" s="112"/>
      <c r="X597" s="112"/>
      <c r="Y597" s="112"/>
      <c r="Z597" s="112"/>
      <c r="AA597" s="112"/>
      <c r="AB597" s="112"/>
      <c r="AC597" s="112"/>
      <c r="AD597" s="90"/>
      <c r="AE597" s="193"/>
      <c r="AF597" s="193"/>
      <c r="AG597" s="90"/>
      <c r="AH597" s="90"/>
      <c r="AI597" s="90"/>
      <c r="AJ597" s="90"/>
      <c r="AK597" s="90"/>
      <c r="AL597" s="90"/>
      <c r="AM597" s="90"/>
      <c r="AN597" s="90"/>
      <c r="AO597" s="90"/>
      <c r="AP597" s="193"/>
      <c r="AQ597" s="193"/>
      <c r="AR597" s="90"/>
    </row>
    <row r="598" spans="7:44">
      <c r="G598" s="106"/>
      <c r="H598" s="106"/>
      <c r="I598" s="106"/>
      <c r="K598" s="106"/>
      <c r="L598" s="106"/>
      <c r="M598" s="106"/>
      <c r="N598" s="106"/>
      <c r="O598" s="106"/>
      <c r="P598" s="197"/>
      <c r="Q598" s="106"/>
      <c r="R598" s="106"/>
      <c r="S598" s="106"/>
      <c r="T598" s="197"/>
      <c r="U598" s="106"/>
      <c r="V598" s="197"/>
      <c r="W598" s="114"/>
      <c r="X598" s="114"/>
      <c r="Y598" s="114"/>
      <c r="Z598" s="114"/>
      <c r="AA598" s="114"/>
      <c r="AB598" s="114"/>
      <c r="AC598" s="114"/>
      <c r="AD598" s="106"/>
      <c r="AE598" s="197"/>
      <c r="AF598" s="197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97"/>
      <c r="AQ598" s="197"/>
      <c r="AR598" s="106"/>
    </row>
    <row r="599" spans="7:44">
      <c r="G599" s="90"/>
      <c r="H599" s="90"/>
      <c r="I599" s="90"/>
      <c r="K599" s="90"/>
      <c r="L599" s="90"/>
      <c r="M599" s="90"/>
      <c r="N599" s="90"/>
      <c r="O599" s="90"/>
      <c r="P599" s="193"/>
      <c r="Q599" s="90"/>
      <c r="R599" s="90"/>
      <c r="S599" s="90"/>
      <c r="T599" s="193"/>
      <c r="U599" s="90"/>
      <c r="V599" s="193"/>
      <c r="W599" s="112"/>
      <c r="X599" s="112"/>
      <c r="Y599" s="112"/>
      <c r="Z599" s="112"/>
      <c r="AA599" s="112"/>
      <c r="AB599" s="112"/>
      <c r="AC599" s="112"/>
      <c r="AD599" s="90"/>
      <c r="AE599" s="193"/>
      <c r="AF599" s="193"/>
      <c r="AG599" s="90"/>
      <c r="AH599" s="90"/>
      <c r="AI599" s="90"/>
      <c r="AJ599" s="90"/>
      <c r="AK599" s="90"/>
      <c r="AL599" s="90"/>
      <c r="AM599" s="90"/>
      <c r="AN599" s="90"/>
      <c r="AO599" s="90"/>
      <c r="AP599" s="193"/>
      <c r="AQ599" s="193"/>
      <c r="AR599" s="90"/>
    </row>
    <row r="600" spans="7:44">
      <c r="G600" s="106"/>
      <c r="H600" s="106"/>
      <c r="I600" s="106"/>
      <c r="K600" s="106"/>
      <c r="L600" s="106"/>
      <c r="M600" s="106"/>
      <c r="N600" s="106"/>
      <c r="O600" s="106"/>
      <c r="P600" s="197"/>
      <c r="Q600" s="106"/>
      <c r="R600" s="106"/>
      <c r="S600" s="106"/>
      <c r="T600" s="197"/>
      <c r="U600" s="106"/>
      <c r="V600" s="197"/>
      <c r="W600" s="114"/>
      <c r="X600" s="114"/>
      <c r="Y600" s="114"/>
      <c r="Z600" s="114"/>
      <c r="AA600" s="114"/>
      <c r="AB600" s="114"/>
      <c r="AC600" s="114"/>
      <c r="AD600" s="106"/>
      <c r="AE600" s="197"/>
      <c r="AF600" s="197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97"/>
      <c r="AQ600" s="197"/>
      <c r="AR600" s="106"/>
    </row>
    <row r="601" spans="7:44">
      <c r="G601" s="90"/>
      <c r="H601" s="90"/>
      <c r="I601" s="90"/>
      <c r="K601" s="90"/>
      <c r="L601" s="90"/>
      <c r="M601" s="90"/>
      <c r="N601" s="90"/>
      <c r="O601" s="90"/>
      <c r="P601" s="193"/>
      <c r="Q601" s="90"/>
      <c r="R601" s="90"/>
      <c r="S601" s="90"/>
      <c r="T601" s="193"/>
      <c r="U601" s="90"/>
      <c r="V601" s="193"/>
      <c r="W601" s="112"/>
      <c r="X601" s="112"/>
      <c r="Y601" s="112"/>
      <c r="Z601" s="112"/>
      <c r="AA601" s="112"/>
      <c r="AB601" s="112"/>
      <c r="AC601" s="112"/>
      <c r="AD601" s="90"/>
      <c r="AE601" s="193"/>
      <c r="AF601" s="193"/>
      <c r="AG601" s="90"/>
      <c r="AH601" s="90"/>
      <c r="AI601" s="90"/>
      <c r="AJ601" s="90"/>
      <c r="AK601" s="90"/>
      <c r="AL601" s="90"/>
      <c r="AM601" s="90"/>
      <c r="AN601" s="90"/>
      <c r="AO601" s="90"/>
      <c r="AP601" s="193"/>
      <c r="AQ601" s="193"/>
      <c r="AR601" s="90"/>
    </row>
    <row r="602" spans="7:44">
      <c r="G602" s="106"/>
      <c r="H602" s="106"/>
      <c r="I602" s="106"/>
      <c r="K602" s="106"/>
      <c r="L602" s="106"/>
      <c r="M602" s="106"/>
      <c r="N602" s="106"/>
      <c r="O602" s="106"/>
      <c r="P602" s="197"/>
      <c r="Q602" s="106"/>
      <c r="R602" s="106"/>
      <c r="S602" s="106"/>
      <c r="T602" s="197"/>
      <c r="U602" s="106"/>
      <c r="V602" s="197"/>
      <c r="W602" s="114"/>
      <c r="X602" s="114"/>
      <c r="Y602" s="114"/>
      <c r="Z602" s="114"/>
      <c r="AA602" s="114"/>
      <c r="AB602" s="114"/>
      <c r="AC602" s="114"/>
      <c r="AD602" s="106"/>
      <c r="AE602" s="197"/>
      <c r="AF602" s="197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97"/>
      <c r="AQ602" s="197"/>
      <c r="AR602" s="106"/>
    </row>
    <row r="603" spans="7:44">
      <c r="G603" s="90"/>
      <c r="H603" s="90"/>
      <c r="I603" s="90"/>
      <c r="K603" s="90"/>
      <c r="L603" s="90"/>
      <c r="M603" s="90"/>
      <c r="N603" s="90"/>
      <c r="O603" s="90"/>
      <c r="P603" s="193"/>
      <c r="Q603" s="90"/>
      <c r="R603" s="90"/>
      <c r="S603" s="90"/>
      <c r="T603" s="193"/>
      <c r="U603" s="90"/>
      <c r="V603" s="193"/>
      <c r="W603" s="112"/>
      <c r="X603" s="112"/>
      <c r="Y603" s="112"/>
      <c r="Z603" s="112"/>
      <c r="AA603" s="112"/>
      <c r="AB603" s="112"/>
      <c r="AC603" s="112"/>
      <c r="AD603" s="90"/>
      <c r="AE603" s="193"/>
      <c r="AF603" s="193"/>
      <c r="AG603" s="90"/>
      <c r="AH603" s="90"/>
      <c r="AI603" s="90"/>
      <c r="AJ603" s="90"/>
      <c r="AK603" s="90"/>
      <c r="AL603" s="90"/>
      <c r="AM603" s="90"/>
      <c r="AN603" s="90"/>
      <c r="AO603" s="90"/>
      <c r="AP603" s="193"/>
      <c r="AQ603" s="193"/>
      <c r="AR603" s="90"/>
    </row>
    <row r="604" spans="7:44">
      <c r="G604" s="106"/>
      <c r="H604" s="106"/>
      <c r="I604" s="106"/>
      <c r="K604" s="106"/>
      <c r="L604" s="106"/>
      <c r="M604" s="106"/>
      <c r="N604" s="106"/>
      <c r="O604" s="106"/>
      <c r="P604" s="197"/>
      <c r="Q604" s="106"/>
      <c r="R604" s="106"/>
      <c r="S604" s="106"/>
      <c r="T604" s="197"/>
      <c r="U604" s="106"/>
      <c r="V604" s="197"/>
      <c r="W604" s="114"/>
      <c r="X604" s="114"/>
      <c r="Y604" s="114"/>
      <c r="Z604" s="114"/>
      <c r="AA604" s="114"/>
      <c r="AB604" s="114"/>
      <c r="AC604" s="114"/>
      <c r="AD604" s="106"/>
      <c r="AE604" s="197"/>
      <c r="AF604" s="197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97"/>
      <c r="AQ604" s="197"/>
      <c r="AR604" s="106"/>
    </row>
    <row r="605" spans="7:44">
      <c r="G605" s="90"/>
      <c r="H605" s="90"/>
      <c r="I605" s="90"/>
      <c r="K605" s="90"/>
      <c r="L605" s="90"/>
      <c r="M605" s="90"/>
      <c r="N605" s="90"/>
      <c r="O605" s="90"/>
      <c r="P605" s="193"/>
      <c r="Q605" s="90"/>
      <c r="R605" s="90"/>
      <c r="S605" s="90"/>
      <c r="T605" s="193"/>
      <c r="U605" s="90"/>
      <c r="V605" s="193"/>
      <c r="W605" s="112"/>
      <c r="X605" s="112"/>
      <c r="Y605" s="112"/>
      <c r="Z605" s="112"/>
      <c r="AA605" s="112"/>
      <c r="AB605" s="112"/>
      <c r="AC605" s="112"/>
      <c r="AD605" s="90"/>
      <c r="AE605" s="193"/>
      <c r="AF605" s="193"/>
      <c r="AG605" s="90"/>
      <c r="AH605" s="90"/>
      <c r="AI605" s="90"/>
      <c r="AJ605" s="90"/>
      <c r="AK605" s="90"/>
      <c r="AL605" s="90"/>
      <c r="AM605" s="90"/>
      <c r="AN605" s="90"/>
      <c r="AO605" s="90"/>
      <c r="AP605" s="193"/>
      <c r="AQ605" s="193"/>
      <c r="AR605" s="90"/>
    </row>
    <row r="606" spans="7:44">
      <c r="G606" s="106"/>
      <c r="H606" s="106"/>
      <c r="I606" s="106"/>
      <c r="K606" s="106"/>
      <c r="L606" s="106"/>
      <c r="M606" s="106"/>
      <c r="N606" s="106"/>
      <c r="O606" s="106"/>
      <c r="P606" s="197"/>
      <c r="Q606" s="106"/>
      <c r="R606" s="106"/>
      <c r="S606" s="106"/>
      <c r="T606" s="197"/>
      <c r="U606" s="106"/>
      <c r="V606" s="197"/>
      <c r="W606" s="114"/>
      <c r="X606" s="114"/>
      <c r="Y606" s="114"/>
      <c r="Z606" s="114"/>
      <c r="AA606" s="114"/>
      <c r="AB606" s="114"/>
      <c r="AC606" s="114"/>
      <c r="AD606" s="106"/>
      <c r="AE606" s="197"/>
      <c r="AF606" s="197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97"/>
      <c r="AQ606" s="197"/>
      <c r="AR606" s="106"/>
    </row>
    <row r="607" spans="7:44">
      <c r="G607" s="90"/>
      <c r="H607" s="90"/>
      <c r="I607" s="90"/>
      <c r="K607" s="90"/>
      <c r="L607" s="90"/>
      <c r="M607" s="90"/>
      <c r="N607" s="90"/>
      <c r="O607" s="90"/>
      <c r="P607" s="193"/>
      <c r="Q607" s="90"/>
      <c r="R607" s="90"/>
      <c r="S607" s="90"/>
      <c r="T607" s="193"/>
      <c r="U607" s="90"/>
      <c r="V607" s="193"/>
      <c r="W607" s="112"/>
      <c r="X607" s="112"/>
      <c r="Y607" s="112"/>
      <c r="Z607" s="112"/>
      <c r="AA607" s="112"/>
      <c r="AB607" s="112"/>
      <c r="AC607" s="112"/>
      <c r="AD607" s="90"/>
      <c r="AE607" s="193"/>
      <c r="AF607" s="193"/>
      <c r="AG607" s="90"/>
      <c r="AH607" s="90"/>
      <c r="AI607" s="90"/>
      <c r="AJ607" s="90"/>
      <c r="AK607" s="90"/>
      <c r="AL607" s="90"/>
      <c r="AM607" s="90"/>
      <c r="AN607" s="90"/>
      <c r="AO607" s="90"/>
      <c r="AP607" s="193"/>
      <c r="AQ607" s="193"/>
      <c r="AR607" s="90"/>
    </row>
    <row r="608" spans="7:44">
      <c r="G608" s="106"/>
      <c r="H608" s="106"/>
      <c r="I608" s="106"/>
      <c r="K608" s="106"/>
      <c r="L608" s="106"/>
      <c r="M608" s="106"/>
      <c r="N608" s="106"/>
      <c r="O608" s="106"/>
      <c r="P608" s="197"/>
      <c r="Q608" s="106"/>
      <c r="R608" s="106"/>
      <c r="S608" s="106"/>
      <c r="T608" s="197"/>
      <c r="U608" s="106"/>
      <c r="V608" s="197"/>
      <c r="W608" s="114"/>
      <c r="X608" s="114"/>
      <c r="Y608" s="114"/>
      <c r="Z608" s="114"/>
      <c r="AA608" s="114"/>
      <c r="AB608" s="114"/>
      <c r="AC608" s="114"/>
      <c r="AD608" s="106"/>
      <c r="AE608" s="197"/>
      <c r="AF608" s="197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97"/>
      <c r="AQ608" s="197"/>
      <c r="AR608" s="106"/>
    </row>
    <row r="609" spans="7:44">
      <c r="G609" s="90"/>
      <c r="H609" s="90"/>
      <c r="I609" s="90"/>
      <c r="K609" s="90"/>
      <c r="L609" s="90"/>
      <c r="M609" s="90"/>
      <c r="N609" s="90"/>
      <c r="O609" s="90"/>
      <c r="P609" s="193"/>
      <c r="Q609" s="90"/>
      <c r="R609" s="90"/>
      <c r="S609" s="90"/>
      <c r="T609" s="193"/>
      <c r="U609" s="90"/>
      <c r="V609" s="193"/>
      <c r="W609" s="112"/>
      <c r="X609" s="112"/>
      <c r="Y609" s="112"/>
      <c r="Z609" s="112"/>
      <c r="AA609" s="112"/>
      <c r="AB609" s="112"/>
      <c r="AC609" s="112"/>
      <c r="AD609" s="90"/>
      <c r="AE609" s="193"/>
      <c r="AF609" s="193"/>
      <c r="AG609" s="90"/>
      <c r="AH609" s="90"/>
      <c r="AI609" s="90"/>
      <c r="AJ609" s="90"/>
      <c r="AK609" s="90"/>
      <c r="AL609" s="90"/>
      <c r="AM609" s="90"/>
      <c r="AN609" s="90"/>
      <c r="AO609" s="90"/>
      <c r="AP609" s="193"/>
      <c r="AQ609" s="193"/>
      <c r="AR609" s="90"/>
    </row>
    <row r="610" spans="7:44">
      <c r="G610" s="106"/>
      <c r="H610" s="106"/>
      <c r="I610" s="106"/>
      <c r="K610" s="106"/>
      <c r="L610" s="106"/>
      <c r="M610" s="106"/>
      <c r="N610" s="106"/>
      <c r="O610" s="106"/>
      <c r="P610" s="197"/>
      <c r="Q610" s="106"/>
      <c r="R610" s="106"/>
      <c r="S610" s="106"/>
      <c r="T610" s="197"/>
      <c r="U610" s="106"/>
      <c r="V610" s="197"/>
      <c r="W610" s="114"/>
      <c r="X610" s="114"/>
      <c r="Y610" s="114"/>
      <c r="Z610" s="114"/>
      <c r="AA610" s="114"/>
      <c r="AB610" s="114"/>
      <c r="AC610" s="114"/>
      <c r="AD610" s="106"/>
      <c r="AE610" s="197"/>
      <c r="AF610" s="197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97"/>
      <c r="AQ610" s="197"/>
      <c r="AR610" s="106"/>
    </row>
    <row r="611" spans="7:44">
      <c r="G611" s="90"/>
      <c r="H611" s="90"/>
      <c r="I611" s="90"/>
      <c r="K611" s="90"/>
      <c r="L611" s="90"/>
      <c r="M611" s="90"/>
      <c r="N611" s="90"/>
      <c r="O611" s="90"/>
      <c r="P611" s="193"/>
      <c r="Q611" s="90"/>
      <c r="R611" s="90"/>
      <c r="S611" s="90"/>
      <c r="T611" s="193"/>
      <c r="U611" s="90"/>
      <c r="V611" s="193"/>
      <c r="W611" s="112"/>
      <c r="X611" s="112"/>
      <c r="Y611" s="112"/>
      <c r="Z611" s="112"/>
      <c r="AA611" s="112"/>
      <c r="AB611" s="112"/>
      <c r="AC611" s="112"/>
      <c r="AD611" s="90"/>
      <c r="AE611" s="193"/>
      <c r="AF611" s="193"/>
      <c r="AG611" s="90"/>
      <c r="AH611" s="90"/>
      <c r="AI611" s="90"/>
      <c r="AJ611" s="90"/>
      <c r="AK611" s="90"/>
      <c r="AL611" s="90"/>
      <c r="AM611" s="90"/>
      <c r="AN611" s="90"/>
      <c r="AO611" s="90"/>
      <c r="AP611" s="193"/>
      <c r="AQ611" s="193"/>
      <c r="AR611" s="90"/>
    </row>
    <row r="612" spans="7:44">
      <c r="G612" s="106"/>
      <c r="H612" s="106"/>
      <c r="I612" s="106"/>
      <c r="K612" s="106"/>
      <c r="L612" s="106"/>
      <c r="M612" s="106"/>
      <c r="N612" s="106"/>
      <c r="O612" s="106"/>
      <c r="P612" s="197"/>
      <c r="Q612" s="106"/>
      <c r="R612" s="106"/>
      <c r="S612" s="106"/>
      <c r="T612" s="197"/>
      <c r="U612" s="106"/>
      <c r="V612" s="197"/>
      <c r="W612" s="114"/>
      <c r="X612" s="114"/>
      <c r="Y612" s="114"/>
      <c r="Z612" s="114"/>
      <c r="AA612" s="114"/>
      <c r="AB612" s="114"/>
      <c r="AC612" s="114"/>
      <c r="AD612" s="106"/>
      <c r="AE612" s="197"/>
      <c r="AF612" s="197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97"/>
      <c r="AQ612" s="197"/>
      <c r="AR612" s="106"/>
    </row>
    <row r="613" spans="7:44">
      <c r="G613" s="90"/>
      <c r="H613" s="90"/>
      <c r="I613" s="90"/>
      <c r="K613" s="90"/>
      <c r="L613" s="90"/>
      <c r="M613" s="90"/>
      <c r="N613" s="90"/>
      <c r="O613" s="90"/>
      <c r="P613" s="193"/>
      <c r="Q613" s="90"/>
      <c r="R613" s="90"/>
      <c r="S613" s="90"/>
      <c r="T613" s="193"/>
      <c r="U613" s="90"/>
      <c r="V613" s="193"/>
      <c r="W613" s="112"/>
      <c r="X613" s="112"/>
      <c r="Y613" s="112"/>
      <c r="Z613" s="112"/>
      <c r="AA613" s="112"/>
      <c r="AB613" s="112"/>
      <c r="AC613" s="112"/>
      <c r="AD613" s="90"/>
      <c r="AE613" s="193"/>
      <c r="AF613" s="193"/>
      <c r="AG613" s="90"/>
      <c r="AH613" s="90"/>
      <c r="AI613" s="90"/>
      <c r="AJ613" s="90"/>
      <c r="AK613" s="90"/>
      <c r="AL613" s="90"/>
      <c r="AM613" s="90"/>
      <c r="AN613" s="90"/>
      <c r="AO613" s="90"/>
      <c r="AP613" s="193"/>
      <c r="AQ613" s="193"/>
      <c r="AR613" s="90"/>
    </row>
    <row r="614" spans="7:44">
      <c r="G614" s="106"/>
      <c r="H614" s="106"/>
      <c r="I614" s="106"/>
      <c r="K614" s="106"/>
      <c r="L614" s="106"/>
      <c r="M614" s="106"/>
      <c r="N614" s="106"/>
      <c r="O614" s="106"/>
      <c r="P614" s="197"/>
      <c r="Q614" s="106"/>
      <c r="R614" s="106"/>
      <c r="S614" s="106"/>
      <c r="T614" s="197"/>
      <c r="U614" s="106"/>
      <c r="V614" s="197"/>
      <c r="W614" s="114"/>
      <c r="X614" s="114"/>
      <c r="Y614" s="114"/>
      <c r="Z614" s="114"/>
      <c r="AA614" s="114"/>
      <c r="AB614" s="114"/>
      <c r="AC614" s="114"/>
      <c r="AD614" s="106"/>
      <c r="AE614" s="197"/>
      <c r="AF614" s="197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97"/>
      <c r="AQ614" s="197"/>
      <c r="AR614" s="106"/>
    </row>
    <row r="615" spans="7:44">
      <c r="G615" s="90"/>
      <c r="H615" s="90"/>
      <c r="I615" s="90"/>
      <c r="K615" s="90"/>
      <c r="L615" s="90"/>
      <c r="M615" s="90"/>
      <c r="N615" s="90"/>
      <c r="O615" s="90"/>
      <c r="P615" s="193"/>
      <c r="Q615" s="90"/>
      <c r="R615" s="90"/>
      <c r="S615" s="90"/>
      <c r="T615" s="193"/>
      <c r="U615" s="90"/>
      <c r="V615" s="193"/>
      <c r="W615" s="112"/>
      <c r="X615" s="112"/>
      <c r="Y615" s="112"/>
      <c r="Z615" s="112"/>
      <c r="AA615" s="112"/>
      <c r="AB615" s="112"/>
      <c r="AC615" s="112"/>
      <c r="AD615" s="90"/>
      <c r="AE615" s="193"/>
      <c r="AF615" s="193"/>
      <c r="AG615" s="90"/>
      <c r="AH615" s="90"/>
      <c r="AI615" s="90"/>
      <c r="AJ615" s="90"/>
      <c r="AK615" s="90"/>
      <c r="AL615" s="90"/>
      <c r="AM615" s="90"/>
      <c r="AN615" s="90"/>
      <c r="AO615" s="90"/>
      <c r="AP615" s="193"/>
      <c r="AQ615" s="193"/>
      <c r="AR615" s="90"/>
    </row>
    <row r="616" spans="7:44">
      <c r="G616" s="106"/>
      <c r="H616" s="106"/>
      <c r="I616" s="106"/>
      <c r="K616" s="106"/>
      <c r="L616" s="106"/>
      <c r="M616" s="106"/>
      <c r="N616" s="106"/>
      <c r="O616" s="106"/>
      <c r="P616" s="197"/>
      <c r="Q616" s="106"/>
      <c r="R616" s="106"/>
      <c r="S616" s="106"/>
      <c r="T616" s="197"/>
      <c r="U616" s="106"/>
      <c r="V616" s="197"/>
      <c r="W616" s="114"/>
      <c r="X616" s="114"/>
      <c r="Y616" s="114"/>
      <c r="Z616" s="114"/>
      <c r="AA616" s="114"/>
      <c r="AB616" s="114"/>
      <c r="AC616" s="114"/>
      <c r="AD616" s="106"/>
      <c r="AE616" s="197"/>
      <c r="AF616" s="197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97"/>
      <c r="AQ616" s="197"/>
      <c r="AR616" s="106"/>
    </row>
    <row r="617" spans="7:44">
      <c r="G617" s="90"/>
      <c r="H617" s="90"/>
      <c r="I617" s="90"/>
      <c r="K617" s="90"/>
      <c r="L617" s="90"/>
      <c r="M617" s="90"/>
      <c r="N617" s="90"/>
      <c r="O617" s="90"/>
      <c r="P617" s="193"/>
      <c r="Q617" s="90"/>
      <c r="R617" s="90"/>
      <c r="S617" s="90"/>
      <c r="T617" s="193"/>
      <c r="U617" s="90"/>
      <c r="V617" s="193"/>
      <c r="W617" s="112"/>
      <c r="X617" s="112"/>
      <c r="Y617" s="112"/>
      <c r="Z617" s="112"/>
      <c r="AA617" s="112"/>
      <c r="AB617" s="112"/>
      <c r="AC617" s="112"/>
      <c r="AD617" s="90"/>
      <c r="AE617" s="193"/>
      <c r="AF617" s="193"/>
      <c r="AG617" s="90"/>
      <c r="AH617" s="90"/>
      <c r="AI617" s="90"/>
      <c r="AJ617" s="90"/>
      <c r="AK617" s="90"/>
      <c r="AL617" s="90"/>
      <c r="AM617" s="90"/>
      <c r="AN617" s="90"/>
      <c r="AO617" s="90"/>
      <c r="AP617" s="193"/>
      <c r="AQ617" s="193"/>
      <c r="AR617" s="90"/>
    </row>
    <row r="618" spans="7:44">
      <c r="G618" s="106"/>
      <c r="H618" s="106"/>
      <c r="I618" s="106"/>
      <c r="K618" s="106"/>
      <c r="L618" s="106"/>
      <c r="M618" s="106"/>
      <c r="N618" s="106"/>
      <c r="O618" s="106"/>
      <c r="P618" s="197"/>
      <c r="Q618" s="106"/>
      <c r="R618" s="106"/>
      <c r="S618" s="106"/>
      <c r="T618" s="197"/>
      <c r="U618" s="106"/>
      <c r="V618" s="197"/>
      <c r="W618" s="114"/>
      <c r="X618" s="114"/>
      <c r="Y618" s="114"/>
      <c r="Z618" s="114"/>
      <c r="AA618" s="114"/>
      <c r="AB618" s="114"/>
      <c r="AC618" s="114"/>
      <c r="AD618" s="106"/>
      <c r="AE618" s="197"/>
      <c r="AF618" s="197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97"/>
      <c r="AQ618" s="197"/>
      <c r="AR618" s="106"/>
    </row>
    <row r="619" spans="7:44">
      <c r="G619" s="90"/>
      <c r="H619" s="90"/>
      <c r="I619" s="90"/>
      <c r="K619" s="90"/>
      <c r="L619" s="90"/>
      <c r="M619" s="90"/>
      <c r="N619" s="90"/>
      <c r="O619" s="90"/>
      <c r="P619" s="193"/>
      <c r="Q619" s="90"/>
      <c r="R619" s="90"/>
      <c r="S619" s="90"/>
      <c r="T619" s="193"/>
      <c r="U619" s="90"/>
      <c r="V619" s="193"/>
      <c r="W619" s="112"/>
      <c r="X619" s="112"/>
      <c r="Y619" s="112"/>
      <c r="Z619" s="112"/>
      <c r="AA619" s="112"/>
      <c r="AB619" s="112"/>
      <c r="AC619" s="112"/>
      <c r="AD619" s="90"/>
      <c r="AE619" s="193"/>
      <c r="AF619" s="193"/>
      <c r="AG619" s="90"/>
      <c r="AH619" s="90"/>
      <c r="AI619" s="90"/>
      <c r="AJ619" s="90"/>
      <c r="AK619" s="90"/>
      <c r="AL619" s="90"/>
      <c r="AM619" s="90"/>
      <c r="AN619" s="90"/>
      <c r="AO619" s="90"/>
      <c r="AP619" s="193"/>
      <c r="AQ619" s="193"/>
      <c r="AR619" s="90"/>
    </row>
    <row r="620" spans="7:44">
      <c r="G620" s="106"/>
      <c r="H620" s="106"/>
      <c r="I620" s="106"/>
      <c r="K620" s="106"/>
      <c r="L620" s="106"/>
      <c r="M620" s="106"/>
      <c r="N620" s="106"/>
      <c r="O620" s="106"/>
      <c r="P620" s="197"/>
      <c r="Q620" s="106"/>
      <c r="R620" s="106"/>
      <c r="S620" s="106"/>
      <c r="T620" s="197"/>
      <c r="U620" s="106"/>
      <c r="V620" s="197"/>
      <c r="W620" s="114"/>
      <c r="X620" s="114"/>
      <c r="Y620" s="114"/>
      <c r="Z620" s="114"/>
      <c r="AA620" s="114"/>
      <c r="AB620" s="114"/>
      <c r="AC620" s="114"/>
      <c r="AD620" s="106"/>
      <c r="AE620" s="197"/>
      <c r="AF620" s="197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97"/>
      <c r="AQ620" s="197"/>
      <c r="AR620" s="106"/>
    </row>
    <row r="621" spans="7:44">
      <c r="G621" s="90"/>
      <c r="H621" s="90"/>
      <c r="I621" s="90"/>
      <c r="K621" s="90"/>
      <c r="L621" s="90"/>
      <c r="M621" s="90"/>
      <c r="N621" s="90"/>
      <c r="O621" s="90"/>
      <c r="P621" s="193"/>
      <c r="Q621" s="90"/>
      <c r="R621" s="90"/>
      <c r="S621" s="90"/>
      <c r="T621" s="193"/>
      <c r="U621" s="90"/>
      <c r="V621" s="193"/>
      <c r="W621" s="112"/>
      <c r="X621" s="112"/>
      <c r="Y621" s="112"/>
      <c r="Z621" s="112"/>
      <c r="AA621" s="112"/>
      <c r="AB621" s="112"/>
      <c r="AC621" s="112"/>
      <c r="AD621" s="90"/>
      <c r="AE621" s="193"/>
      <c r="AF621" s="193"/>
      <c r="AG621" s="90"/>
      <c r="AH621" s="90"/>
      <c r="AI621" s="90"/>
      <c r="AJ621" s="90"/>
      <c r="AK621" s="90"/>
      <c r="AL621" s="90"/>
      <c r="AM621" s="90"/>
      <c r="AN621" s="90"/>
      <c r="AO621" s="90"/>
      <c r="AP621" s="193"/>
      <c r="AQ621" s="193"/>
      <c r="AR621" s="90"/>
    </row>
    <row r="622" spans="7:44">
      <c r="G622" s="106"/>
      <c r="H622" s="106"/>
      <c r="I622" s="106"/>
      <c r="K622" s="106"/>
      <c r="L622" s="106"/>
      <c r="M622" s="106"/>
      <c r="N622" s="106"/>
      <c r="O622" s="106"/>
      <c r="P622" s="197"/>
      <c r="Q622" s="106"/>
      <c r="R622" s="106"/>
      <c r="S622" s="106"/>
      <c r="T622" s="197"/>
      <c r="U622" s="106"/>
      <c r="V622" s="197"/>
      <c r="W622" s="114"/>
      <c r="X622" s="114"/>
      <c r="Y622" s="114"/>
      <c r="Z622" s="114"/>
      <c r="AA622" s="114"/>
      <c r="AB622" s="114"/>
      <c r="AC622" s="114"/>
      <c r="AD622" s="106"/>
      <c r="AE622" s="197"/>
      <c r="AF622" s="197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97"/>
      <c r="AQ622" s="197"/>
      <c r="AR622" s="106"/>
    </row>
    <row r="623" spans="7:44">
      <c r="G623" s="90"/>
      <c r="H623" s="90"/>
      <c r="I623" s="90"/>
      <c r="K623" s="90"/>
      <c r="L623" s="90"/>
      <c r="M623" s="90"/>
      <c r="N623" s="90"/>
      <c r="O623" s="90"/>
      <c r="P623" s="193"/>
      <c r="Q623" s="90"/>
      <c r="R623" s="90"/>
      <c r="S623" s="90"/>
      <c r="T623" s="193"/>
      <c r="U623" s="90"/>
      <c r="V623" s="193"/>
      <c r="W623" s="112"/>
      <c r="X623" s="112"/>
      <c r="Y623" s="112"/>
      <c r="Z623" s="112"/>
      <c r="AA623" s="112"/>
      <c r="AB623" s="112"/>
      <c r="AC623" s="112"/>
      <c r="AD623" s="90"/>
      <c r="AE623" s="193"/>
      <c r="AF623" s="193"/>
      <c r="AG623" s="90"/>
      <c r="AH623" s="90"/>
      <c r="AI623" s="90"/>
      <c r="AJ623" s="90"/>
      <c r="AK623" s="90"/>
      <c r="AL623" s="90"/>
      <c r="AM623" s="90"/>
      <c r="AN623" s="90"/>
      <c r="AO623" s="90"/>
      <c r="AP623" s="193"/>
      <c r="AQ623" s="193"/>
      <c r="AR623" s="90"/>
    </row>
    <row r="624" spans="7:44">
      <c r="G624" s="106"/>
      <c r="H624" s="106"/>
      <c r="I624" s="106"/>
      <c r="K624" s="106"/>
      <c r="L624" s="106"/>
      <c r="M624" s="106"/>
      <c r="N624" s="106"/>
      <c r="O624" s="106"/>
      <c r="P624" s="197"/>
      <c r="Q624" s="106"/>
      <c r="R624" s="106"/>
      <c r="S624" s="106"/>
      <c r="T624" s="197"/>
      <c r="U624" s="106"/>
      <c r="V624" s="197"/>
      <c r="W624" s="114"/>
      <c r="X624" s="114"/>
      <c r="Y624" s="114"/>
      <c r="Z624" s="114"/>
      <c r="AA624" s="114"/>
      <c r="AB624" s="114"/>
      <c r="AC624" s="114"/>
      <c r="AD624" s="106"/>
      <c r="AE624" s="197"/>
      <c r="AF624" s="197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97"/>
      <c r="AQ624" s="197"/>
      <c r="AR624" s="106"/>
    </row>
    <row r="625" spans="7:44">
      <c r="G625" s="90"/>
      <c r="H625" s="90"/>
      <c r="I625" s="90"/>
      <c r="K625" s="90"/>
      <c r="L625" s="90"/>
      <c r="M625" s="90"/>
      <c r="N625" s="90"/>
      <c r="O625" s="90"/>
      <c r="P625" s="193"/>
      <c r="Q625" s="90"/>
      <c r="R625" s="90"/>
      <c r="S625" s="90"/>
      <c r="T625" s="193"/>
      <c r="U625" s="90"/>
      <c r="V625" s="193"/>
      <c r="W625" s="112"/>
      <c r="X625" s="112"/>
      <c r="Y625" s="112"/>
      <c r="Z625" s="112"/>
      <c r="AA625" s="112"/>
      <c r="AB625" s="112"/>
      <c r="AC625" s="112"/>
      <c r="AD625" s="90"/>
      <c r="AE625" s="193"/>
      <c r="AF625" s="193"/>
      <c r="AG625" s="90"/>
      <c r="AH625" s="90"/>
      <c r="AI625" s="90"/>
      <c r="AJ625" s="90"/>
      <c r="AK625" s="90"/>
      <c r="AL625" s="90"/>
      <c r="AM625" s="90"/>
      <c r="AN625" s="90"/>
      <c r="AO625" s="90"/>
      <c r="AP625" s="193"/>
      <c r="AQ625" s="193"/>
      <c r="AR625" s="90"/>
    </row>
    <row r="626" spans="7:44">
      <c r="G626" s="106"/>
      <c r="H626" s="106"/>
      <c r="I626" s="106"/>
      <c r="K626" s="106"/>
      <c r="L626" s="106"/>
      <c r="M626" s="106"/>
      <c r="N626" s="106"/>
      <c r="O626" s="106"/>
      <c r="P626" s="197"/>
      <c r="Q626" s="106"/>
      <c r="R626" s="106"/>
      <c r="S626" s="106"/>
      <c r="T626" s="197"/>
      <c r="U626" s="106"/>
      <c r="V626" s="197"/>
      <c r="W626" s="114"/>
      <c r="X626" s="114"/>
      <c r="Y626" s="114"/>
      <c r="Z626" s="114"/>
      <c r="AA626" s="114"/>
      <c r="AB626" s="114"/>
      <c r="AC626" s="114"/>
      <c r="AD626" s="106"/>
      <c r="AE626" s="197"/>
      <c r="AF626" s="197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97"/>
      <c r="AQ626" s="197"/>
      <c r="AR626" s="106"/>
    </row>
    <row r="627" spans="7:44">
      <c r="G627" s="90"/>
      <c r="H627" s="90"/>
      <c r="I627" s="90"/>
      <c r="K627" s="90"/>
      <c r="L627" s="90"/>
      <c r="M627" s="90"/>
      <c r="N627" s="90"/>
      <c r="O627" s="90"/>
      <c r="P627" s="193"/>
      <c r="Q627" s="90"/>
      <c r="R627" s="90"/>
      <c r="S627" s="90"/>
      <c r="T627" s="193"/>
      <c r="U627" s="90"/>
      <c r="V627" s="193"/>
      <c r="W627" s="112"/>
      <c r="X627" s="112"/>
      <c r="Y627" s="112"/>
      <c r="Z627" s="112"/>
      <c r="AA627" s="112"/>
      <c r="AB627" s="112"/>
      <c r="AC627" s="112"/>
      <c r="AD627" s="90"/>
      <c r="AE627" s="193"/>
      <c r="AF627" s="193"/>
      <c r="AG627" s="90"/>
      <c r="AH627" s="90"/>
      <c r="AI627" s="90"/>
      <c r="AJ627" s="90"/>
      <c r="AK627" s="90"/>
      <c r="AL627" s="90"/>
      <c r="AM627" s="90"/>
      <c r="AN627" s="90"/>
      <c r="AO627" s="90"/>
      <c r="AP627" s="193"/>
      <c r="AQ627" s="193"/>
      <c r="AR627" s="90"/>
    </row>
    <row r="628" spans="7:44">
      <c r="G628" s="106"/>
      <c r="H628" s="106"/>
      <c r="I628" s="106"/>
      <c r="K628" s="106"/>
      <c r="L628" s="106"/>
      <c r="M628" s="106"/>
      <c r="N628" s="106"/>
      <c r="O628" s="106"/>
      <c r="P628" s="197"/>
      <c r="Q628" s="106"/>
      <c r="R628" s="106"/>
      <c r="S628" s="106"/>
      <c r="T628" s="197"/>
      <c r="U628" s="106"/>
      <c r="V628" s="197"/>
      <c r="W628" s="114"/>
      <c r="X628" s="114"/>
      <c r="Y628" s="114"/>
      <c r="Z628" s="114"/>
      <c r="AA628" s="114"/>
      <c r="AB628" s="114"/>
      <c r="AC628" s="114"/>
      <c r="AD628" s="106"/>
      <c r="AE628" s="197"/>
      <c r="AF628" s="197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97"/>
      <c r="AQ628" s="197"/>
      <c r="AR628" s="106"/>
    </row>
    <row r="629" spans="7:44">
      <c r="G629" s="90"/>
      <c r="H629" s="90"/>
      <c r="I629" s="90"/>
      <c r="K629" s="90"/>
      <c r="L629" s="90"/>
      <c r="M629" s="90"/>
      <c r="N629" s="90"/>
      <c r="O629" s="90"/>
      <c r="P629" s="193"/>
      <c r="Q629" s="90"/>
      <c r="R629" s="90"/>
      <c r="S629" s="90"/>
      <c r="T629" s="193"/>
      <c r="U629" s="90"/>
      <c r="V629" s="193"/>
      <c r="W629" s="112"/>
      <c r="X629" s="112"/>
      <c r="Y629" s="112"/>
      <c r="Z629" s="112"/>
      <c r="AA629" s="112"/>
      <c r="AB629" s="112"/>
      <c r="AC629" s="112"/>
      <c r="AD629" s="90"/>
      <c r="AE629" s="193"/>
      <c r="AF629" s="193"/>
      <c r="AG629" s="90"/>
      <c r="AH629" s="90"/>
      <c r="AI629" s="90"/>
      <c r="AJ629" s="90"/>
      <c r="AK629" s="90"/>
      <c r="AL629" s="90"/>
      <c r="AM629" s="90"/>
      <c r="AN629" s="90"/>
      <c r="AO629" s="90"/>
      <c r="AP629" s="193"/>
      <c r="AQ629" s="193"/>
      <c r="AR629" s="90"/>
    </row>
    <row r="630" spans="7:44">
      <c r="G630" s="106"/>
      <c r="H630" s="106"/>
      <c r="I630" s="106"/>
      <c r="K630" s="106"/>
      <c r="L630" s="106"/>
      <c r="M630" s="106"/>
      <c r="N630" s="106"/>
      <c r="O630" s="106"/>
      <c r="P630" s="197"/>
      <c r="Q630" s="106"/>
      <c r="R630" s="106"/>
      <c r="S630" s="106"/>
      <c r="T630" s="197"/>
      <c r="U630" s="106"/>
      <c r="V630" s="197"/>
      <c r="W630" s="114"/>
      <c r="X630" s="114"/>
      <c r="Y630" s="114"/>
      <c r="Z630" s="114"/>
      <c r="AA630" s="114"/>
      <c r="AB630" s="114"/>
      <c r="AC630" s="114"/>
      <c r="AD630" s="106"/>
      <c r="AE630" s="197"/>
      <c r="AF630" s="197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97"/>
      <c r="AQ630" s="197"/>
      <c r="AR630" s="106"/>
    </row>
    <row r="631" spans="7:44">
      <c r="G631" s="90"/>
      <c r="H631" s="90"/>
      <c r="I631" s="90"/>
      <c r="K631" s="90"/>
      <c r="L631" s="90"/>
      <c r="M631" s="90"/>
      <c r="N631" s="90"/>
      <c r="O631" s="90"/>
      <c r="P631" s="193"/>
      <c r="Q631" s="90"/>
      <c r="R631" s="90"/>
      <c r="S631" s="90"/>
      <c r="T631" s="193"/>
      <c r="U631" s="90"/>
      <c r="V631" s="193"/>
      <c r="W631" s="112"/>
      <c r="X631" s="112"/>
      <c r="Y631" s="112"/>
      <c r="Z631" s="112"/>
      <c r="AA631" s="112"/>
      <c r="AB631" s="112"/>
      <c r="AC631" s="112"/>
      <c r="AD631" s="90"/>
      <c r="AE631" s="193"/>
      <c r="AF631" s="193"/>
      <c r="AG631" s="90"/>
      <c r="AH631" s="90"/>
      <c r="AI631" s="90"/>
      <c r="AJ631" s="90"/>
      <c r="AK631" s="90"/>
      <c r="AL631" s="90"/>
      <c r="AM631" s="90"/>
      <c r="AN631" s="90"/>
      <c r="AO631" s="90"/>
      <c r="AP631" s="193"/>
      <c r="AQ631" s="193"/>
      <c r="AR631" s="90"/>
    </row>
    <row r="632" spans="7:44">
      <c r="G632" s="106"/>
      <c r="H632" s="106"/>
      <c r="I632" s="106"/>
      <c r="K632" s="106"/>
      <c r="L632" s="106"/>
      <c r="M632" s="106"/>
      <c r="N632" s="106"/>
      <c r="O632" s="106"/>
      <c r="P632" s="197"/>
      <c r="Q632" s="106"/>
      <c r="R632" s="106"/>
      <c r="S632" s="106"/>
      <c r="T632" s="197"/>
      <c r="U632" s="106"/>
      <c r="V632" s="197"/>
      <c r="W632" s="114"/>
      <c r="X632" s="114"/>
      <c r="Y632" s="114"/>
      <c r="Z632" s="114"/>
      <c r="AA632" s="114"/>
      <c r="AB632" s="114"/>
      <c r="AC632" s="114"/>
      <c r="AD632" s="106"/>
      <c r="AE632" s="197"/>
      <c r="AF632" s="197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97"/>
      <c r="AQ632" s="197"/>
      <c r="AR632" s="106"/>
    </row>
    <row r="633" spans="7:44">
      <c r="G633" s="90"/>
      <c r="H633" s="90"/>
      <c r="I633" s="90"/>
      <c r="K633" s="90"/>
      <c r="L633" s="90"/>
      <c r="M633" s="90"/>
      <c r="N633" s="90"/>
      <c r="O633" s="90"/>
      <c r="P633" s="193"/>
      <c r="Q633" s="90"/>
      <c r="R633" s="90"/>
      <c r="S633" s="90"/>
      <c r="T633" s="193"/>
      <c r="U633" s="90"/>
      <c r="V633" s="193"/>
      <c r="W633" s="112"/>
      <c r="X633" s="112"/>
      <c r="Y633" s="112"/>
      <c r="Z633" s="112"/>
      <c r="AA633" s="112"/>
      <c r="AB633" s="112"/>
      <c r="AC633" s="112"/>
      <c r="AD633" s="90"/>
      <c r="AE633" s="193"/>
      <c r="AF633" s="193"/>
      <c r="AG633" s="90"/>
      <c r="AH633" s="90"/>
      <c r="AI633" s="90"/>
      <c r="AJ633" s="90"/>
      <c r="AK633" s="90"/>
      <c r="AL633" s="90"/>
      <c r="AM633" s="90"/>
      <c r="AN633" s="90"/>
      <c r="AO633" s="90"/>
      <c r="AP633" s="193"/>
      <c r="AQ633" s="193"/>
      <c r="AR633" s="90"/>
    </row>
    <row r="634" spans="7:44">
      <c r="G634" s="106"/>
      <c r="H634" s="106"/>
      <c r="I634" s="106"/>
      <c r="K634" s="106"/>
      <c r="L634" s="106"/>
      <c r="M634" s="106"/>
      <c r="N634" s="106"/>
      <c r="O634" s="106"/>
      <c r="P634" s="197"/>
      <c r="Q634" s="106"/>
      <c r="R634" s="106"/>
      <c r="S634" s="106"/>
      <c r="T634" s="197"/>
      <c r="U634" s="106"/>
      <c r="V634" s="197"/>
      <c r="W634" s="114"/>
      <c r="X634" s="114"/>
      <c r="Y634" s="114"/>
      <c r="Z634" s="114"/>
      <c r="AA634" s="114"/>
      <c r="AB634" s="114"/>
      <c r="AC634" s="114"/>
      <c r="AD634" s="106"/>
      <c r="AE634" s="197"/>
      <c r="AF634" s="197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97"/>
      <c r="AQ634" s="197"/>
      <c r="AR634" s="106"/>
    </row>
    <row r="635" spans="7:44">
      <c r="G635" s="90"/>
      <c r="H635" s="90"/>
      <c r="I635" s="90"/>
      <c r="K635" s="90"/>
      <c r="L635" s="90"/>
      <c r="M635" s="90"/>
      <c r="N635" s="90"/>
      <c r="O635" s="90"/>
      <c r="P635" s="193"/>
      <c r="Q635" s="90"/>
      <c r="R635" s="90"/>
      <c r="S635" s="90"/>
      <c r="T635" s="193"/>
      <c r="U635" s="90"/>
      <c r="V635" s="193"/>
      <c r="W635" s="112"/>
      <c r="X635" s="112"/>
      <c r="Y635" s="112"/>
      <c r="Z635" s="112"/>
      <c r="AA635" s="112"/>
      <c r="AB635" s="112"/>
      <c r="AC635" s="112"/>
      <c r="AD635" s="90"/>
      <c r="AE635" s="193"/>
      <c r="AF635" s="193"/>
      <c r="AG635" s="90"/>
      <c r="AH635" s="90"/>
      <c r="AI635" s="90"/>
      <c r="AJ635" s="90"/>
      <c r="AK635" s="90"/>
      <c r="AL635" s="90"/>
      <c r="AM635" s="90"/>
      <c r="AN635" s="90"/>
      <c r="AO635" s="90"/>
      <c r="AP635" s="193"/>
      <c r="AQ635" s="193"/>
      <c r="AR635" s="90"/>
    </row>
  </sheetData>
  <mergeCells count="2">
    <mergeCell ref="Q3:S3"/>
    <mergeCell ref="W3:AB3"/>
  </mergeCells>
  <conditionalFormatting sqref="D443">
    <cfRule type="expression" dxfId="0" priority="2">
      <formula>COUNTIF(D:D,D443)&gt;1</formula>
    </cfRule>
  </conditionalFormatting>
  <conditionalFormatting sqref="D53:D100">
    <cfRule type="expression" dxfId="0" priority="13">
      <formula>COUNTIF(D:D,D53)&gt;1</formula>
    </cfRule>
  </conditionalFormatting>
  <conditionalFormatting sqref="D197:D244">
    <cfRule type="expression" dxfId="0" priority="10">
      <formula>COUNTIF(D:D,D197)&gt;1</formula>
    </cfRule>
  </conditionalFormatting>
  <conditionalFormatting sqref="D245:D292">
    <cfRule type="expression" dxfId="0" priority="8">
      <formula>COUNTIF(D:D,D245)&gt;1</formula>
    </cfRule>
  </conditionalFormatting>
  <conditionalFormatting sqref="D340:D387">
    <cfRule type="expression" dxfId="0" priority="9">
      <formula>COUNTIF(D:D,D340)&gt;1</formula>
    </cfRule>
  </conditionalFormatting>
  <conditionalFormatting sqref="D388:D435">
    <cfRule type="expression" dxfId="0" priority="6">
      <formula>COUNTIF(D:D,D388)&gt;1</formula>
    </cfRule>
  </conditionalFormatting>
  <conditionalFormatting sqref="D484:D531">
    <cfRule type="expression" dxfId="0" priority="4">
      <formula>COUNTIF(D:D,D484)&gt;1</formula>
    </cfRule>
  </conditionalFormatting>
  <conditionalFormatting sqref="D532:D575">
    <cfRule type="expression" dxfId="0" priority="3">
      <formula>COUNTIF(D:D,D532)&gt;1</formula>
    </cfRule>
  </conditionalFormatting>
  <conditionalFormatting sqref="D4:D22 D24:D52">
    <cfRule type="expression" dxfId="0" priority="14">
      <formula>COUNTIF(D:D,D4)&gt;1</formula>
    </cfRule>
  </conditionalFormatting>
  <conditionalFormatting sqref="D150:D196 D23">
    <cfRule type="expression" dxfId="0" priority="11">
      <formula>COUNTIF(D:D,D23)&gt;1</formula>
    </cfRule>
  </conditionalFormatting>
  <conditionalFormatting sqref="D101:D118 D120:D149">
    <cfRule type="expression" dxfId="0" priority="12">
      <formula>COUNTIF(D:D,D101)&gt;1</formula>
    </cfRule>
  </conditionalFormatting>
  <conditionalFormatting sqref="D293:D339 D119">
    <cfRule type="expression" dxfId="0" priority="7">
      <formula>COUNTIF(D:D,D119)&gt;1</formula>
    </cfRule>
  </conditionalFormatting>
  <conditionalFormatting sqref="D436:D442 D444:D483">
    <cfRule type="expression" dxfId="0" priority="5">
      <formula>COUNTIF(D:D,D436)&gt;1</formula>
    </cfRule>
  </conditionalFormatting>
  <pageMargins left="0.75" right="0.75" top="1" bottom="1" header="0.511811023622047" footer="0.511811023622047"/>
  <pageSetup paperSize="1" orientation="portrait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3"/>
  <sheetViews>
    <sheetView topLeftCell="A181" workbookViewId="0">
      <selection activeCell="Z173" sqref="Z173"/>
    </sheetView>
  </sheetViews>
  <sheetFormatPr defaultColWidth="9.15" defaultRowHeight="14.4"/>
  <cols>
    <col min="1" max="1" width="4.29166666666667" style="2" customWidth="1"/>
    <col min="2" max="3" width="11.4333333333333" style="2" customWidth="1"/>
    <col min="4" max="4" width="5.43333333333333" style="2" hidden="1" customWidth="1"/>
    <col min="5" max="5" width="31.4333333333333" style="2" customWidth="1"/>
    <col min="6" max="11" width="5.56666666666667" style="3" customWidth="1"/>
    <col min="12" max="12" width="23.2833333333333" style="3" hidden="1" customWidth="1"/>
    <col min="13" max="13" width="11.7166666666667" style="3" hidden="1" customWidth="1"/>
    <col min="14" max="14" width="7.15" style="2" customWidth="1"/>
    <col min="15" max="15" width="9" style="2" hidden="1" customWidth="1"/>
    <col min="16" max="16" width="14.2916666666667" style="2" hidden="1" customWidth="1"/>
    <col min="17" max="17" width="4.43333333333333" style="2" hidden="1" customWidth="1"/>
    <col min="18" max="18" width="10.1416666666667" style="2" hidden="1" customWidth="1"/>
    <col min="19" max="19" width="8.29166666666667" style="2" hidden="1" customWidth="1"/>
    <col min="20" max="23" width="9" style="2" hidden="1" customWidth="1"/>
    <col min="24" max="16384" width="9.14166666666667" style="2"/>
  </cols>
  <sheetData>
    <row r="1" ht="15.15" spans="1:21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15.15" spans="1:21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5.15" spans="1:2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9.7" spans="1:21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1">
      <c r="A5" s="6" t="s">
        <v>7083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7"/>
      <c r="R5" s="7"/>
    </row>
    <row r="6" spans="1:21">
      <c r="A6" s="6" t="s">
        <v>7084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7"/>
      <c r="R6" s="7"/>
    </row>
    <row r="7" ht="15.15" spans="1:21">
      <c r="A7" s="8" t="s">
        <v>7085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/>
      <c r="O7" s="7"/>
      <c r="P7" s="7"/>
      <c r="Q7" s="7"/>
      <c r="R7" s="7"/>
    </row>
    <row r="8" ht="15.9" spans="1:21">
      <c r="A8" s="9" t="s">
        <v>7086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10"/>
      <c r="P8" s="10"/>
      <c r="Q8" s="10"/>
      <c r="R8" s="10"/>
    </row>
    <row r="9" ht="15.15" spans="1:21">
      <c r="A9" s="9" t="s">
        <v>7087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  <c r="O9" s="10"/>
      <c r="P9" s="10"/>
      <c r="Q9" s="10"/>
      <c r="R9" s="10"/>
    </row>
    <row r="10" ht="10.5" customHeight="1"/>
    <row r="11" ht="12.75" customHeight="1" spans="1:21">
      <c r="A11" s="11" t="s">
        <v>7088</v>
      </c>
      <c r="F11" s="12" t="s">
        <v>7089</v>
      </c>
      <c r="G11" s="13"/>
      <c r="H11" s="13"/>
      <c r="I11" s="13"/>
      <c r="J11" s="13"/>
      <c r="K11" s="13"/>
    </row>
    <row r="12" ht="34.5" customHeight="1" spans="1:21">
      <c r="A12" s="14" t="s">
        <v>7090</v>
      </c>
      <c r="B12" s="15" t="s">
        <v>11</v>
      </c>
      <c r="C12" s="16" t="s">
        <v>12</v>
      </c>
      <c r="D12" s="17" t="s">
        <v>7091</v>
      </c>
      <c r="E12" s="18" t="s">
        <v>13</v>
      </c>
      <c r="F12" s="18" t="s">
        <v>14</v>
      </c>
      <c r="G12" s="18"/>
      <c r="H12" s="18"/>
      <c r="I12" s="18"/>
      <c r="J12" s="18"/>
      <c r="K12" s="18"/>
      <c r="L12" s="19" t="s">
        <v>4299</v>
      </c>
      <c r="M12" s="19" t="s">
        <v>7092</v>
      </c>
      <c r="Q12" s="20" t="s">
        <v>7090</v>
      </c>
      <c r="R12" s="20" t="s">
        <v>4275</v>
      </c>
      <c r="S12" s="20" t="s">
        <v>23</v>
      </c>
      <c r="T12" s="20" t="s">
        <v>18</v>
      </c>
      <c r="U12" s="20" t="s">
        <v>14</v>
      </c>
    </row>
    <row r="13" ht="16.5" customHeight="1" spans="1:21">
      <c r="A13" s="21">
        <v>1</v>
      </c>
      <c r="B13" s="21">
        <v>171810323</v>
      </c>
      <c r="C13" s="22" t="s">
        <v>7093</v>
      </c>
      <c r="D13" s="23" t="s">
        <v>7094</v>
      </c>
      <c r="E13" s="24" t="s">
        <v>7095</v>
      </c>
      <c r="F13" s="25" t="s">
        <v>23</v>
      </c>
      <c r="G13" s="25"/>
      <c r="H13" s="25"/>
      <c r="I13" s="25"/>
      <c r="J13" s="25"/>
      <c r="K13" s="25"/>
      <c r="L13" s="26" t="s">
        <v>7096</v>
      </c>
      <c r="M13" s="27"/>
      <c r="O13" s="2">
        <v>1</v>
      </c>
      <c r="Q13" s="27">
        <v>1</v>
      </c>
      <c r="R13" s="27" t="s">
        <v>7097</v>
      </c>
      <c r="S13" s="27">
        <f>F49</f>
        <v>14</v>
      </c>
      <c r="T13" s="27">
        <f>F50</f>
        <v>22</v>
      </c>
      <c r="U13" s="27">
        <f>SUM(S13:T13)</f>
        <v>36</v>
      </c>
    </row>
    <row r="14" ht="16.5" customHeight="1" spans="1:21">
      <c r="A14" s="21">
        <v>2</v>
      </c>
      <c r="B14" s="21">
        <v>171810180</v>
      </c>
      <c r="C14" s="22" t="s">
        <v>7098</v>
      </c>
      <c r="D14" s="23" t="s">
        <v>7099</v>
      </c>
      <c r="E14" s="24" t="s">
        <v>7100</v>
      </c>
      <c r="F14" s="25" t="s">
        <v>18</v>
      </c>
      <c r="G14" s="25"/>
      <c r="H14" s="25"/>
      <c r="I14" s="25"/>
      <c r="J14" s="25"/>
      <c r="K14" s="25"/>
      <c r="L14" s="28" t="s">
        <v>3248</v>
      </c>
      <c r="M14" s="27"/>
      <c r="O14" s="2">
        <v>2</v>
      </c>
      <c r="Q14" s="27">
        <v>2</v>
      </c>
      <c r="R14" s="27" t="s">
        <v>7101</v>
      </c>
      <c r="S14" s="27">
        <f>F94</f>
        <v>14</v>
      </c>
      <c r="T14" s="27">
        <f>F95</f>
        <v>22</v>
      </c>
      <c r="U14" s="27">
        <f>SUM(S14:T14)</f>
        <v>36</v>
      </c>
    </row>
    <row r="15" ht="16.5" customHeight="1" spans="1:21">
      <c r="A15" s="21">
        <v>3</v>
      </c>
      <c r="B15" s="21">
        <v>171810289</v>
      </c>
      <c r="C15" s="22" t="s">
        <v>7102</v>
      </c>
      <c r="D15" s="23" t="s">
        <v>7103</v>
      </c>
      <c r="E15" s="29" t="s">
        <v>7104</v>
      </c>
      <c r="F15" s="30" t="s">
        <v>18</v>
      </c>
      <c r="G15" s="30"/>
      <c r="H15" s="30"/>
      <c r="I15" s="30"/>
      <c r="J15" s="30"/>
      <c r="K15" s="30"/>
      <c r="L15" s="31" t="s">
        <v>7096</v>
      </c>
      <c r="M15" s="27"/>
      <c r="O15" s="2">
        <v>3</v>
      </c>
      <c r="Q15" s="27">
        <v>3</v>
      </c>
      <c r="R15" s="27" t="s">
        <v>7105</v>
      </c>
      <c r="S15" s="27">
        <f>F139</f>
        <v>16</v>
      </c>
      <c r="T15" s="27">
        <f>F140</f>
        <v>20</v>
      </c>
      <c r="U15" s="27">
        <f>SUM(S15:T15)</f>
        <v>36</v>
      </c>
    </row>
    <row r="16" ht="16.5" customHeight="1" spans="1:21">
      <c r="A16" s="21">
        <v>4</v>
      </c>
      <c r="B16" s="21">
        <v>171810220</v>
      </c>
      <c r="C16" s="22" t="s">
        <v>7106</v>
      </c>
      <c r="D16" s="23" t="s">
        <v>7107</v>
      </c>
      <c r="E16" s="29" t="s">
        <v>7108</v>
      </c>
      <c r="F16" s="30" t="s">
        <v>18</v>
      </c>
      <c r="G16" s="30"/>
      <c r="H16" s="30"/>
      <c r="I16" s="30"/>
      <c r="J16" s="30"/>
      <c r="K16" s="30"/>
      <c r="L16" s="31" t="s">
        <v>3248</v>
      </c>
      <c r="M16" s="27"/>
      <c r="O16" s="2">
        <v>4</v>
      </c>
      <c r="Q16" s="27">
        <v>4</v>
      </c>
      <c r="R16" s="27" t="s">
        <v>7109</v>
      </c>
      <c r="S16" s="27">
        <f>F184</f>
        <v>14</v>
      </c>
      <c r="T16" s="27">
        <f>F185</f>
        <v>18</v>
      </c>
      <c r="U16" s="27">
        <f>SUM(S16:T16)</f>
        <v>32</v>
      </c>
    </row>
    <row r="17" ht="16.5" customHeight="1" spans="1:22">
      <c r="A17" s="21">
        <v>5</v>
      </c>
      <c r="B17" s="21">
        <v>171810254</v>
      </c>
      <c r="C17" s="22" t="s">
        <v>7110</v>
      </c>
      <c r="D17" s="23" t="s">
        <v>7111</v>
      </c>
      <c r="E17" s="29" t="s">
        <v>7112</v>
      </c>
      <c r="F17" s="30" t="s">
        <v>23</v>
      </c>
      <c r="G17" s="30"/>
      <c r="H17" s="30"/>
      <c r="I17" s="30"/>
      <c r="J17" s="30"/>
      <c r="K17" s="30"/>
      <c r="L17" s="31" t="s">
        <v>4385</v>
      </c>
      <c r="M17" s="27"/>
      <c r="O17" s="2">
        <v>5</v>
      </c>
      <c r="Q17" s="27">
        <v>5</v>
      </c>
      <c r="R17" s="27" t="s">
        <v>7113</v>
      </c>
      <c r="S17" s="27">
        <f>F229</f>
        <v>15</v>
      </c>
      <c r="T17" s="27">
        <f>F230</f>
        <v>20</v>
      </c>
      <c r="U17" s="27">
        <f>SUM(S17:T17)</f>
        <v>35</v>
      </c>
    </row>
    <row r="18" ht="16.5" customHeight="1" spans="1:22">
      <c r="A18" s="21">
        <v>6</v>
      </c>
      <c r="B18" s="21">
        <v>171810222</v>
      </c>
      <c r="C18" s="22" t="s">
        <v>7114</v>
      </c>
      <c r="D18" s="23" t="s">
        <v>7107</v>
      </c>
      <c r="E18" s="24" t="s">
        <v>7115</v>
      </c>
      <c r="F18" s="25" t="s">
        <v>23</v>
      </c>
      <c r="G18" s="25"/>
      <c r="H18" s="25"/>
      <c r="I18" s="25"/>
      <c r="J18" s="25"/>
      <c r="K18" s="25"/>
      <c r="L18" s="26" t="s">
        <v>7116</v>
      </c>
      <c r="M18" s="27"/>
      <c r="O18" s="2">
        <v>6</v>
      </c>
    </row>
    <row r="19" ht="16.5" customHeight="1" spans="1:22">
      <c r="A19" s="21">
        <v>7</v>
      </c>
      <c r="B19" s="21">
        <v>171810293</v>
      </c>
      <c r="C19" s="22" t="s">
        <v>7117</v>
      </c>
      <c r="D19" s="23" t="s">
        <v>7103</v>
      </c>
      <c r="E19" s="29" t="s">
        <v>7118</v>
      </c>
      <c r="F19" s="30" t="s">
        <v>18</v>
      </c>
      <c r="G19" s="30"/>
      <c r="H19" s="30"/>
      <c r="I19" s="30"/>
      <c r="J19" s="30"/>
      <c r="K19" s="30"/>
      <c r="L19" s="31" t="s">
        <v>3124</v>
      </c>
      <c r="M19" s="27"/>
      <c r="O19" s="2">
        <v>7</v>
      </c>
      <c r="U19" s="3">
        <f>SUM(U13:U17)</f>
        <v>175</v>
      </c>
    </row>
    <row r="20" ht="16.5" customHeight="1" spans="1:22">
      <c r="A20" s="21">
        <v>8</v>
      </c>
      <c r="B20" s="21">
        <v>171810330</v>
      </c>
      <c r="C20" s="22" t="s">
        <v>7119</v>
      </c>
      <c r="D20" s="23" t="s">
        <v>7094</v>
      </c>
      <c r="E20" s="24" t="s">
        <v>7120</v>
      </c>
      <c r="F20" s="25" t="s">
        <v>18</v>
      </c>
      <c r="G20" s="25"/>
      <c r="H20" s="25"/>
      <c r="I20" s="25"/>
      <c r="J20" s="25"/>
      <c r="K20" s="25"/>
      <c r="L20" s="26" t="s">
        <v>7121</v>
      </c>
      <c r="M20" s="27"/>
      <c r="O20" s="2">
        <v>8</v>
      </c>
      <c r="Q20" s="2" t="s">
        <v>7090</v>
      </c>
      <c r="R20" s="1" t="s">
        <v>7122</v>
      </c>
    </row>
    <row r="21" ht="16.5" customHeight="1" spans="1:22">
      <c r="A21" s="21">
        <v>9</v>
      </c>
      <c r="B21" s="21">
        <v>171810226</v>
      </c>
      <c r="C21" s="22" t="s">
        <v>7123</v>
      </c>
      <c r="D21" s="23" t="s">
        <v>7107</v>
      </c>
      <c r="E21" s="29" t="s">
        <v>7124</v>
      </c>
      <c r="F21" s="30" t="s">
        <v>18</v>
      </c>
      <c r="G21" s="30"/>
      <c r="H21" s="30"/>
      <c r="I21" s="30"/>
      <c r="J21" s="30"/>
      <c r="K21" s="30"/>
      <c r="L21" s="31" t="s">
        <v>7125</v>
      </c>
      <c r="M21" s="27"/>
      <c r="O21" s="2">
        <v>9</v>
      </c>
      <c r="Q21" s="2">
        <v>1</v>
      </c>
      <c r="R21" s="12" t="s">
        <v>7126</v>
      </c>
      <c r="V21" s="2" t="s">
        <v>18</v>
      </c>
    </row>
    <row r="22" ht="16.5" customHeight="1" spans="1:22">
      <c r="A22" s="21">
        <v>10</v>
      </c>
      <c r="B22" s="21">
        <v>171810260</v>
      </c>
      <c r="C22" s="22" t="s">
        <v>7127</v>
      </c>
      <c r="D22" s="23" t="s">
        <v>7111</v>
      </c>
      <c r="E22" s="29" t="s">
        <v>7128</v>
      </c>
      <c r="F22" s="30" t="s">
        <v>23</v>
      </c>
      <c r="G22" s="30"/>
      <c r="H22" s="30"/>
      <c r="I22" s="30"/>
      <c r="J22" s="30"/>
      <c r="K22" s="30"/>
      <c r="L22" s="31" t="s">
        <v>4385</v>
      </c>
      <c r="M22" s="27"/>
      <c r="O22" s="2">
        <v>10</v>
      </c>
      <c r="Q22" s="2">
        <v>2</v>
      </c>
      <c r="R22" s="12" t="s">
        <v>7129</v>
      </c>
      <c r="V22" s="2" t="s">
        <v>23</v>
      </c>
    </row>
    <row r="23" ht="16.5" customHeight="1" spans="1:22">
      <c r="A23" s="21">
        <v>11</v>
      </c>
      <c r="B23" s="21">
        <v>171810297</v>
      </c>
      <c r="C23" s="22" t="s">
        <v>7130</v>
      </c>
      <c r="D23" s="23" t="s">
        <v>7103</v>
      </c>
      <c r="E23" s="29" t="s">
        <v>7131</v>
      </c>
      <c r="F23" s="30" t="s">
        <v>18</v>
      </c>
      <c r="G23" s="30"/>
      <c r="H23" s="30"/>
      <c r="I23" s="30"/>
      <c r="J23" s="30"/>
      <c r="K23" s="30"/>
      <c r="L23" s="31" t="s">
        <v>3181</v>
      </c>
      <c r="M23" s="27"/>
      <c r="O23" s="2">
        <v>11</v>
      </c>
      <c r="Q23" s="2">
        <v>3</v>
      </c>
      <c r="R23" s="12" t="s">
        <v>7132</v>
      </c>
      <c r="U23" s="2" t="s">
        <v>7133</v>
      </c>
      <c r="V23" s="2" t="s">
        <v>23</v>
      </c>
    </row>
    <row r="24" ht="16.5" customHeight="1" spans="1:22">
      <c r="A24" s="21">
        <v>12</v>
      </c>
      <c r="B24" s="21">
        <v>171810188</v>
      </c>
      <c r="C24" s="22" t="s">
        <v>7134</v>
      </c>
      <c r="D24" s="23" t="s">
        <v>7099</v>
      </c>
      <c r="E24" s="24" t="s">
        <v>7135</v>
      </c>
      <c r="F24" s="25" t="s">
        <v>18</v>
      </c>
      <c r="G24" s="25"/>
      <c r="H24" s="25"/>
      <c r="I24" s="25"/>
      <c r="J24" s="25"/>
      <c r="K24" s="25"/>
      <c r="L24" s="28" t="s">
        <v>3487</v>
      </c>
      <c r="M24" s="27"/>
      <c r="O24" s="2">
        <v>12</v>
      </c>
      <c r="Q24" s="2">
        <v>4</v>
      </c>
      <c r="R24" s="12" t="s">
        <v>7136</v>
      </c>
      <c r="V24" s="2" t="s">
        <v>23</v>
      </c>
    </row>
    <row r="25" ht="16.5" customHeight="1" spans="1:22">
      <c r="A25" s="21">
        <v>13</v>
      </c>
      <c r="B25" s="21">
        <v>171810230</v>
      </c>
      <c r="C25" s="22" t="s">
        <v>7137</v>
      </c>
      <c r="D25" s="23" t="s">
        <v>7107</v>
      </c>
      <c r="E25" s="24" t="s">
        <v>7138</v>
      </c>
      <c r="F25" s="25" t="s">
        <v>23</v>
      </c>
      <c r="G25" s="25"/>
      <c r="H25" s="25"/>
      <c r="I25" s="25"/>
      <c r="J25" s="25"/>
      <c r="K25" s="25"/>
      <c r="L25" s="26" t="s">
        <v>7139</v>
      </c>
      <c r="M25" s="27"/>
      <c r="O25" s="2">
        <v>13</v>
      </c>
      <c r="Q25" s="2">
        <v>5</v>
      </c>
      <c r="R25" s="12" t="s">
        <v>7140</v>
      </c>
      <c r="V25" s="2" t="s">
        <v>23</v>
      </c>
    </row>
    <row r="26" ht="16.5" customHeight="1" spans="1:22">
      <c r="A26" s="21">
        <v>14</v>
      </c>
      <c r="B26" s="21">
        <v>171810339</v>
      </c>
      <c r="C26" s="22" t="s">
        <v>7141</v>
      </c>
      <c r="D26" s="23" t="s">
        <v>7094</v>
      </c>
      <c r="E26" s="24" t="s">
        <v>7142</v>
      </c>
      <c r="F26" s="25" t="s">
        <v>18</v>
      </c>
      <c r="G26" s="25"/>
      <c r="H26" s="25"/>
      <c r="I26" s="25"/>
      <c r="J26" s="25"/>
      <c r="K26" s="25"/>
      <c r="L26" s="26" t="s">
        <v>7143</v>
      </c>
      <c r="M26" s="27"/>
      <c r="O26" s="2">
        <v>14</v>
      </c>
      <c r="Q26" s="2">
        <v>6</v>
      </c>
      <c r="R26" s="24" t="s">
        <v>7144</v>
      </c>
      <c r="V26" s="2" t="s">
        <v>23</v>
      </c>
    </row>
    <row r="27" ht="16.5" customHeight="1" spans="1:22">
      <c r="A27" s="21">
        <v>15</v>
      </c>
      <c r="B27" s="21">
        <v>171810340</v>
      </c>
      <c r="C27" s="22" t="s">
        <v>7145</v>
      </c>
      <c r="D27" s="23" t="s">
        <v>7094</v>
      </c>
      <c r="E27" s="24" t="s">
        <v>7146</v>
      </c>
      <c r="F27" s="25" t="s">
        <v>18</v>
      </c>
      <c r="G27" s="25"/>
      <c r="H27" s="25"/>
      <c r="I27" s="25"/>
      <c r="J27" s="25"/>
      <c r="K27" s="25"/>
      <c r="L27" s="26" t="s">
        <v>7147</v>
      </c>
      <c r="M27" s="32"/>
    </row>
    <row r="28" ht="16.5" customHeight="1" spans="1:22">
      <c r="A28" s="21">
        <v>16</v>
      </c>
      <c r="B28" s="33">
        <v>171810194</v>
      </c>
      <c r="C28" s="22" t="s">
        <v>7148</v>
      </c>
      <c r="D28" s="23" t="s">
        <v>7099</v>
      </c>
      <c r="E28" s="24" t="s">
        <v>7149</v>
      </c>
      <c r="F28" s="25" t="s">
        <v>18</v>
      </c>
      <c r="G28" s="25"/>
      <c r="H28" s="25"/>
      <c r="I28" s="25"/>
      <c r="J28" s="25"/>
      <c r="K28" s="25"/>
      <c r="L28" s="28" t="s">
        <v>3248</v>
      </c>
      <c r="M28" s="32"/>
    </row>
    <row r="29" ht="16.5" customHeight="1" spans="1:22">
      <c r="A29" s="21">
        <v>17</v>
      </c>
      <c r="B29" s="21">
        <v>171810303</v>
      </c>
      <c r="C29" s="22" t="s">
        <v>7150</v>
      </c>
      <c r="D29" s="23" t="s">
        <v>7103</v>
      </c>
      <c r="E29" s="24" t="s">
        <v>7151</v>
      </c>
      <c r="F29" s="25" t="s">
        <v>23</v>
      </c>
      <c r="G29" s="25"/>
      <c r="H29" s="25"/>
      <c r="I29" s="25"/>
      <c r="J29" s="25"/>
      <c r="K29" s="25"/>
      <c r="L29" s="26" t="s">
        <v>6849</v>
      </c>
      <c r="M29" s="32"/>
    </row>
    <row r="30" ht="16.5" customHeight="1" spans="1:22">
      <c r="A30" s="21">
        <v>18</v>
      </c>
      <c r="B30" s="21">
        <v>171810266</v>
      </c>
      <c r="C30" s="22" t="s">
        <v>7152</v>
      </c>
      <c r="D30" s="23" t="s">
        <v>7111</v>
      </c>
      <c r="E30" s="24" t="s">
        <v>7153</v>
      </c>
      <c r="F30" s="25" t="s">
        <v>23</v>
      </c>
      <c r="G30" s="25"/>
      <c r="H30" s="25"/>
      <c r="I30" s="25"/>
      <c r="J30" s="25"/>
      <c r="K30" s="25"/>
      <c r="L30" s="26" t="s">
        <v>3563</v>
      </c>
      <c r="M30" s="27"/>
    </row>
    <row r="31" ht="16.5" customHeight="1" spans="1:22">
      <c r="A31" s="21">
        <v>19</v>
      </c>
      <c r="B31" s="21">
        <v>171810235</v>
      </c>
      <c r="C31" s="22" t="s">
        <v>7154</v>
      </c>
      <c r="D31" s="23" t="s">
        <v>7107</v>
      </c>
      <c r="E31" s="29" t="s">
        <v>7155</v>
      </c>
      <c r="F31" s="30" t="s">
        <v>18</v>
      </c>
      <c r="G31" s="30"/>
      <c r="H31" s="30"/>
      <c r="I31" s="30"/>
      <c r="J31" s="30"/>
      <c r="K31" s="30"/>
      <c r="L31" s="31" t="s">
        <v>4427</v>
      </c>
      <c r="M31" s="27"/>
    </row>
    <row r="32" ht="16.5" customHeight="1" spans="1:22">
      <c r="A32" s="21">
        <v>20</v>
      </c>
      <c r="B32" s="21">
        <v>171810237</v>
      </c>
      <c r="C32" s="22" t="s">
        <v>7156</v>
      </c>
      <c r="D32" s="23" t="s">
        <v>7107</v>
      </c>
      <c r="E32" s="29" t="s">
        <v>7157</v>
      </c>
      <c r="F32" s="30" t="s">
        <v>23</v>
      </c>
      <c r="G32" s="30"/>
      <c r="H32" s="30"/>
      <c r="I32" s="30"/>
      <c r="J32" s="30"/>
      <c r="K32" s="30"/>
      <c r="L32" s="31" t="s">
        <v>7125</v>
      </c>
      <c r="M32" s="27"/>
    </row>
    <row r="33" ht="16.5" customHeight="1" spans="1:13">
      <c r="A33" s="21">
        <v>21</v>
      </c>
      <c r="B33" s="21">
        <v>171810197</v>
      </c>
      <c r="C33" s="22" t="s">
        <v>7158</v>
      </c>
      <c r="D33" s="23" t="s">
        <v>7099</v>
      </c>
      <c r="E33" s="29" t="s">
        <v>7159</v>
      </c>
      <c r="F33" s="30" t="s">
        <v>23</v>
      </c>
      <c r="G33" s="30"/>
      <c r="H33" s="30"/>
      <c r="I33" s="30"/>
      <c r="J33" s="30"/>
      <c r="K33" s="30"/>
      <c r="L33" s="31" t="s">
        <v>3124</v>
      </c>
      <c r="M33" s="27"/>
    </row>
    <row r="34" ht="16.5" customHeight="1" spans="1:13">
      <c r="A34" s="21">
        <v>22</v>
      </c>
      <c r="B34" s="21">
        <v>171810271</v>
      </c>
      <c r="C34" s="22" t="s">
        <v>7160</v>
      </c>
      <c r="D34" s="23" t="s">
        <v>7111</v>
      </c>
      <c r="E34" s="24" t="s">
        <v>7161</v>
      </c>
      <c r="F34" s="25" t="s">
        <v>23</v>
      </c>
      <c r="G34" s="25"/>
      <c r="H34" s="25"/>
      <c r="I34" s="25"/>
      <c r="J34" s="25"/>
      <c r="K34" s="25"/>
      <c r="L34" s="26" t="s">
        <v>4427</v>
      </c>
      <c r="M34" s="27"/>
    </row>
    <row r="35" ht="16.5" customHeight="1" spans="1:13">
      <c r="A35" s="21">
        <v>23</v>
      </c>
      <c r="B35" s="33">
        <v>171810344</v>
      </c>
      <c r="C35" s="22" t="s">
        <v>7162</v>
      </c>
      <c r="D35" s="23" t="s">
        <v>7094</v>
      </c>
      <c r="E35" s="29" t="s">
        <v>7163</v>
      </c>
      <c r="F35" s="30" t="s">
        <v>23</v>
      </c>
      <c r="G35" s="30"/>
      <c r="H35" s="30"/>
      <c r="I35" s="30"/>
      <c r="J35" s="30"/>
      <c r="K35" s="30"/>
      <c r="L35" s="31" t="s">
        <v>3124</v>
      </c>
      <c r="M35" s="27"/>
    </row>
    <row r="36" ht="16.5" customHeight="1" spans="1:13">
      <c r="A36" s="21">
        <v>24</v>
      </c>
      <c r="B36" s="33">
        <v>171810201</v>
      </c>
      <c r="C36" s="22" t="s">
        <v>7164</v>
      </c>
      <c r="D36" s="23" t="s">
        <v>7099</v>
      </c>
      <c r="E36" s="29" t="s">
        <v>7165</v>
      </c>
      <c r="F36" s="30" t="s">
        <v>23</v>
      </c>
      <c r="G36" s="30"/>
      <c r="H36" s="30"/>
      <c r="I36" s="30"/>
      <c r="J36" s="30"/>
      <c r="K36" s="30"/>
      <c r="L36" s="31" t="s">
        <v>3124</v>
      </c>
      <c r="M36" s="27"/>
    </row>
    <row r="37" ht="16.5" customHeight="1" spans="1:13">
      <c r="A37" s="21">
        <v>25</v>
      </c>
      <c r="B37" s="21">
        <v>171810346</v>
      </c>
      <c r="C37" s="22" t="s">
        <v>7166</v>
      </c>
      <c r="D37" s="23" t="s">
        <v>7094</v>
      </c>
      <c r="E37" s="29" t="s">
        <v>7167</v>
      </c>
      <c r="F37" s="30" t="s">
        <v>18</v>
      </c>
      <c r="G37" s="30"/>
      <c r="H37" s="30"/>
      <c r="I37" s="30"/>
      <c r="J37" s="30"/>
      <c r="K37" s="30"/>
      <c r="L37" s="31" t="s">
        <v>7125</v>
      </c>
      <c r="M37" s="27"/>
    </row>
    <row r="38" ht="16.5" customHeight="1" spans="1:13">
      <c r="A38" s="21">
        <v>26</v>
      </c>
      <c r="B38" s="21">
        <v>171810309</v>
      </c>
      <c r="C38" s="22" t="s">
        <v>7168</v>
      </c>
      <c r="D38" s="23" t="s">
        <v>7103</v>
      </c>
      <c r="E38" s="24" t="s">
        <v>7169</v>
      </c>
      <c r="F38" s="25" t="s">
        <v>18</v>
      </c>
      <c r="G38" s="25"/>
      <c r="H38" s="25"/>
      <c r="I38" s="25"/>
      <c r="J38" s="25"/>
      <c r="K38" s="25"/>
      <c r="L38" s="26" t="s">
        <v>3124</v>
      </c>
      <c r="M38" s="27"/>
    </row>
    <row r="39" ht="16.5" customHeight="1" spans="1:13">
      <c r="A39" s="21">
        <v>27</v>
      </c>
      <c r="B39" s="21">
        <v>171810310</v>
      </c>
      <c r="C39" s="22" t="s">
        <v>7170</v>
      </c>
      <c r="D39" s="23" t="s">
        <v>7103</v>
      </c>
      <c r="E39" s="29" t="s">
        <v>7171</v>
      </c>
      <c r="F39" s="30" t="s">
        <v>18</v>
      </c>
      <c r="G39" s="30"/>
      <c r="H39" s="30"/>
      <c r="I39" s="30"/>
      <c r="J39" s="30"/>
      <c r="K39" s="30"/>
      <c r="L39" s="31" t="s">
        <v>4385</v>
      </c>
      <c r="M39" s="27"/>
    </row>
    <row r="40" ht="16.5" customHeight="1" spans="1:13">
      <c r="A40" s="21">
        <v>28</v>
      </c>
      <c r="B40" s="21">
        <v>171810276</v>
      </c>
      <c r="C40" s="22" t="s">
        <v>7172</v>
      </c>
      <c r="D40" s="23" t="s">
        <v>7111</v>
      </c>
      <c r="E40" s="24" t="s">
        <v>7173</v>
      </c>
      <c r="F40" s="25" t="s">
        <v>23</v>
      </c>
      <c r="G40" s="25"/>
      <c r="H40" s="25"/>
      <c r="I40" s="25"/>
      <c r="J40" s="25"/>
      <c r="K40" s="25"/>
      <c r="L40" s="26" t="s">
        <v>6684</v>
      </c>
      <c r="M40" s="27"/>
    </row>
    <row r="41" ht="16.5" customHeight="1" spans="1:13">
      <c r="A41" s="21">
        <v>29</v>
      </c>
      <c r="B41" s="21">
        <v>171810245</v>
      </c>
      <c r="C41" s="22" t="s">
        <v>7174</v>
      </c>
      <c r="D41" s="23" t="s">
        <v>7107</v>
      </c>
      <c r="E41" s="24" t="s">
        <v>7175</v>
      </c>
      <c r="F41" s="25" t="s">
        <v>18</v>
      </c>
      <c r="G41" s="25"/>
      <c r="H41" s="25"/>
      <c r="I41" s="25"/>
      <c r="J41" s="25"/>
      <c r="K41" s="25"/>
      <c r="L41" s="26" t="s">
        <v>7176</v>
      </c>
      <c r="M41" s="27"/>
    </row>
    <row r="42" ht="16.5" customHeight="1" spans="1:13">
      <c r="A42" s="21">
        <v>30</v>
      </c>
      <c r="B42" s="21">
        <v>171810277</v>
      </c>
      <c r="C42" s="22" t="s">
        <v>7177</v>
      </c>
      <c r="D42" s="23" t="s">
        <v>7111</v>
      </c>
      <c r="E42" s="24" t="s">
        <v>7178</v>
      </c>
      <c r="F42" s="25" t="s">
        <v>18</v>
      </c>
      <c r="G42" s="25"/>
      <c r="H42" s="25"/>
      <c r="I42" s="25"/>
      <c r="J42" s="25"/>
      <c r="K42" s="25"/>
      <c r="L42" s="26" t="s">
        <v>7179</v>
      </c>
      <c r="M42" s="27"/>
    </row>
    <row r="43" ht="16.5" customHeight="1" spans="1:13">
      <c r="A43" s="21">
        <v>31</v>
      </c>
      <c r="B43" s="21">
        <v>171810279</v>
      </c>
      <c r="C43" s="22" t="s">
        <v>7180</v>
      </c>
      <c r="D43" s="23" t="s">
        <v>7111</v>
      </c>
      <c r="E43" s="24" t="s">
        <v>7181</v>
      </c>
      <c r="F43" s="25" t="s">
        <v>18</v>
      </c>
      <c r="G43" s="25"/>
      <c r="H43" s="25"/>
      <c r="I43" s="25"/>
      <c r="J43" s="25"/>
      <c r="K43" s="25"/>
      <c r="L43" s="26" t="s">
        <v>3248</v>
      </c>
      <c r="M43" s="27"/>
    </row>
    <row r="44" ht="16.5" customHeight="1" spans="1:13">
      <c r="A44" s="21">
        <v>32</v>
      </c>
      <c r="B44" s="21">
        <v>171810209</v>
      </c>
      <c r="C44" s="22" t="s">
        <v>7182</v>
      </c>
      <c r="D44" s="23" t="s">
        <v>7099</v>
      </c>
      <c r="E44" s="24" t="s">
        <v>7183</v>
      </c>
      <c r="F44" s="25" t="s">
        <v>18</v>
      </c>
      <c r="G44" s="25"/>
      <c r="H44" s="25"/>
      <c r="I44" s="25"/>
      <c r="J44" s="25"/>
      <c r="K44" s="25"/>
      <c r="L44" s="28" t="s">
        <v>7184</v>
      </c>
      <c r="M44" s="27"/>
    </row>
    <row r="45" ht="16.5" customHeight="1" spans="1:13">
      <c r="A45" s="21">
        <v>33</v>
      </c>
      <c r="B45" s="21">
        <v>171810211</v>
      </c>
      <c r="C45" s="22" t="s">
        <v>7185</v>
      </c>
      <c r="D45" s="23" t="s">
        <v>7099</v>
      </c>
      <c r="E45" s="29" t="s">
        <v>7186</v>
      </c>
      <c r="F45" s="30" t="s">
        <v>23</v>
      </c>
      <c r="G45" s="30"/>
      <c r="H45" s="30"/>
      <c r="I45" s="30"/>
      <c r="J45" s="30"/>
      <c r="K45" s="30"/>
      <c r="L45" s="31" t="s">
        <v>4566</v>
      </c>
      <c r="M45" s="27"/>
    </row>
    <row r="46" ht="16.5" customHeight="1" spans="1:13">
      <c r="A46" s="21">
        <v>34</v>
      </c>
      <c r="B46" s="21">
        <v>171810212</v>
      </c>
      <c r="C46" s="22" t="s">
        <v>7187</v>
      </c>
      <c r="D46" s="23" t="s">
        <v>7099</v>
      </c>
      <c r="E46" s="29" t="s">
        <v>7188</v>
      </c>
      <c r="F46" s="30" t="s">
        <v>18</v>
      </c>
      <c r="G46" s="30"/>
      <c r="H46" s="30"/>
      <c r="I46" s="30"/>
      <c r="J46" s="30"/>
      <c r="K46" s="30"/>
      <c r="L46" s="31" t="s">
        <v>7189</v>
      </c>
      <c r="M46" s="27"/>
    </row>
    <row r="47" ht="16.5" customHeight="1" spans="1:13">
      <c r="A47" s="21">
        <v>35</v>
      </c>
      <c r="B47" s="21">
        <v>171810355</v>
      </c>
      <c r="C47" s="22" t="s">
        <v>7190</v>
      </c>
      <c r="D47" s="23" t="s">
        <v>7094</v>
      </c>
      <c r="E47" s="29" t="s">
        <v>7191</v>
      </c>
      <c r="F47" s="30" t="s">
        <v>18</v>
      </c>
      <c r="G47" s="30"/>
      <c r="H47" s="30"/>
      <c r="I47" s="30"/>
      <c r="J47" s="30"/>
      <c r="K47" s="30"/>
      <c r="L47" s="26" t="s">
        <v>3248</v>
      </c>
      <c r="M47" s="27"/>
    </row>
    <row r="48" ht="16.5" customHeight="1" spans="1:13">
      <c r="A48" s="21">
        <v>36</v>
      </c>
      <c r="B48" s="33">
        <v>171810357</v>
      </c>
      <c r="C48" s="22" t="s">
        <v>7192</v>
      </c>
      <c r="D48" s="23" t="s">
        <v>7094</v>
      </c>
      <c r="E48" s="29" t="s">
        <v>7193</v>
      </c>
      <c r="F48" s="30" t="s">
        <v>18</v>
      </c>
      <c r="G48" s="30"/>
      <c r="H48" s="30"/>
      <c r="I48" s="30"/>
      <c r="J48" s="30"/>
      <c r="K48" s="30"/>
      <c r="L48" s="26" t="s">
        <v>3124</v>
      </c>
      <c r="M48" s="27"/>
    </row>
    <row r="49" ht="15" customHeight="1" spans="1:15">
      <c r="A49" s="7"/>
      <c r="B49" s="34"/>
      <c r="C49" s="34"/>
      <c r="D49" s="34"/>
      <c r="E49" s="35" t="s">
        <v>7194</v>
      </c>
      <c r="F49" s="34">
        <f>COUNTIF(F13:F48,"L")</f>
        <v>14</v>
      </c>
      <c r="G49" s="34"/>
      <c r="H49" s="34"/>
      <c r="I49" s="34"/>
      <c r="J49" s="34"/>
      <c r="K49" s="34"/>
    </row>
    <row r="50" ht="15" customHeight="1" spans="1:15">
      <c r="A50" s="7"/>
      <c r="B50" s="34"/>
      <c r="C50" s="34"/>
      <c r="D50" s="34"/>
      <c r="E50" s="35" t="s">
        <v>7195</v>
      </c>
      <c r="F50" s="34">
        <f>COUNTIF(F13:F48,"P")</f>
        <v>22</v>
      </c>
      <c r="G50" s="34"/>
      <c r="H50" s="34"/>
      <c r="I50" s="34"/>
      <c r="J50" s="34"/>
      <c r="K50" s="34"/>
    </row>
    <row r="51" ht="15" customHeight="1" spans="1:15">
      <c r="A51" s="7"/>
      <c r="B51" s="7" t="s">
        <v>7196</v>
      </c>
      <c r="C51" s="34"/>
      <c r="D51" s="34"/>
      <c r="E51" s="7"/>
      <c r="F51" s="12" t="s">
        <v>7197</v>
      </c>
      <c r="G51" s="34"/>
      <c r="H51" s="34"/>
      <c r="I51" s="34"/>
      <c r="J51" s="34"/>
      <c r="K51" s="34"/>
    </row>
    <row r="52" ht="15" customHeight="1" spans="1:15">
      <c r="A52" s="7"/>
      <c r="B52" s="34"/>
      <c r="C52" s="34"/>
      <c r="D52" s="34"/>
      <c r="E52" s="7"/>
      <c r="F52" s="34"/>
      <c r="G52" s="34"/>
      <c r="H52" s="34"/>
      <c r="I52" s="34"/>
      <c r="J52" s="34"/>
      <c r="K52" s="34"/>
    </row>
    <row r="53" ht="15" customHeight="1" spans="1:15">
      <c r="A53" s="7"/>
      <c r="B53" s="34"/>
      <c r="C53" s="34"/>
      <c r="D53" s="34"/>
      <c r="E53" s="7"/>
      <c r="F53" s="34"/>
      <c r="G53" s="34"/>
      <c r="H53" s="34"/>
      <c r="I53" s="34"/>
      <c r="J53" s="34"/>
      <c r="K53" s="34"/>
    </row>
    <row r="54" ht="15" customHeight="1" spans="1:15">
      <c r="A54" s="7"/>
      <c r="B54" s="36" t="s">
        <v>7198</v>
      </c>
      <c r="C54" s="34"/>
      <c r="D54" s="34"/>
      <c r="E54" s="7"/>
      <c r="F54" s="37"/>
      <c r="G54" s="37"/>
      <c r="H54" s="37"/>
      <c r="I54" s="37"/>
      <c r="J54" s="37"/>
      <c r="K54" s="34"/>
      <c r="L54" s="38"/>
      <c r="M54" s="38"/>
    </row>
    <row r="55" ht="15" customHeight="1" spans="1:15">
      <c r="A55" s="7"/>
      <c r="B55" s="7" t="s">
        <v>7199</v>
      </c>
      <c r="C55" s="34"/>
      <c r="D55" s="34"/>
      <c r="E55" s="7"/>
      <c r="F55" s="34"/>
      <c r="G55" s="34"/>
      <c r="H55" s="34"/>
      <c r="I55" s="34"/>
      <c r="J55" s="34"/>
      <c r="K55" s="34"/>
    </row>
    <row r="56" ht="15" customHeight="1" spans="1:15">
      <c r="A56" s="11" t="s">
        <v>7200</v>
      </c>
      <c r="B56" s="7"/>
      <c r="C56" s="7"/>
      <c r="D56" s="7"/>
      <c r="E56" s="7"/>
      <c r="F56" s="12" t="s">
        <v>7089</v>
      </c>
      <c r="G56" s="39"/>
      <c r="H56" s="39"/>
      <c r="I56" s="39"/>
      <c r="J56" s="39"/>
      <c r="K56" s="39"/>
    </row>
    <row r="57" ht="36" customHeight="1" spans="1:15">
      <c r="A57" s="18" t="s">
        <v>7090</v>
      </c>
      <c r="B57" s="15" t="s">
        <v>11</v>
      </c>
      <c r="C57" s="16" t="s">
        <v>12</v>
      </c>
      <c r="D57" s="40" t="s">
        <v>7091</v>
      </c>
      <c r="E57" s="18" t="s">
        <v>13</v>
      </c>
      <c r="F57" s="18" t="s">
        <v>14</v>
      </c>
      <c r="G57" s="18"/>
      <c r="H57" s="18"/>
      <c r="I57" s="18"/>
      <c r="J57" s="18"/>
      <c r="K57" s="18"/>
      <c r="L57" s="19" t="s">
        <v>4299</v>
      </c>
      <c r="M57" s="41" t="s">
        <v>7092</v>
      </c>
    </row>
    <row r="58" ht="16.5" customHeight="1" spans="1:15">
      <c r="A58" s="21">
        <v>1</v>
      </c>
      <c r="B58" s="24">
        <v>171810218</v>
      </c>
      <c r="C58" s="23" t="s">
        <v>7201</v>
      </c>
      <c r="D58" s="23" t="s">
        <v>7107</v>
      </c>
      <c r="E58" s="24" t="s">
        <v>7202</v>
      </c>
      <c r="F58" s="21" t="s">
        <v>23</v>
      </c>
      <c r="G58" s="21"/>
      <c r="H58" s="21"/>
      <c r="I58" s="21"/>
      <c r="J58" s="21"/>
      <c r="K58" s="21"/>
      <c r="L58" s="31" t="s">
        <v>4427</v>
      </c>
      <c r="M58" s="42"/>
      <c r="O58" s="2">
        <v>1</v>
      </c>
    </row>
    <row r="59" ht="16.5" customHeight="1" spans="1:15">
      <c r="A59" s="30">
        <v>2</v>
      </c>
      <c r="B59" s="24">
        <v>171810325</v>
      </c>
      <c r="C59" s="23" t="s">
        <v>7203</v>
      </c>
      <c r="D59" s="23" t="s">
        <v>7094</v>
      </c>
      <c r="E59" s="24" t="s">
        <v>7204</v>
      </c>
      <c r="F59" s="25" t="s">
        <v>18</v>
      </c>
      <c r="G59" s="25"/>
      <c r="H59" s="25"/>
      <c r="I59" s="25"/>
      <c r="J59" s="25"/>
      <c r="K59" s="25"/>
      <c r="L59" s="26" t="s">
        <v>7184</v>
      </c>
      <c r="M59" s="42"/>
      <c r="O59" s="2">
        <v>2</v>
      </c>
    </row>
    <row r="60" ht="16.5" customHeight="1" spans="1:15">
      <c r="A60" s="21">
        <v>3</v>
      </c>
      <c r="B60" s="24">
        <v>171810327</v>
      </c>
      <c r="C60" s="23" t="s">
        <v>7205</v>
      </c>
      <c r="D60" s="23" t="s">
        <v>7094</v>
      </c>
      <c r="E60" s="24" t="s">
        <v>7206</v>
      </c>
      <c r="F60" s="25" t="s">
        <v>18</v>
      </c>
      <c r="G60" s="25"/>
      <c r="H60" s="25"/>
      <c r="I60" s="25"/>
      <c r="J60" s="25"/>
      <c r="K60" s="25"/>
      <c r="L60" s="26" t="s">
        <v>3124</v>
      </c>
      <c r="M60" s="42"/>
      <c r="O60" s="2">
        <v>3</v>
      </c>
    </row>
    <row r="61" ht="16.5" customHeight="1" spans="1:15">
      <c r="A61" s="30">
        <v>4</v>
      </c>
      <c r="B61" s="24">
        <v>171810329</v>
      </c>
      <c r="C61" s="23" t="s">
        <v>7207</v>
      </c>
      <c r="D61" s="23" t="s">
        <v>7094</v>
      </c>
      <c r="E61" s="24" t="s">
        <v>7208</v>
      </c>
      <c r="F61" s="21" t="s">
        <v>18</v>
      </c>
      <c r="G61" s="21"/>
      <c r="H61" s="21"/>
      <c r="I61" s="21"/>
      <c r="J61" s="21"/>
      <c r="K61" s="21"/>
      <c r="L61" s="31" t="s">
        <v>4385</v>
      </c>
      <c r="M61" s="42"/>
      <c r="O61" s="2">
        <v>4</v>
      </c>
    </row>
    <row r="62" ht="16.5" customHeight="1" spans="1:15">
      <c r="A62" s="21">
        <v>5</v>
      </c>
      <c r="B62" s="24">
        <v>171810256</v>
      </c>
      <c r="C62" s="23" t="s">
        <v>7209</v>
      </c>
      <c r="D62" s="23" t="s">
        <v>7111</v>
      </c>
      <c r="E62" s="24" t="s">
        <v>7210</v>
      </c>
      <c r="F62" s="25" t="s">
        <v>23</v>
      </c>
      <c r="G62" s="25"/>
      <c r="H62" s="25"/>
      <c r="I62" s="25"/>
      <c r="J62" s="25"/>
      <c r="K62" s="25"/>
      <c r="L62" s="26" t="s">
        <v>3124</v>
      </c>
      <c r="M62" s="42"/>
      <c r="O62" s="2">
        <v>5</v>
      </c>
    </row>
    <row r="63" ht="16.5" customHeight="1" spans="1:15">
      <c r="A63" s="30">
        <v>6</v>
      </c>
      <c r="B63" s="24">
        <v>171810257</v>
      </c>
      <c r="C63" s="23" t="s">
        <v>7211</v>
      </c>
      <c r="D63" s="23" t="s">
        <v>7111</v>
      </c>
      <c r="E63" s="24" t="s">
        <v>7212</v>
      </c>
      <c r="F63" s="25" t="s">
        <v>18</v>
      </c>
      <c r="G63" s="25"/>
      <c r="H63" s="25"/>
      <c r="I63" s="25"/>
      <c r="J63" s="25"/>
      <c r="K63" s="25"/>
      <c r="L63" s="26" t="s">
        <v>3312</v>
      </c>
      <c r="M63" s="42"/>
      <c r="O63" s="2">
        <v>6</v>
      </c>
    </row>
    <row r="64" ht="16.5" customHeight="1" spans="1:15">
      <c r="A64" s="21">
        <v>7</v>
      </c>
      <c r="B64" s="24">
        <v>171810187</v>
      </c>
      <c r="C64" s="23" t="s">
        <v>7213</v>
      </c>
      <c r="D64" s="23" t="s">
        <v>7099</v>
      </c>
      <c r="E64" s="24" t="s">
        <v>7214</v>
      </c>
      <c r="F64" s="21" t="s">
        <v>23</v>
      </c>
      <c r="G64" s="21"/>
      <c r="H64" s="21"/>
      <c r="I64" s="21"/>
      <c r="J64" s="21"/>
      <c r="K64" s="21"/>
      <c r="L64" s="31" t="s">
        <v>6254</v>
      </c>
      <c r="M64" s="42"/>
      <c r="O64" s="2">
        <v>7</v>
      </c>
    </row>
    <row r="65" ht="16.5" customHeight="1" spans="1:15">
      <c r="A65" s="30">
        <v>8</v>
      </c>
      <c r="B65" s="24">
        <v>171810225</v>
      </c>
      <c r="C65" s="23" t="s">
        <v>7215</v>
      </c>
      <c r="D65" s="23" t="s">
        <v>7107</v>
      </c>
      <c r="E65" s="24" t="s">
        <v>7216</v>
      </c>
      <c r="F65" s="21" t="s">
        <v>23</v>
      </c>
      <c r="G65" s="21"/>
      <c r="H65" s="21"/>
      <c r="I65" s="21"/>
      <c r="J65" s="21"/>
      <c r="K65" s="21"/>
      <c r="L65" s="31" t="s">
        <v>3248</v>
      </c>
      <c r="M65" s="42"/>
      <c r="O65" s="2">
        <v>8</v>
      </c>
    </row>
    <row r="66" ht="16.5" customHeight="1" spans="1:15">
      <c r="A66" s="21">
        <v>9</v>
      </c>
      <c r="B66" s="24">
        <v>171810333</v>
      </c>
      <c r="C66" s="23" t="s">
        <v>7217</v>
      </c>
      <c r="D66" s="23" t="s">
        <v>7094</v>
      </c>
      <c r="E66" s="24" t="s">
        <v>7218</v>
      </c>
      <c r="F66" s="25" t="s">
        <v>23</v>
      </c>
      <c r="G66" s="25"/>
      <c r="H66" s="25"/>
      <c r="I66" s="25"/>
      <c r="J66" s="25"/>
      <c r="K66" s="25"/>
      <c r="L66" s="26" t="s">
        <v>6684</v>
      </c>
      <c r="M66" s="42"/>
      <c r="O66" s="2">
        <v>9</v>
      </c>
    </row>
    <row r="67" ht="16.5" customHeight="1" spans="1:15">
      <c r="A67" s="30">
        <v>10</v>
      </c>
      <c r="B67" s="24">
        <v>171810334</v>
      </c>
      <c r="C67" s="23" t="s">
        <v>7219</v>
      </c>
      <c r="D67" s="23" t="s">
        <v>7094</v>
      </c>
      <c r="E67" s="24" t="s">
        <v>7220</v>
      </c>
      <c r="F67" s="25" t="s">
        <v>18</v>
      </c>
      <c r="G67" s="25"/>
      <c r="H67" s="25"/>
      <c r="I67" s="25"/>
      <c r="J67" s="25"/>
      <c r="K67" s="25"/>
      <c r="L67" s="26" t="s">
        <v>3124</v>
      </c>
      <c r="M67" s="42"/>
      <c r="O67" s="2">
        <v>10</v>
      </c>
    </row>
    <row r="68" ht="16.5" customHeight="1" spans="1:15">
      <c r="A68" s="21">
        <v>11</v>
      </c>
      <c r="B68" s="24">
        <v>171810259</v>
      </c>
      <c r="C68" s="23" t="s">
        <v>7221</v>
      </c>
      <c r="D68" s="23" t="s">
        <v>7111</v>
      </c>
      <c r="E68" s="24" t="s">
        <v>7222</v>
      </c>
      <c r="F68" s="21" t="s">
        <v>18</v>
      </c>
      <c r="G68" s="21"/>
      <c r="H68" s="21"/>
      <c r="I68" s="21"/>
      <c r="J68" s="21"/>
      <c r="K68" s="21"/>
      <c r="L68" s="31" t="s">
        <v>4427</v>
      </c>
      <c r="M68" s="42"/>
      <c r="O68" s="2">
        <v>11</v>
      </c>
    </row>
    <row r="69" ht="16.5" customHeight="1" spans="1:15">
      <c r="A69" s="30">
        <v>12</v>
      </c>
      <c r="B69" s="24">
        <v>171810229</v>
      </c>
      <c r="C69" s="23" t="s">
        <v>7223</v>
      </c>
      <c r="D69" s="23" t="s">
        <v>7107</v>
      </c>
      <c r="E69" s="24" t="s">
        <v>7224</v>
      </c>
      <c r="F69" s="25" t="s">
        <v>23</v>
      </c>
      <c r="G69" s="25"/>
      <c r="H69" s="25"/>
      <c r="I69" s="25"/>
      <c r="J69" s="25"/>
      <c r="K69" s="25"/>
      <c r="L69" s="26" t="s">
        <v>6849</v>
      </c>
      <c r="M69" s="42"/>
      <c r="O69" s="2">
        <v>12</v>
      </c>
    </row>
    <row r="70" ht="16.5" customHeight="1" spans="1:15">
      <c r="A70" s="21">
        <v>13</v>
      </c>
      <c r="B70" s="24">
        <v>171810336</v>
      </c>
      <c r="C70" s="23" t="s">
        <v>7225</v>
      </c>
      <c r="D70" s="23" t="s">
        <v>7094</v>
      </c>
      <c r="E70" s="24" t="s">
        <v>7226</v>
      </c>
      <c r="F70" s="21" t="s">
        <v>18</v>
      </c>
      <c r="G70" s="21"/>
      <c r="H70" s="21"/>
      <c r="I70" s="21"/>
      <c r="J70" s="21"/>
      <c r="K70" s="21"/>
      <c r="L70" s="31" t="s">
        <v>7227</v>
      </c>
      <c r="M70" s="42"/>
      <c r="O70" s="2">
        <v>13</v>
      </c>
    </row>
    <row r="71" ht="16.5" customHeight="1" spans="1:15">
      <c r="A71" s="30">
        <v>14</v>
      </c>
      <c r="B71" s="24">
        <v>171810191</v>
      </c>
      <c r="C71" s="23" t="s">
        <v>7228</v>
      </c>
      <c r="D71" s="23" t="s">
        <v>7099</v>
      </c>
      <c r="E71" s="24" t="s">
        <v>7229</v>
      </c>
      <c r="F71" s="25" t="s">
        <v>23</v>
      </c>
      <c r="G71" s="25"/>
      <c r="H71" s="25"/>
      <c r="I71" s="25"/>
      <c r="J71" s="25"/>
      <c r="K71" s="25"/>
      <c r="L71" s="28" t="s">
        <v>7230</v>
      </c>
      <c r="M71" s="42"/>
      <c r="O71" s="2">
        <v>14</v>
      </c>
    </row>
    <row r="72" ht="16.5" customHeight="1" spans="1:15">
      <c r="A72" s="21">
        <v>15</v>
      </c>
      <c r="B72" s="24">
        <v>171810300</v>
      </c>
      <c r="C72" s="23" t="s">
        <v>7231</v>
      </c>
      <c r="D72" s="23" t="s">
        <v>7103</v>
      </c>
      <c r="E72" s="24" t="s">
        <v>7232</v>
      </c>
      <c r="F72" s="21" t="s">
        <v>23</v>
      </c>
      <c r="G72" s="21"/>
      <c r="H72" s="21"/>
      <c r="I72" s="21"/>
      <c r="J72" s="21"/>
      <c r="K72" s="21"/>
      <c r="L72" s="26" t="s">
        <v>7233</v>
      </c>
      <c r="M72" s="42"/>
    </row>
    <row r="73" ht="16.5" customHeight="1" spans="1:15">
      <c r="A73" s="30">
        <v>16</v>
      </c>
      <c r="B73" s="24">
        <v>171810192</v>
      </c>
      <c r="C73" s="23" t="s">
        <v>7234</v>
      </c>
      <c r="D73" s="23" t="s">
        <v>7099</v>
      </c>
      <c r="E73" s="24" t="s">
        <v>7235</v>
      </c>
      <c r="F73" s="21" t="s">
        <v>23</v>
      </c>
      <c r="G73" s="21"/>
      <c r="H73" s="21"/>
      <c r="I73" s="21"/>
      <c r="J73" s="21"/>
      <c r="K73" s="21"/>
      <c r="L73" s="31" t="s">
        <v>4385</v>
      </c>
      <c r="M73" s="42"/>
    </row>
    <row r="74" ht="16.5" customHeight="1" spans="1:15">
      <c r="A74" s="21">
        <v>17</v>
      </c>
      <c r="B74" s="24">
        <v>171810301</v>
      </c>
      <c r="C74" s="23" t="s">
        <v>7236</v>
      </c>
      <c r="D74" s="23" t="s">
        <v>7103</v>
      </c>
      <c r="E74" s="24" t="s">
        <v>7237</v>
      </c>
      <c r="F74" s="21" t="s">
        <v>18</v>
      </c>
      <c r="G74" s="21"/>
      <c r="H74" s="21"/>
      <c r="I74" s="21"/>
      <c r="J74" s="21"/>
      <c r="K74" s="21"/>
      <c r="L74" s="31" t="s">
        <v>3124</v>
      </c>
      <c r="M74" s="42"/>
    </row>
    <row r="75" ht="16.5" customHeight="1" spans="1:15">
      <c r="A75" s="30">
        <v>18</v>
      </c>
      <c r="B75" s="24">
        <v>171810193</v>
      </c>
      <c r="C75" s="23" t="s">
        <v>7238</v>
      </c>
      <c r="D75" s="23" t="s">
        <v>7099</v>
      </c>
      <c r="E75" s="24" t="s">
        <v>7239</v>
      </c>
      <c r="F75" s="21" t="s">
        <v>18</v>
      </c>
      <c r="G75" s="21"/>
      <c r="H75" s="21"/>
      <c r="I75" s="21"/>
      <c r="J75" s="21"/>
      <c r="K75" s="21"/>
      <c r="L75" s="31" t="s">
        <v>3248</v>
      </c>
      <c r="M75" s="42"/>
    </row>
    <row r="76" ht="16.5" customHeight="1" spans="1:15">
      <c r="A76" s="21">
        <v>19</v>
      </c>
      <c r="B76" s="24">
        <v>171810264</v>
      </c>
      <c r="C76" s="23" t="s">
        <v>7240</v>
      </c>
      <c r="D76" s="23" t="s">
        <v>7111</v>
      </c>
      <c r="E76" s="24" t="s">
        <v>7241</v>
      </c>
      <c r="F76" s="25" t="s">
        <v>18</v>
      </c>
      <c r="G76" s="25"/>
      <c r="H76" s="25"/>
      <c r="I76" s="25"/>
      <c r="J76" s="25"/>
      <c r="K76" s="25"/>
      <c r="L76" s="26" t="s">
        <v>3124</v>
      </c>
      <c r="M76" s="42"/>
    </row>
    <row r="77" ht="16.5" customHeight="1" spans="1:15">
      <c r="A77" s="30">
        <v>20</v>
      </c>
      <c r="B77" s="24">
        <v>171810342</v>
      </c>
      <c r="C77" s="23" t="s">
        <v>7242</v>
      </c>
      <c r="D77" s="23" t="s">
        <v>7094</v>
      </c>
      <c r="E77" s="24" t="s">
        <v>7243</v>
      </c>
      <c r="F77" s="21" t="s">
        <v>18</v>
      </c>
      <c r="G77" s="21"/>
      <c r="H77" s="21"/>
      <c r="I77" s="21"/>
      <c r="J77" s="21"/>
      <c r="K77" s="21"/>
      <c r="L77" s="31" t="s">
        <v>4427</v>
      </c>
      <c r="M77" s="42"/>
    </row>
    <row r="78" ht="16.5" customHeight="1" spans="1:15">
      <c r="A78" s="21">
        <v>21</v>
      </c>
      <c r="B78" s="24">
        <v>171810269</v>
      </c>
      <c r="C78" s="23" t="s">
        <v>7244</v>
      </c>
      <c r="D78" s="23" t="s">
        <v>7111</v>
      </c>
      <c r="E78" s="24" t="s">
        <v>7245</v>
      </c>
      <c r="F78" s="25" t="s">
        <v>23</v>
      </c>
      <c r="G78" s="25"/>
      <c r="H78" s="25"/>
      <c r="I78" s="25"/>
      <c r="J78" s="25"/>
      <c r="K78" s="25"/>
      <c r="L78" s="26" t="s">
        <v>3124</v>
      </c>
      <c r="M78" s="42"/>
    </row>
    <row r="79" ht="16.5" customHeight="1" spans="1:15">
      <c r="A79" s="30">
        <v>22</v>
      </c>
      <c r="B79" s="24">
        <v>171810345</v>
      </c>
      <c r="C79" s="23" t="s">
        <v>7246</v>
      </c>
      <c r="D79" s="23" t="s">
        <v>7094</v>
      </c>
      <c r="E79" s="24" t="s">
        <v>7247</v>
      </c>
      <c r="F79" s="21" t="s">
        <v>23</v>
      </c>
      <c r="G79" s="21"/>
      <c r="H79" s="21"/>
      <c r="I79" s="21"/>
      <c r="J79" s="21"/>
      <c r="K79" s="21"/>
      <c r="L79" s="31" t="s">
        <v>4385</v>
      </c>
      <c r="M79" s="42"/>
    </row>
    <row r="80" ht="16.5" customHeight="1" spans="1:15">
      <c r="A80" s="21">
        <v>23</v>
      </c>
      <c r="B80" s="24">
        <v>171810240</v>
      </c>
      <c r="C80" s="23" t="s">
        <v>7248</v>
      </c>
      <c r="D80" s="23" t="s">
        <v>7107</v>
      </c>
      <c r="E80" s="24" t="s">
        <v>7249</v>
      </c>
      <c r="F80" s="21" t="s">
        <v>23</v>
      </c>
      <c r="G80" s="21"/>
      <c r="H80" s="21"/>
      <c r="I80" s="21"/>
      <c r="J80" s="21"/>
      <c r="K80" s="21"/>
      <c r="L80" s="31" t="s">
        <v>7250</v>
      </c>
      <c r="M80" s="42"/>
    </row>
    <row r="81" ht="16.5" customHeight="1" spans="1:13">
      <c r="A81" s="30">
        <v>24</v>
      </c>
      <c r="B81" s="24">
        <v>171810272</v>
      </c>
      <c r="C81" s="23" t="s">
        <v>7251</v>
      </c>
      <c r="D81" s="23" t="s">
        <v>7111</v>
      </c>
      <c r="E81" s="24" t="s">
        <v>7252</v>
      </c>
      <c r="F81" s="21" t="s">
        <v>18</v>
      </c>
      <c r="G81" s="21"/>
      <c r="H81" s="21"/>
      <c r="I81" s="21"/>
      <c r="J81" s="21"/>
      <c r="K81" s="21"/>
      <c r="L81" s="31" t="s">
        <v>7227</v>
      </c>
      <c r="M81" s="42"/>
    </row>
    <row r="82" ht="16.5" customHeight="1" spans="1:13">
      <c r="A82" s="21">
        <v>25</v>
      </c>
      <c r="B82" s="24">
        <v>171810273</v>
      </c>
      <c r="C82" s="23" t="s">
        <v>7253</v>
      </c>
      <c r="D82" s="23" t="s">
        <v>7111</v>
      </c>
      <c r="E82" s="24" t="s">
        <v>7254</v>
      </c>
      <c r="F82" s="25" t="s">
        <v>18</v>
      </c>
      <c r="G82" s="25"/>
      <c r="H82" s="25"/>
      <c r="I82" s="25"/>
      <c r="J82" s="25"/>
      <c r="K82" s="25"/>
      <c r="L82" s="26" t="s">
        <v>4427</v>
      </c>
      <c r="M82" s="42"/>
    </row>
    <row r="83" ht="16.5" customHeight="1" spans="1:13">
      <c r="A83" s="30">
        <v>26</v>
      </c>
      <c r="B83" s="24">
        <v>171810242</v>
      </c>
      <c r="C83" s="23" t="s">
        <v>7255</v>
      </c>
      <c r="D83" s="23" t="s">
        <v>7107</v>
      </c>
      <c r="E83" s="24" t="s">
        <v>7256</v>
      </c>
      <c r="F83" s="25" t="s">
        <v>18</v>
      </c>
      <c r="G83" s="25"/>
      <c r="H83" s="25"/>
      <c r="I83" s="25"/>
      <c r="J83" s="25"/>
      <c r="K83" s="25"/>
      <c r="L83" s="26" t="s">
        <v>3248</v>
      </c>
      <c r="M83" s="42"/>
    </row>
    <row r="84" ht="16.5" customHeight="1" spans="1:13">
      <c r="A84" s="21">
        <v>27</v>
      </c>
      <c r="B84" s="24">
        <v>171810206</v>
      </c>
      <c r="C84" s="23" t="s">
        <v>7257</v>
      </c>
      <c r="D84" s="23" t="s">
        <v>7099</v>
      </c>
      <c r="E84" s="24" t="s">
        <v>7258</v>
      </c>
      <c r="F84" s="25" t="s">
        <v>18</v>
      </c>
      <c r="G84" s="25"/>
      <c r="H84" s="25"/>
      <c r="I84" s="25"/>
      <c r="J84" s="25"/>
      <c r="K84" s="25"/>
      <c r="L84" s="28" t="s">
        <v>7259</v>
      </c>
      <c r="M84" s="42"/>
    </row>
    <row r="85" ht="16.5" customHeight="1" spans="1:13">
      <c r="A85" s="30">
        <v>28</v>
      </c>
      <c r="B85" s="24">
        <v>171810352</v>
      </c>
      <c r="C85" s="23" t="s">
        <v>7260</v>
      </c>
      <c r="D85" s="23" t="s">
        <v>7094</v>
      </c>
      <c r="E85" s="24" t="s">
        <v>7261</v>
      </c>
      <c r="F85" s="21" t="s">
        <v>18</v>
      </c>
      <c r="G85" s="21"/>
      <c r="H85" s="21"/>
      <c r="I85" s="21"/>
      <c r="J85" s="21"/>
      <c r="K85" s="21"/>
      <c r="L85" s="31" t="s">
        <v>7125</v>
      </c>
      <c r="M85" s="42"/>
    </row>
    <row r="86" ht="16.5" customHeight="1" spans="1:13">
      <c r="A86" s="21">
        <v>29</v>
      </c>
      <c r="B86" s="24">
        <v>171810174</v>
      </c>
      <c r="C86" s="23" t="s">
        <v>7262</v>
      </c>
      <c r="D86" s="23" t="s">
        <v>7107</v>
      </c>
      <c r="E86" s="24" t="s">
        <v>7263</v>
      </c>
      <c r="F86" s="21" t="s">
        <v>23</v>
      </c>
      <c r="G86" s="21"/>
      <c r="H86" s="21"/>
      <c r="I86" s="21"/>
      <c r="J86" s="21"/>
      <c r="K86" s="21"/>
      <c r="L86" s="31" t="s">
        <v>6849</v>
      </c>
      <c r="M86" s="42"/>
    </row>
    <row r="87" ht="16.5" customHeight="1" spans="1:13">
      <c r="A87" s="30">
        <v>30</v>
      </c>
      <c r="B87" s="24">
        <v>171810246</v>
      </c>
      <c r="C87" s="23" t="s">
        <v>7264</v>
      </c>
      <c r="D87" s="23" t="s">
        <v>7107</v>
      </c>
      <c r="E87" s="24" t="s">
        <v>7265</v>
      </c>
      <c r="F87" s="25" t="s">
        <v>18</v>
      </c>
      <c r="G87" s="25"/>
      <c r="H87" s="25"/>
      <c r="I87" s="25"/>
      <c r="J87" s="25"/>
      <c r="K87" s="25"/>
      <c r="L87" s="26" t="s">
        <v>3312</v>
      </c>
      <c r="M87" s="42"/>
    </row>
    <row r="88" ht="16.5" customHeight="1" spans="1:13">
      <c r="A88" s="21">
        <v>31</v>
      </c>
      <c r="B88" s="24">
        <v>171810316</v>
      </c>
      <c r="C88" s="23" t="s">
        <v>7266</v>
      </c>
      <c r="D88" s="23" t="s">
        <v>7103</v>
      </c>
      <c r="E88" s="24" t="s">
        <v>7267</v>
      </c>
      <c r="F88" s="25" t="s">
        <v>18</v>
      </c>
      <c r="G88" s="25"/>
      <c r="H88" s="25"/>
      <c r="I88" s="25"/>
      <c r="J88" s="25"/>
      <c r="K88" s="25"/>
      <c r="L88" s="26" t="s">
        <v>3124</v>
      </c>
      <c r="M88" s="42"/>
    </row>
    <row r="89" ht="16.5" customHeight="1" spans="1:13">
      <c r="A89" s="30">
        <v>32</v>
      </c>
      <c r="B89" s="24">
        <v>171810210</v>
      </c>
      <c r="C89" s="23" t="s">
        <v>7268</v>
      </c>
      <c r="D89" s="23" t="s">
        <v>7099</v>
      </c>
      <c r="E89" s="24" t="s">
        <v>7269</v>
      </c>
      <c r="F89" s="25" t="s">
        <v>18</v>
      </c>
      <c r="G89" s="25"/>
      <c r="H89" s="25"/>
      <c r="I89" s="25"/>
      <c r="J89" s="25"/>
      <c r="K89" s="25"/>
      <c r="L89" s="28" t="s">
        <v>3525</v>
      </c>
      <c r="M89" s="42"/>
    </row>
    <row r="90" ht="16.5" customHeight="1" spans="1:13">
      <c r="A90" s="21">
        <v>33</v>
      </c>
      <c r="B90" s="24">
        <v>171810353</v>
      </c>
      <c r="C90" s="23" t="s">
        <v>7270</v>
      </c>
      <c r="D90" s="23" t="s">
        <v>7094</v>
      </c>
      <c r="E90" s="24" t="s">
        <v>7271</v>
      </c>
      <c r="F90" s="21" t="s">
        <v>18</v>
      </c>
      <c r="G90" s="21"/>
      <c r="H90" s="21"/>
      <c r="I90" s="21"/>
      <c r="J90" s="21"/>
      <c r="K90" s="21"/>
      <c r="L90" s="31" t="s">
        <v>3248</v>
      </c>
      <c r="M90" s="42"/>
    </row>
    <row r="91" ht="16.5" customHeight="1" spans="1:13">
      <c r="A91" s="30">
        <v>34</v>
      </c>
      <c r="B91" s="24">
        <v>171810213</v>
      </c>
      <c r="C91" s="23" t="s">
        <v>7272</v>
      </c>
      <c r="D91" s="23" t="s">
        <v>7099</v>
      </c>
      <c r="E91" s="24" t="s">
        <v>7273</v>
      </c>
      <c r="F91" s="21" t="s">
        <v>18</v>
      </c>
      <c r="G91" s="21"/>
      <c r="H91" s="21"/>
      <c r="I91" s="21"/>
      <c r="J91" s="21"/>
      <c r="K91" s="21"/>
      <c r="L91" s="31" t="s">
        <v>3124</v>
      </c>
      <c r="M91" s="42"/>
    </row>
    <row r="92" ht="16.5" customHeight="1" spans="1:13">
      <c r="A92" s="21">
        <v>35</v>
      </c>
      <c r="B92" s="24">
        <v>171810358</v>
      </c>
      <c r="C92" s="23" t="s">
        <v>7274</v>
      </c>
      <c r="D92" s="23" t="s">
        <v>7094</v>
      </c>
      <c r="E92" s="24" t="s">
        <v>7275</v>
      </c>
      <c r="F92" s="25" t="s">
        <v>18</v>
      </c>
      <c r="G92" s="25"/>
      <c r="H92" s="25"/>
      <c r="I92" s="25"/>
      <c r="J92" s="25"/>
      <c r="K92" s="25"/>
      <c r="L92" s="31" t="s">
        <v>3124</v>
      </c>
      <c r="M92" s="42"/>
    </row>
    <row r="93" ht="13.5" customHeight="1" spans="1:13">
      <c r="A93" s="30">
        <v>36</v>
      </c>
      <c r="B93" s="24">
        <v>171810285</v>
      </c>
      <c r="C93" s="23" t="s">
        <v>7276</v>
      </c>
      <c r="D93" s="23" t="s">
        <v>7111</v>
      </c>
      <c r="E93" s="24" t="s">
        <v>7277</v>
      </c>
      <c r="F93" s="21" t="s">
        <v>23</v>
      </c>
      <c r="G93" s="21"/>
      <c r="H93" s="21"/>
      <c r="I93" s="21"/>
      <c r="J93" s="21"/>
      <c r="K93" s="21"/>
      <c r="L93" s="31" t="s">
        <v>6150</v>
      </c>
      <c r="M93" s="42"/>
    </row>
    <row r="94" ht="15" customHeight="1" spans="1:13">
      <c r="A94" s="7"/>
      <c r="B94" s="34"/>
      <c r="C94" s="34"/>
      <c r="D94" s="34"/>
      <c r="E94" s="35" t="s">
        <v>7194</v>
      </c>
      <c r="F94" s="34">
        <v>14</v>
      </c>
      <c r="G94" s="34"/>
      <c r="H94" s="34"/>
      <c r="I94" s="34"/>
      <c r="J94" s="34"/>
      <c r="K94" s="34"/>
      <c r="L94" s="34"/>
      <c r="M94" s="34"/>
    </row>
    <row r="95" ht="15" customHeight="1" spans="1:13">
      <c r="A95" s="7"/>
      <c r="B95" s="34"/>
      <c r="C95" s="34"/>
      <c r="D95" s="34"/>
      <c r="E95" s="35" t="s">
        <v>7195</v>
      </c>
      <c r="F95" s="34">
        <f>COUNTIF(F58:F93,"P")</f>
        <v>22</v>
      </c>
      <c r="G95" s="34"/>
      <c r="H95" s="34"/>
      <c r="I95" s="34"/>
      <c r="J95" s="34"/>
      <c r="K95" s="34"/>
      <c r="L95" s="34"/>
      <c r="M95" s="34"/>
    </row>
    <row r="96" ht="15" customHeight="1" spans="1:13">
      <c r="A96" s="7"/>
      <c r="B96" s="7" t="s">
        <v>7196</v>
      </c>
      <c r="C96" s="34"/>
      <c r="D96" s="34"/>
      <c r="E96" s="7"/>
      <c r="F96" s="12" t="s">
        <v>7197</v>
      </c>
      <c r="G96" s="34"/>
      <c r="H96" s="34"/>
      <c r="I96" s="34"/>
      <c r="J96" s="34"/>
      <c r="K96" s="34"/>
      <c r="L96" s="34"/>
      <c r="M96" s="34"/>
    </row>
    <row r="97" ht="15" customHeight="1" spans="1:15">
      <c r="A97" s="7"/>
      <c r="B97" s="34"/>
      <c r="C97" s="34"/>
      <c r="D97" s="34"/>
      <c r="E97" s="7"/>
      <c r="F97" s="34"/>
      <c r="G97" s="34"/>
      <c r="H97" s="34"/>
      <c r="I97" s="34"/>
      <c r="J97" s="34"/>
      <c r="K97" s="34"/>
      <c r="L97" s="34"/>
      <c r="M97" s="34"/>
    </row>
    <row r="98" ht="15" customHeight="1" spans="1:15">
      <c r="A98" s="7"/>
      <c r="B98" s="34"/>
      <c r="C98" s="34"/>
      <c r="D98" s="34"/>
      <c r="E98" s="7"/>
      <c r="F98" s="34"/>
      <c r="G98" s="34"/>
      <c r="H98" s="34"/>
      <c r="I98" s="34"/>
      <c r="J98" s="34"/>
      <c r="K98" s="34"/>
      <c r="L98" s="34"/>
      <c r="M98" s="34"/>
    </row>
    <row r="99" ht="15" customHeight="1" spans="1:15">
      <c r="A99" s="7"/>
      <c r="B99" s="36" t="s">
        <v>7198</v>
      </c>
      <c r="C99" s="34"/>
      <c r="D99" s="34"/>
      <c r="E99" s="7"/>
      <c r="F99" s="37"/>
      <c r="G99" s="37"/>
      <c r="H99" s="37"/>
      <c r="I99" s="37"/>
      <c r="J99" s="37"/>
      <c r="K99" s="34"/>
      <c r="L99" s="37"/>
      <c r="M99" s="37"/>
    </row>
    <row r="100" ht="15" customHeight="1" spans="1:15">
      <c r="A100" s="7"/>
      <c r="B100" s="7" t="s">
        <v>7199</v>
      </c>
      <c r="C100" s="34"/>
      <c r="D100" s="34"/>
      <c r="E100" s="7"/>
      <c r="F100" s="34"/>
      <c r="G100" s="34"/>
      <c r="H100" s="34"/>
      <c r="I100" s="34"/>
      <c r="J100" s="34"/>
      <c r="K100" s="34"/>
      <c r="L100" s="34"/>
      <c r="M100" s="34"/>
    </row>
    <row r="101" ht="15" customHeight="1" spans="1:15">
      <c r="A101" s="11" t="s">
        <v>7278</v>
      </c>
      <c r="B101" s="7"/>
      <c r="C101" s="7"/>
      <c r="D101" s="7"/>
      <c r="E101" s="7"/>
      <c r="F101" s="7" t="s">
        <v>7279</v>
      </c>
      <c r="G101" s="39"/>
      <c r="H101" s="39"/>
      <c r="I101" s="39"/>
      <c r="J101" s="39"/>
      <c r="K101" s="39"/>
    </row>
    <row r="102" ht="30" customHeight="1" spans="1:15">
      <c r="A102" s="18" t="s">
        <v>7090</v>
      </c>
      <c r="B102" s="15" t="s">
        <v>11</v>
      </c>
      <c r="C102" s="16" t="s">
        <v>12</v>
      </c>
      <c r="D102" s="40" t="s">
        <v>7091</v>
      </c>
      <c r="E102" s="18" t="s">
        <v>13</v>
      </c>
      <c r="F102" s="18" t="s">
        <v>14</v>
      </c>
      <c r="G102" s="18"/>
      <c r="H102" s="18"/>
      <c r="I102" s="18"/>
      <c r="J102" s="18"/>
      <c r="K102" s="18"/>
      <c r="L102" s="19" t="s">
        <v>4299</v>
      </c>
      <c r="M102" s="41" t="s">
        <v>7092</v>
      </c>
    </row>
    <row r="103" ht="16.5" customHeight="1" spans="1:15">
      <c r="A103" s="21">
        <v>1</v>
      </c>
      <c r="B103" s="30">
        <v>171810217</v>
      </c>
      <c r="C103" s="43" t="s">
        <v>7280</v>
      </c>
      <c r="D103" s="23" t="s">
        <v>7107</v>
      </c>
      <c r="E103" s="29" t="s">
        <v>7281</v>
      </c>
      <c r="F103" s="30" t="s">
        <v>23</v>
      </c>
      <c r="G103" s="30"/>
      <c r="H103" s="30"/>
      <c r="I103" s="30"/>
      <c r="J103" s="30"/>
      <c r="K103" s="30"/>
      <c r="L103" s="31" t="s">
        <v>7282</v>
      </c>
      <c r="M103" s="27"/>
      <c r="O103" s="2">
        <v>1</v>
      </c>
    </row>
    <row r="104" ht="16.5" customHeight="1" spans="1:15">
      <c r="A104" s="30">
        <v>2</v>
      </c>
      <c r="B104" s="30">
        <v>171810252</v>
      </c>
      <c r="C104" s="43" t="s">
        <v>7283</v>
      </c>
      <c r="D104" s="23" t="s">
        <v>7111</v>
      </c>
      <c r="E104" s="29" t="s">
        <v>7284</v>
      </c>
      <c r="F104" s="30" t="s">
        <v>18</v>
      </c>
      <c r="G104" s="30"/>
      <c r="H104" s="30"/>
      <c r="I104" s="30"/>
      <c r="J104" s="30"/>
      <c r="K104" s="30"/>
      <c r="L104" s="31" t="s">
        <v>7125</v>
      </c>
      <c r="M104" s="27"/>
      <c r="O104" s="2">
        <v>2</v>
      </c>
    </row>
    <row r="105" ht="16.5" customHeight="1" spans="1:15">
      <c r="A105" s="21">
        <v>3</v>
      </c>
      <c r="B105" s="30">
        <v>171810326</v>
      </c>
      <c r="C105" s="43" t="s">
        <v>7285</v>
      </c>
      <c r="D105" s="23" t="s">
        <v>7094</v>
      </c>
      <c r="E105" s="24" t="s">
        <v>7286</v>
      </c>
      <c r="F105" s="25" t="s">
        <v>18</v>
      </c>
      <c r="G105" s="25"/>
      <c r="H105" s="25"/>
      <c r="I105" s="25"/>
      <c r="J105" s="25"/>
      <c r="K105" s="25"/>
      <c r="L105" s="26" t="s">
        <v>3124</v>
      </c>
      <c r="M105" s="27"/>
      <c r="O105" s="2">
        <v>3</v>
      </c>
    </row>
    <row r="106" ht="16.5" customHeight="1" spans="1:15">
      <c r="A106" s="30">
        <v>4</v>
      </c>
      <c r="B106" s="30">
        <v>171810328</v>
      </c>
      <c r="C106" s="43" t="s">
        <v>7287</v>
      </c>
      <c r="D106" s="23" t="s">
        <v>7094</v>
      </c>
      <c r="E106" s="29" t="s">
        <v>7288</v>
      </c>
      <c r="F106" s="30" t="s">
        <v>23</v>
      </c>
      <c r="G106" s="30"/>
      <c r="H106" s="30"/>
      <c r="I106" s="30"/>
      <c r="J106" s="30"/>
      <c r="K106" s="30"/>
      <c r="L106" s="31" t="s">
        <v>4385</v>
      </c>
      <c r="M106" s="27"/>
      <c r="O106" s="2">
        <v>4</v>
      </c>
    </row>
    <row r="107" ht="16.5" customHeight="1" spans="1:15">
      <c r="A107" s="21">
        <v>5</v>
      </c>
      <c r="B107" s="30">
        <v>171810290</v>
      </c>
      <c r="C107" s="43" t="s">
        <v>7289</v>
      </c>
      <c r="D107" s="23" t="s">
        <v>7103</v>
      </c>
      <c r="E107" s="29" t="s">
        <v>7290</v>
      </c>
      <c r="F107" s="30" t="s">
        <v>18</v>
      </c>
      <c r="G107" s="30"/>
      <c r="H107" s="30"/>
      <c r="I107" s="30"/>
      <c r="J107" s="30"/>
      <c r="K107" s="30"/>
      <c r="L107" s="31" t="s">
        <v>4566</v>
      </c>
      <c r="M107" s="27"/>
      <c r="O107" s="2">
        <v>5</v>
      </c>
    </row>
    <row r="108" ht="16.5" customHeight="1" spans="1:15">
      <c r="A108" s="30">
        <v>6</v>
      </c>
      <c r="B108" s="30">
        <v>171810186</v>
      </c>
      <c r="C108" s="43" t="s">
        <v>7291</v>
      </c>
      <c r="D108" s="23" t="s">
        <v>7099</v>
      </c>
      <c r="E108" s="29" t="s">
        <v>7292</v>
      </c>
      <c r="F108" s="30" t="s">
        <v>18</v>
      </c>
      <c r="G108" s="30"/>
      <c r="H108" s="30"/>
      <c r="I108" s="30"/>
      <c r="J108" s="30"/>
      <c r="K108" s="30"/>
      <c r="L108" s="31" t="s">
        <v>7176</v>
      </c>
      <c r="M108" s="27"/>
      <c r="O108" s="2">
        <v>6</v>
      </c>
    </row>
    <row r="109" ht="16.5" customHeight="1" spans="1:15">
      <c r="A109" s="21">
        <v>7</v>
      </c>
      <c r="B109" s="30">
        <v>171810224</v>
      </c>
      <c r="C109" s="43" t="s">
        <v>7293</v>
      </c>
      <c r="D109" s="23" t="s">
        <v>7107</v>
      </c>
      <c r="E109" s="29" t="s">
        <v>7294</v>
      </c>
      <c r="F109" s="30" t="s">
        <v>18</v>
      </c>
      <c r="G109" s="30"/>
      <c r="H109" s="30"/>
      <c r="I109" s="30"/>
      <c r="J109" s="30"/>
      <c r="K109" s="30"/>
      <c r="L109" s="31" t="s">
        <v>4385</v>
      </c>
      <c r="M109" s="27"/>
      <c r="O109" s="2">
        <v>7</v>
      </c>
    </row>
    <row r="110" ht="16.5" customHeight="1" spans="1:15">
      <c r="A110" s="30">
        <v>8</v>
      </c>
      <c r="B110" s="30">
        <v>171810295</v>
      </c>
      <c r="C110" s="43" t="s">
        <v>7295</v>
      </c>
      <c r="D110" s="23" t="s">
        <v>7103</v>
      </c>
      <c r="E110" s="24" t="s">
        <v>7296</v>
      </c>
      <c r="F110" s="25" t="s">
        <v>18</v>
      </c>
      <c r="G110" s="25"/>
      <c r="H110" s="25"/>
      <c r="I110" s="25"/>
      <c r="J110" s="25"/>
      <c r="K110" s="25"/>
      <c r="L110" s="26" t="s">
        <v>3248</v>
      </c>
      <c r="M110" s="27"/>
      <c r="O110" s="2">
        <v>8</v>
      </c>
    </row>
    <row r="111" ht="16.5" customHeight="1" spans="1:15">
      <c r="A111" s="21">
        <v>9</v>
      </c>
      <c r="B111" s="30">
        <v>171810228</v>
      </c>
      <c r="C111" s="43" t="s">
        <v>7297</v>
      </c>
      <c r="D111" s="23" t="s">
        <v>7107</v>
      </c>
      <c r="E111" s="29" t="s">
        <v>7298</v>
      </c>
      <c r="F111" s="30" t="s">
        <v>23</v>
      </c>
      <c r="G111" s="30"/>
      <c r="H111" s="30"/>
      <c r="I111" s="30"/>
      <c r="J111" s="30"/>
      <c r="K111" s="30"/>
      <c r="L111" s="31" t="s">
        <v>3248</v>
      </c>
      <c r="M111" s="27"/>
      <c r="O111" s="2">
        <v>9</v>
      </c>
    </row>
    <row r="112" ht="16.5" customHeight="1" spans="1:15">
      <c r="A112" s="30">
        <v>10</v>
      </c>
      <c r="B112" s="30">
        <v>171810335</v>
      </c>
      <c r="C112" s="43" t="s">
        <v>7299</v>
      </c>
      <c r="D112" s="23" t="s">
        <v>7094</v>
      </c>
      <c r="E112" s="29" t="s">
        <v>7300</v>
      </c>
      <c r="F112" s="30" t="s">
        <v>23</v>
      </c>
      <c r="G112" s="30"/>
      <c r="H112" s="30"/>
      <c r="I112" s="30"/>
      <c r="J112" s="30"/>
      <c r="K112" s="30"/>
      <c r="L112" s="31" t="s">
        <v>4385</v>
      </c>
      <c r="M112" s="27"/>
      <c r="O112" s="2">
        <v>10</v>
      </c>
    </row>
    <row r="113" ht="16.5" customHeight="1" spans="1:21">
      <c r="A113" s="21">
        <v>11</v>
      </c>
      <c r="B113" s="30">
        <v>171810190</v>
      </c>
      <c r="C113" s="43" t="s">
        <v>7301</v>
      </c>
      <c r="D113" s="23" t="s">
        <v>7099</v>
      </c>
      <c r="E113" s="24" t="s">
        <v>7302</v>
      </c>
      <c r="F113" s="25" t="s">
        <v>18</v>
      </c>
      <c r="G113" s="25"/>
      <c r="H113" s="25"/>
      <c r="I113" s="25"/>
      <c r="J113" s="25"/>
      <c r="K113" s="25"/>
      <c r="L113" s="28" t="s">
        <v>3124</v>
      </c>
      <c r="M113" s="27"/>
      <c r="O113" s="2">
        <v>11</v>
      </c>
      <c r="T113" s="3"/>
      <c r="U113" s="3"/>
    </row>
    <row r="114" ht="16.5" customHeight="1" spans="1:21">
      <c r="A114" s="30">
        <v>12</v>
      </c>
      <c r="B114" s="30">
        <v>171810299</v>
      </c>
      <c r="C114" s="43" t="s">
        <v>7303</v>
      </c>
      <c r="D114" s="23" t="s">
        <v>7103</v>
      </c>
      <c r="E114" s="24" t="s">
        <v>7304</v>
      </c>
      <c r="F114" s="25" t="s">
        <v>23</v>
      </c>
      <c r="G114" s="25"/>
      <c r="H114" s="25"/>
      <c r="I114" s="25"/>
      <c r="J114" s="25"/>
      <c r="K114" s="25"/>
      <c r="L114" s="26" t="s">
        <v>3248</v>
      </c>
      <c r="M114" s="27"/>
      <c r="O114" s="2">
        <v>12</v>
      </c>
      <c r="T114" s="3"/>
      <c r="U114" s="3"/>
    </row>
    <row r="115" ht="16.5" customHeight="1" spans="1:21">
      <c r="A115" s="21">
        <v>13</v>
      </c>
      <c r="B115" s="30">
        <v>171810338</v>
      </c>
      <c r="C115" s="43" t="s">
        <v>7305</v>
      </c>
      <c r="D115" s="23" t="s">
        <v>7094</v>
      </c>
      <c r="E115" s="24" t="s">
        <v>7306</v>
      </c>
      <c r="F115" s="25" t="s">
        <v>23</v>
      </c>
      <c r="G115" s="25"/>
      <c r="H115" s="25"/>
      <c r="I115" s="25"/>
      <c r="J115" s="25"/>
      <c r="K115" s="25"/>
      <c r="L115" s="26" t="s">
        <v>3659</v>
      </c>
      <c r="M115" s="27"/>
      <c r="O115" s="2">
        <v>13</v>
      </c>
    </row>
    <row r="116" ht="16.5" customHeight="1" spans="1:21">
      <c r="A116" s="30">
        <v>14</v>
      </c>
      <c r="B116" s="30">
        <v>171810263</v>
      </c>
      <c r="C116" s="43" t="s">
        <v>7307</v>
      </c>
      <c r="D116" s="23" t="s">
        <v>7111</v>
      </c>
      <c r="E116" s="24" t="s">
        <v>7308</v>
      </c>
      <c r="F116" s="25" t="s">
        <v>18</v>
      </c>
      <c r="G116" s="25"/>
      <c r="H116" s="25"/>
      <c r="I116" s="25"/>
      <c r="J116" s="25"/>
      <c r="K116" s="25"/>
      <c r="L116" s="26" t="s">
        <v>3124</v>
      </c>
      <c r="M116" s="27"/>
      <c r="O116" s="2">
        <v>14</v>
      </c>
    </row>
    <row r="117" ht="16.5" customHeight="1" spans="1:21">
      <c r="A117" s="21">
        <v>15</v>
      </c>
      <c r="B117" s="30">
        <v>171810234</v>
      </c>
      <c r="C117" s="43" t="s">
        <v>7309</v>
      </c>
      <c r="D117" s="23" t="s">
        <v>7107</v>
      </c>
      <c r="E117" s="29" t="s">
        <v>7310</v>
      </c>
      <c r="F117" s="30" t="s">
        <v>18</v>
      </c>
      <c r="G117" s="30"/>
      <c r="H117" s="30"/>
      <c r="I117" s="30"/>
      <c r="J117" s="30"/>
      <c r="K117" s="30"/>
      <c r="L117" s="31" t="s">
        <v>7125</v>
      </c>
      <c r="M117" s="27"/>
    </row>
    <row r="118" ht="16.5" customHeight="1" spans="1:21">
      <c r="A118" s="30">
        <v>16</v>
      </c>
      <c r="B118" s="30">
        <v>171810265</v>
      </c>
      <c r="C118" s="43" t="s">
        <v>7311</v>
      </c>
      <c r="D118" s="23" t="s">
        <v>7111</v>
      </c>
      <c r="E118" s="29" t="s">
        <v>7312</v>
      </c>
      <c r="F118" s="30" t="s">
        <v>23</v>
      </c>
      <c r="G118" s="30"/>
      <c r="H118" s="30"/>
      <c r="I118" s="30"/>
      <c r="J118" s="30"/>
      <c r="K118" s="30"/>
      <c r="L118" s="31" t="s">
        <v>4385</v>
      </c>
      <c r="M118" s="27"/>
    </row>
    <row r="119" ht="16.5" customHeight="1" spans="1:21">
      <c r="A119" s="21">
        <v>17</v>
      </c>
      <c r="B119" s="30">
        <v>171810236</v>
      </c>
      <c r="C119" s="43" t="s">
        <v>7313</v>
      </c>
      <c r="D119" s="23" t="s">
        <v>7107</v>
      </c>
      <c r="E119" s="29" t="s">
        <v>7314</v>
      </c>
      <c r="F119" s="30" t="s">
        <v>23</v>
      </c>
      <c r="G119" s="30"/>
      <c r="H119" s="30"/>
      <c r="I119" s="30"/>
      <c r="J119" s="30"/>
      <c r="K119" s="30"/>
      <c r="L119" s="31" t="s">
        <v>4566</v>
      </c>
      <c r="M119" s="27"/>
    </row>
    <row r="120" ht="16.5" customHeight="1" spans="1:21">
      <c r="A120" s="30">
        <v>18</v>
      </c>
      <c r="B120" s="30">
        <v>171810196</v>
      </c>
      <c r="C120" s="43" t="s">
        <v>7315</v>
      </c>
      <c r="D120" s="23" t="s">
        <v>7099</v>
      </c>
      <c r="E120" s="24" t="s">
        <v>7316</v>
      </c>
      <c r="F120" s="25" t="s">
        <v>18</v>
      </c>
      <c r="G120" s="25"/>
      <c r="H120" s="25"/>
      <c r="I120" s="25"/>
      <c r="J120" s="25"/>
      <c r="K120" s="25"/>
      <c r="L120" s="28" t="s">
        <v>3124</v>
      </c>
      <c r="M120" s="27"/>
    </row>
    <row r="121" ht="16.5" customHeight="1" spans="1:21">
      <c r="A121" s="21">
        <v>19</v>
      </c>
      <c r="B121" s="30">
        <v>171810198</v>
      </c>
      <c r="C121" s="43" t="s">
        <v>7317</v>
      </c>
      <c r="D121" s="23" t="s">
        <v>7099</v>
      </c>
      <c r="E121" s="24" t="s">
        <v>7318</v>
      </c>
      <c r="F121" s="25" t="s">
        <v>23</v>
      </c>
      <c r="G121" s="25"/>
      <c r="H121" s="25"/>
      <c r="I121" s="25"/>
      <c r="J121" s="25"/>
      <c r="K121" s="25"/>
      <c r="L121" s="28" t="s">
        <v>3124</v>
      </c>
      <c r="M121" s="27"/>
    </row>
    <row r="122" ht="16.5" customHeight="1" spans="1:21">
      <c r="A122" s="30">
        <v>20</v>
      </c>
      <c r="B122" s="30">
        <v>171810239</v>
      </c>
      <c r="C122" s="43" t="s">
        <v>7319</v>
      </c>
      <c r="D122" s="23" t="s">
        <v>7107</v>
      </c>
      <c r="E122" s="24" t="s">
        <v>7320</v>
      </c>
      <c r="F122" s="25" t="s">
        <v>23</v>
      </c>
      <c r="G122" s="25"/>
      <c r="H122" s="25"/>
      <c r="I122" s="25"/>
      <c r="J122" s="25"/>
      <c r="K122" s="25"/>
      <c r="L122" s="26" t="s">
        <v>3124</v>
      </c>
      <c r="M122" s="27"/>
    </row>
    <row r="123" ht="16.5" customHeight="1" spans="1:21">
      <c r="A123" s="21">
        <v>21</v>
      </c>
      <c r="B123" s="30">
        <v>171810308</v>
      </c>
      <c r="C123" s="43" t="s">
        <v>7321</v>
      </c>
      <c r="D123" s="23" t="s">
        <v>7103</v>
      </c>
      <c r="E123" s="24" t="s">
        <v>7322</v>
      </c>
      <c r="F123" s="25" t="s">
        <v>23</v>
      </c>
      <c r="G123" s="25"/>
      <c r="H123" s="25"/>
      <c r="I123" s="25"/>
      <c r="J123" s="25"/>
      <c r="K123" s="25"/>
      <c r="L123" s="26" t="s">
        <v>3124</v>
      </c>
      <c r="M123" s="27"/>
    </row>
    <row r="124" ht="16.5" customHeight="1" spans="1:21">
      <c r="A124" s="30">
        <v>22</v>
      </c>
      <c r="B124" s="30">
        <v>171810204</v>
      </c>
      <c r="C124" s="43" t="s">
        <v>7323</v>
      </c>
      <c r="D124" s="23" t="s">
        <v>7099</v>
      </c>
      <c r="E124" s="29" t="s">
        <v>2033</v>
      </c>
      <c r="F124" s="30" t="s">
        <v>18</v>
      </c>
      <c r="G124" s="30"/>
      <c r="H124" s="30"/>
      <c r="I124" s="30"/>
      <c r="J124" s="30"/>
      <c r="K124" s="30"/>
      <c r="L124" s="31" t="s">
        <v>4385</v>
      </c>
      <c r="M124" s="27"/>
    </row>
    <row r="125" ht="16.5" customHeight="1" spans="1:21">
      <c r="A125" s="21">
        <v>23</v>
      </c>
      <c r="B125" s="30">
        <v>171810274</v>
      </c>
      <c r="C125" s="43" t="s">
        <v>7324</v>
      </c>
      <c r="D125" s="23" t="s">
        <v>7111</v>
      </c>
      <c r="E125" s="24" t="s">
        <v>7325</v>
      </c>
      <c r="F125" s="25" t="s">
        <v>18</v>
      </c>
      <c r="G125" s="25"/>
      <c r="H125" s="25"/>
      <c r="I125" s="25"/>
      <c r="J125" s="25"/>
      <c r="K125" s="25"/>
      <c r="L125" s="26" t="s">
        <v>5784</v>
      </c>
      <c r="M125" s="27"/>
    </row>
    <row r="126" ht="16.5" customHeight="1" spans="1:21">
      <c r="A126" s="30">
        <v>24</v>
      </c>
      <c r="B126" s="30">
        <v>171810275</v>
      </c>
      <c r="C126" s="43" t="s">
        <v>7326</v>
      </c>
      <c r="D126" s="23" t="s">
        <v>7111</v>
      </c>
      <c r="E126" s="29" t="s">
        <v>7327</v>
      </c>
      <c r="F126" s="30" t="s">
        <v>18</v>
      </c>
      <c r="G126" s="30"/>
      <c r="H126" s="30"/>
      <c r="I126" s="30"/>
      <c r="J126" s="30"/>
      <c r="K126" s="30"/>
      <c r="L126" s="31" t="s">
        <v>6150</v>
      </c>
      <c r="M126" s="27"/>
    </row>
    <row r="127" ht="16.5" customHeight="1" spans="1:21">
      <c r="A127" s="21">
        <v>25</v>
      </c>
      <c r="B127" s="30">
        <v>171810349</v>
      </c>
      <c r="C127" s="43" t="s">
        <v>7328</v>
      </c>
      <c r="D127" s="23" t="s">
        <v>7094</v>
      </c>
      <c r="E127" s="24" t="s">
        <v>7329</v>
      </c>
      <c r="F127" s="25" t="s">
        <v>23</v>
      </c>
      <c r="G127" s="25"/>
      <c r="H127" s="25"/>
      <c r="I127" s="25"/>
      <c r="J127" s="25"/>
      <c r="K127" s="25"/>
      <c r="L127" s="26" t="s">
        <v>7176</v>
      </c>
      <c r="M127" s="27"/>
    </row>
    <row r="128" ht="16.5" customHeight="1" spans="1:21">
      <c r="A128" s="30">
        <v>26</v>
      </c>
      <c r="B128" s="30">
        <v>171810244</v>
      </c>
      <c r="C128" s="43" t="s">
        <v>7330</v>
      </c>
      <c r="D128" s="23" t="s">
        <v>7107</v>
      </c>
      <c r="E128" s="24" t="s">
        <v>7331</v>
      </c>
      <c r="F128" s="25" t="s">
        <v>23</v>
      </c>
      <c r="G128" s="25"/>
      <c r="H128" s="25"/>
      <c r="I128" s="25"/>
      <c r="J128" s="25"/>
      <c r="K128" s="25"/>
      <c r="L128" s="26" t="s">
        <v>3563</v>
      </c>
      <c r="M128" s="27"/>
    </row>
    <row r="129" ht="16.5" customHeight="1" spans="1:16">
      <c r="A129" s="21">
        <v>27</v>
      </c>
      <c r="B129" s="30">
        <v>171810312</v>
      </c>
      <c r="C129" s="43" t="s">
        <v>7332</v>
      </c>
      <c r="D129" s="23" t="s">
        <v>7103</v>
      </c>
      <c r="E129" s="44" t="s">
        <v>7333</v>
      </c>
      <c r="F129" s="25" t="s">
        <v>18</v>
      </c>
      <c r="G129" s="25"/>
      <c r="H129" s="25"/>
      <c r="I129" s="25"/>
      <c r="J129" s="25"/>
      <c r="K129" s="25"/>
      <c r="L129" s="45" t="s">
        <v>3124</v>
      </c>
      <c r="M129" s="27"/>
    </row>
    <row r="130" ht="16.5" customHeight="1" spans="1:16">
      <c r="A130" s="30">
        <v>28</v>
      </c>
      <c r="B130" s="30">
        <v>171810314</v>
      </c>
      <c r="C130" s="43" t="s">
        <v>7334</v>
      </c>
      <c r="D130" s="23" t="s">
        <v>7103</v>
      </c>
      <c r="E130" s="24" t="s">
        <v>7335</v>
      </c>
      <c r="F130" s="25" t="s">
        <v>18</v>
      </c>
      <c r="G130" s="25"/>
      <c r="H130" s="25"/>
      <c r="I130" s="25"/>
      <c r="J130" s="25"/>
      <c r="K130" s="25"/>
      <c r="L130" s="26" t="s">
        <v>7336</v>
      </c>
      <c r="M130" s="27"/>
    </row>
    <row r="131" ht="16.5" customHeight="1" spans="1:16">
      <c r="A131" s="21">
        <v>29</v>
      </c>
      <c r="B131" s="30">
        <v>171810317</v>
      </c>
      <c r="C131" s="43" t="s">
        <v>7337</v>
      </c>
      <c r="D131" s="23" t="s">
        <v>7103</v>
      </c>
      <c r="E131" s="29" t="s">
        <v>7338</v>
      </c>
      <c r="F131" s="30" t="s">
        <v>18</v>
      </c>
      <c r="G131" s="30"/>
      <c r="H131" s="30"/>
      <c r="I131" s="30"/>
      <c r="J131" s="30"/>
      <c r="K131" s="30"/>
      <c r="L131" s="31" t="s">
        <v>4385</v>
      </c>
      <c r="M131" s="27"/>
    </row>
    <row r="132" ht="16.5" customHeight="1" spans="1:16">
      <c r="A132" s="30">
        <v>30</v>
      </c>
      <c r="B132" s="30">
        <v>171810318</v>
      </c>
      <c r="C132" s="43" t="s">
        <v>7339</v>
      </c>
      <c r="D132" s="23" t="s">
        <v>7103</v>
      </c>
      <c r="E132" s="29" t="s">
        <v>7340</v>
      </c>
      <c r="F132" s="30" t="s">
        <v>18</v>
      </c>
      <c r="G132" s="30"/>
      <c r="H132" s="30"/>
      <c r="I132" s="30"/>
      <c r="J132" s="30"/>
      <c r="K132" s="30"/>
      <c r="L132" s="31" t="s">
        <v>7341</v>
      </c>
      <c r="M132" s="27"/>
      <c r="P132" s="2">
        <f>(396*50%)</f>
        <v>198</v>
      </c>
    </row>
    <row r="133" ht="16.5" customHeight="1" spans="1:16">
      <c r="A133" s="21">
        <v>31</v>
      </c>
      <c r="B133" s="30">
        <v>171810283</v>
      </c>
      <c r="C133" s="43" t="s">
        <v>7342</v>
      </c>
      <c r="D133" s="23" t="s">
        <v>7111</v>
      </c>
      <c r="E133" s="29" t="s">
        <v>7343</v>
      </c>
      <c r="F133" s="30" t="s">
        <v>18</v>
      </c>
      <c r="G133" s="30"/>
      <c r="H133" s="30"/>
      <c r="I133" s="30"/>
      <c r="J133" s="30"/>
      <c r="K133" s="30"/>
      <c r="L133" s="31" t="s">
        <v>4385</v>
      </c>
      <c r="M133" s="27"/>
      <c r="P133" s="2">
        <f>P132-34</f>
        <v>164</v>
      </c>
    </row>
    <row r="134" ht="16.5" customHeight="1" spans="1:16">
      <c r="A134" s="30">
        <v>32</v>
      </c>
      <c r="B134" s="30">
        <v>171810284</v>
      </c>
      <c r="C134" s="43" t="s">
        <v>7344</v>
      </c>
      <c r="D134" s="23" t="s">
        <v>7111</v>
      </c>
      <c r="E134" s="29" t="s">
        <v>7345</v>
      </c>
      <c r="F134" s="30" t="s">
        <v>18</v>
      </c>
      <c r="G134" s="30"/>
      <c r="H134" s="30"/>
      <c r="I134" s="30"/>
      <c r="J134" s="30"/>
      <c r="K134" s="30"/>
      <c r="L134" s="31" t="s">
        <v>7139</v>
      </c>
      <c r="M134" s="27"/>
    </row>
    <row r="135" ht="16.5" customHeight="1" spans="1:16">
      <c r="A135" s="21">
        <v>33</v>
      </c>
      <c r="B135" s="30">
        <v>171810249</v>
      </c>
      <c r="C135" s="43" t="s">
        <v>7346</v>
      </c>
      <c r="D135" s="23" t="s">
        <v>7107</v>
      </c>
      <c r="E135" s="24" t="s">
        <v>7347</v>
      </c>
      <c r="F135" s="25" t="s">
        <v>18</v>
      </c>
      <c r="G135" s="25"/>
      <c r="H135" s="25"/>
      <c r="I135" s="25"/>
      <c r="J135" s="25"/>
      <c r="K135" s="25"/>
      <c r="L135" s="26" t="s">
        <v>4427</v>
      </c>
      <c r="M135" s="27"/>
    </row>
    <row r="136" ht="16.5" customHeight="1" spans="1:16">
      <c r="A136" s="30">
        <v>34</v>
      </c>
      <c r="B136" s="30">
        <v>171810215</v>
      </c>
      <c r="C136" s="43" t="s">
        <v>7348</v>
      </c>
      <c r="D136" s="23" t="s">
        <v>7099</v>
      </c>
      <c r="E136" s="29" t="s">
        <v>7349</v>
      </c>
      <c r="F136" s="30" t="s">
        <v>23</v>
      </c>
      <c r="G136" s="30"/>
      <c r="H136" s="30"/>
      <c r="I136" s="30"/>
      <c r="J136" s="30"/>
      <c r="K136" s="30"/>
      <c r="L136" s="31" t="s">
        <v>7125</v>
      </c>
      <c r="M136" s="27"/>
    </row>
    <row r="137" ht="16.5" customHeight="1" spans="1:16">
      <c r="A137" s="30">
        <v>35</v>
      </c>
      <c r="B137" s="30">
        <v>181911400</v>
      </c>
      <c r="C137" s="43" t="s">
        <v>7350</v>
      </c>
      <c r="D137" s="23"/>
      <c r="E137" s="46" t="s">
        <v>7351</v>
      </c>
      <c r="F137" s="30" t="s">
        <v>23</v>
      </c>
      <c r="G137" s="30"/>
      <c r="H137" s="30"/>
      <c r="I137" s="30"/>
      <c r="J137" s="30"/>
      <c r="K137" s="30"/>
      <c r="L137" s="46" t="s">
        <v>7352</v>
      </c>
      <c r="M137" s="27"/>
    </row>
    <row r="138" ht="16.5" customHeight="1" spans="1:16">
      <c r="A138" s="30">
        <v>36</v>
      </c>
      <c r="B138" s="30">
        <v>181911401</v>
      </c>
      <c r="C138" s="43" t="s">
        <v>7353</v>
      </c>
      <c r="D138" s="23"/>
      <c r="E138" s="46" t="s">
        <v>7354</v>
      </c>
      <c r="F138" s="30" t="s">
        <v>23</v>
      </c>
      <c r="G138" s="30"/>
      <c r="H138" s="30"/>
      <c r="I138" s="30"/>
      <c r="J138" s="30"/>
      <c r="K138" s="30"/>
      <c r="L138" s="46" t="s">
        <v>7355</v>
      </c>
      <c r="M138" s="27"/>
    </row>
    <row r="139" spans="1:16">
      <c r="A139" s="7"/>
      <c r="B139" s="34"/>
      <c r="C139" s="34"/>
      <c r="D139" s="34"/>
      <c r="E139" s="35" t="s">
        <v>7194</v>
      </c>
      <c r="F139" s="34">
        <f>COUNTIF(F103:F138,"L")</f>
        <v>16</v>
      </c>
      <c r="G139" s="34"/>
      <c r="H139" s="34"/>
      <c r="I139" s="34"/>
      <c r="J139" s="34"/>
      <c r="K139" s="34"/>
      <c r="L139" s="34"/>
      <c r="M139" s="34"/>
    </row>
    <row r="140" spans="1:16">
      <c r="A140" s="7"/>
      <c r="B140" s="34"/>
      <c r="C140" s="34"/>
      <c r="D140" s="34"/>
      <c r="E140" s="35" t="s">
        <v>7195</v>
      </c>
      <c r="F140" s="34">
        <f>COUNTIF(F103:F138,"P")</f>
        <v>20</v>
      </c>
      <c r="G140" s="34"/>
      <c r="H140" s="34"/>
      <c r="I140" s="34"/>
      <c r="J140" s="34"/>
      <c r="K140" s="34"/>
      <c r="L140" s="34"/>
      <c r="M140" s="34"/>
    </row>
    <row r="141" spans="1:16">
      <c r="A141" s="7"/>
      <c r="B141" s="7" t="s">
        <v>7196</v>
      </c>
      <c r="C141" s="34"/>
      <c r="D141" s="34"/>
      <c r="E141" s="7"/>
      <c r="F141" s="12" t="s">
        <v>7197</v>
      </c>
      <c r="G141" s="34"/>
      <c r="H141" s="34"/>
      <c r="I141" s="34"/>
      <c r="J141" s="34"/>
      <c r="K141" s="34"/>
      <c r="L141" s="34"/>
      <c r="M141" s="34"/>
    </row>
    <row r="142" spans="1:16">
      <c r="A142" s="7"/>
      <c r="B142" s="34"/>
      <c r="C142" s="34"/>
      <c r="D142" s="34"/>
      <c r="E142" s="7"/>
      <c r="F142" s="34"/>
      <c r="G142" s="34"/>
      <c r="H142" s="34"/>
      <c r="I142" s="34"/>
      <c r="J142" s="34"/>
      <c r="K142" s="34"/>
      <c r="L142" s="34"/>
      <c r="M142" s="34"/>
    </row>
    <row r="143" spans="1:16">
      <c r="A143" s="7"/>
      <c r="B143" s="34"/>
      <c r="C143" s="34"/>
      <c r="D143" s="34"/>
      <c r="E143" s="7"/>
      <c r="F143" s="34"/>
      <c r="G143" s="34"/>
      <c r="H143" s="34"/>
      <c r="I143" s="34"/>
      <c r="J143" s="34"/>
      <c r="K143" s="34"/>
      <c r="L143" s="34"/>
      <c r="M143" s="34"/>
    </row>
    <row r="144" spans="1:16">
      <c r="A144" s="7"/>
      <c r="B144" s="36" t="s">
        <v>7198</v>
      </c>
      <c r="C144" s="34"/>
      <c r="D144" s="34"/>
      <c r="E144" s="7"/>
      <c r="F144" s="37"/>
      <c r="G144" s="37"/>
      <c r="H144" s="37"/>
      <c r="I144" s="37"/>
      <c r="J144" s="37"/>
      <c r="K144" s="34"/>
      <c r="L144" s="37"/>
      <c r="M144" s="37"/>
    </row>
    <row r="145" spans="1:21">
      <c r="A145" s="7"/>
      <c r="B145" s="7" t="s">
        <v>7199</v>
      </c>
      <c r="C145" s="34"/>
      <c r="D145" s="34"/>
      <c r="E145" s="7"/>
      <c r="F145" s="34"/>
      <c r="G145" s="34"/>
      <c r="H145" s="34"/>
      <c r="I145" s="34"/>
      <c r="J145" s="34"/>
      <c r="K145" s="34"/>
      <c r="L145" s="34"/>
      <c r="M145" s="34"/>
    </row>
    <row r="146" spans="1:21">
      <c r="A146" s="11" t="s">
        <v>7356</v>
      </c>
      <c r="B146" s="7"/>
      <c r="C146" s="7"/>
      <c r="D146" s="7"/>
      <c r="E146" s="7"/>
      <c r="F146" s="12" t="s">
        <v>7357</v>
      </c>
      <c r="G146" s="39"/>
      <c r="H146" s="39"/>
      <c r="I146" s="39"/>
      <c r="J146" s="39"/>
      <c r="K146" s="39"/>
    </row>
    <row r="147" ht="30" customHeight="1" spans="1:21">
      <c r="A147" s="18" t="s">
        <v>7090</v>
      </c>
      <c r="B147" s="15" t="s">
        <v>11</v>
      </c>
      <c r="C147" s="16" t="s">
        <v>12</v>
      </c>
      <c r="D147" s="40" t="s">
        <v>7091</v>
      </c>
      <c r="E147" s="18" t="s">
        <v>13</v>
      </c>
      <c r="F147" s="18" t="s">
        <v>14</v>
      </c>
      <c r="G147" s="18"/>
      <c r="H147" s="18"/>
      <c r="I147" s="18"/>
      <c r="J147" s="18"/>
      <c r="K147" s="18"/>
      <c r="L147" s="19" t="s">
        <v>4299</v>
      </c>
      <c r="M147" s="41" t="s">
        <v>7092</v>
      </c>
    </row>
    <row r="148" ht="16.5" customHeight="1" spans="1:21">
      <c r="A148" s="30">
        <v>1</v>
      </c>
      <c r="B148" s="47">
        <v>171810216</v>
      </c>
      <c r="C148" s="48" t="s">
        <v>7358</v>
      </c>
      <c r="D148" s="23" t="s">
        <v>7107</v>
      </c>
      <c r="E148" s="29" t="s">
        <v>7359</v>
      </c>
      <c r="F148" s="30" t="s">
        <v>18</v>
      </c>
      <c r="G148" s="30"/>
      <c r="H148" s="30"/>
      <c r="I148" s="30"/>
      <c r="J148" s="30"/>
      <c r="K148" s="30"/>
      <c r="L148" s="31" t="s">
        <v>7360</v>
      </c>
      <c r="M148" s="27"/>
    </row>
    <row r="149" ht="16.5" customHeight="1" spans="1:21">
      <c r="A149" s="21">
        <v>2</v>
      </c>
      <c r="B149" s="30">
        <v>171810288</v>
      </c>
      <c r="C149" s="48" t="s">
        <v>7361</v>
      </c>
      <c r="D149" s="23" t="s">
        <v>7103</v>
      </c>
      <c r="E149" s="24" t="s">
        <v>7362</v>
      </c>
      <c r="F149" s="25" t="s">
        <v>18</v>
      </c>
      <c r="G149" s="25"/>
      <c r="H149" s="25"/>
      <c r="I149" s="25"/>
      <c r="J149" s="25"/>
      <c r="K149" s="25"/>
      <c r="L149" s="28" t="s">
        <v>3124</v>
      </c>
      <c r="M149" s="27"/>
      <c r="O149" s="2">
        <v>1</v>
      </c>
    </row>
    <row r="150" ht="16.5" customHeight="1" spans="1:21">
      <c r="A150" s="30">
        <v>3</v>
      </c>
      <c r="B150" s="47">
        <v>171810182</v>
      </c>
      <c r="C150" s="48" t="s">
        <v>7363</v>
      </c>
      <c r="D150" s="23" t="s">
        <v>7099</v>
      </c>
      <c r="E150" s="29" t="s">
        <v>7364</v>
      </c>
      <c r="F150" s="30" t="s">
        <v>18</v>
      </c>
      <c r="G150" s="30"/>
      <c r="H150" s="30"/>
      <c r="I150" s="30"/>
      <c r="J150" s="30"/>
      <c r="K150" s="30"/>
      <c r="L150" s="31" t="s">
        <v>7125</v>
      </c>
      <c r="M150" s="27"/>
      <c r="O150" s="2">
        <v>2</v>
      </c>
    </row>
    <row r="151" ht="16.5" customHeight="1" spans="1:21">
      <c r="A151" s="21">
        <v>4</v>
      </c>
      <c r="B151" s="30">
        <v>171810185</v>
      </c>
      <c r="C151" s="48" t="s">
        <v>7365</v>
      </c>
      <c r="D151" s="23" t="s">
        <v>7099</v>
      </c>
      <c r="E151" s="29" t="s">
        <v>7366</v>
      </c>
      <c r="F151" s="30" t="s">
        <v>18</v>
      </c>
      <c r="G151" s="30"/>
      <c r="H151" s="30"/>
      <c r="I151" s="30"/>
      <c r="J151" s="30"/>
      <c r="K151" s="30"/>
      <c r="L151" s="31" t="s">
        <v>7367</v>
      </c>
      <c r="M151" s="27"/>
      <c r="O151" s="2">
        <v>3</v>
      </c>
    </row>
    <row r="152" ht="16.5" customHeight="1" spans="1:21">
      <c r="A152" s="30">
        <v>5</v>
      </c>
      <c r="B152" s="47">
        <v>171810223</v>
      </c>
      <c r="C152" s="48" t="s">
        <v>7368</v>
      </c>
      <c r="D152" s="23" t="s">
        <v>7107</v>
      </c>
      <c r="E152" s="29" t="s">
        <v>7369</v>
      </c>
      <c r="F152" s="30" t="s">
        <v>23</v>
      </c>
      <c r="G152" s="30"/>
      <c r="H152" s="30"/>
      <c r="I152" s="30"/>
      <c r="J152" s="30"/>
      <c r="K152" s="30"/>
      <c r="L152" s="31" t="s">
        <v>3124</v>
      </c>
      <c r="M152" s="27"/>
      <c r="O152" s="2">
        <v>4</v>
      </c>
    </row>
    <row r="153" ht="16.5" customHeight="1" spans="1:21">
      <c r="A153" s="21">
        <v>6</v>
      </c>
      <c r="B153" s="49">
        <v>171810255</v>
      </c>
      <c r="C153" s="50" t="s">
        <v>7370</v>
      </c>
      <c r="D153" s="51" t="s">
        <v>7111</v>
      </c>
      <c r="E153" s="52" t="s">
        <v>7371</v>
      </c>
      <c r="F153" s="53" t="s">
        <v>18</v>
      </c>
      <c r="G153" s="25"/>
      <c r="H153" s="25"/>
      <c r="I153" s="25"/>
      <c r="J153" s="25"/>
      <c r="K153" s="25"/>
      <c r="L153" s="26" t="s">
        <v>3124</v>
      </c>
      <c r="M153" s="27"/>
      <c r="O153" s="2">
        <v>6</v>
      </c>
    </row>
    <row r="154" ht="16.5" customHeight="1" spans="1:21">
      <c r="A154" s="30">
        <v>7</v>
      </c>
      <c r="B154" s="30">
        <v>171810258</v>
      </c>
      <c r="C154" s="48" t="s">
        <v>7372</v>
      </c>
      <c r="D154" s="23" t="s">
        <v>7111</v>
      </c>
      <c r="E154" s="24" t="s">
        <v>7373</v>
      </c>
      <c r="F154" s="25" t="s">
        <v>18</v>
      </c>
      <c r="G154" s="25"/>
      <c r="H154" s="25"/>
      <c r="I154" s="25"/>
      <c r="J154" s="25"/>
      <c r="K154" s="25"/>
      <c r="L154" s="26" t="s">
        <v>4427</v>
      </c>
      <c r="M154" s="27"/>
      <c r="O154" s="2">
        <v>7</v>
      </c>
    </row>
    <row r="155" ht="16.5" customHeight="1" spans="1:21">
      <c r="A155" s="21">
        <v>8</v>
      </c>
      <c r="B155" s="47">
        <v>171810294</v>
      </c>
      <c r="C155" s="48" t="s">
        <v>7374</v>
      </c>
      <c r="D155" s="23" t="s">
        <v>7103</v>
      </c>
      <c r="E155" s="29" t="s">
        <v>7375</v>
      </c>
      <c r="F155" s="30" t="s">
        <v>23</v>
      </c>
      <c r="G155" s="30"/>
      <c r="H155" s="30"/>
      <c r="I155" s="30"/>
      <c r="J155" s="30"/>
      <c r="K155" s="30"/>
      <c r="L155" s="31" t="s">
        <v>3124</v>
      </c>
      <c r="M155" s="27"/>
      <c r="O155" s="2">
        <v>8</v>
      </c>
      <c r="T155" s="3"/>
      <c r="U155" s="3"/>
    </row>
    <row r="156" ht="16.5" customHeight="1" spans="1:21">
      <c r="A156" s="30">
        <v>9</v>
      </c>
      <c r="B156" s="30">
        <v>171810296</v>
      </c>
      <c r="C156" s="48" t="s">
        <v>7376</v>
      </c>
      <c r="D156" s="23" t="s">
        <v>7103</v>
      </c>
      <c r="E156" s="29" t="s">
        <v>7377</v>
      </c>
      <c r="F156" s="30" t="s">
        <v>23</v>
      </c>
      <c r="G156" s="30"/>
      <c r="H156" s="30"/>
      <c r="I156" s="30"/>
      <c r="J156" s="30"/>
      <c r="K156" s="30"/>
      <c r="L156" s="31" t="s">
        <v>4385</v>
      </c>
      <c r="M156" s="27"/>
      <c r="O156" s="2">
        <v>9</v>
      </c>
      <c r="T156" s="3"/>
      <c r="U156" s="3"/>
    </row>
    <row r="157" ht="16.5" customHeight="1" spans="1:21">
      <c r="A157" s="21">
        <v>10</v>
      </c>
      <c r="B157" s="47">
        <v>171810189</v>
      </c>
      <c r="C157" s="48" t="s">
        <v>7378</v>
      </c>
      <c r="D157" s="23" t="s">
        <v>7099</v>
      </c>
      <c r="E157" s="24" t="s">
        <v>7379</v>
      </c>
      <c r="F157" s="25" t="s">
        <v>18</v>
      </c>
      <c r="G157" s="25"/>
      <c r="H157" s="25"/>
      <c r="I157" s="25"/>
      <c r="J157" s="25"/>
      <c r="K157" s="25"/>
      <c r="L157" s="28" t="s">
        <v>6684</v>
      </c>
      <c r="M157" s="27"/>
      <c r="O157" s="2">
        <v>10</v>
      </c>
      <c r="T157" s="3"/>
      <c r="U157" s="3"/>
    </row>
    <row r="158" ht="16.5" customHeight="1" spans="1:21">
      <c r="A158" s="30">
        <v>11</v>
      </c>
      <c r="B158" s="30">
        <v>171810231</v>
      </c>
      <c r="C158" s="48" t="s">
        <v>7380</v>
      </c>
      <c r="D158" s="23" t="s">
        <v>7107</v>
      </c>
      <c r="E158" s="24" t="s">
        <v>7381</v>
      </c>
      <c r="F158" s="25" t="s">
        <v>18</v>
      </c>
      <c r="G158" s="25"/>
      <c r="H158" s="25"/>
      <c r="I158" s="25"/>
      <c r="J158" s="25"/>
      <c r="K158" s="25"/>
      <c r="L158" s="28" t="s">
        <v>3124</v>
      </c>
      <c r="M158" s="27"/>
      <c r="O158" s="2">
        <v>11</v>
      </c>
      <c r="T158" s="3"/>
      <c r="U158" s="3"/>
    </row>
    <row r="159" ht="16.5" customHeight="1" spans="1:21">
      <c r="A159" s="21">
        <v>12</v>
      </c>
      <c r="B159" s="47">
        <v>171810233</v>
      </c>
      <c r="C159" s="48" t="s">
        <v>7382</v>
      </c>
      <c r="D159" s="23" t="s">
        <v>7107</v>
      </c>
      <c r="E159" s="29" t="s">
        <v>7383</v>
      </c>
      <c r="F159" s="30" t="s">
        <v>18</v>
      </c>
      <c r="G159" s="30"/>
      <c r="H159" s="30"/>
      <c r="I159" s="30"/>
      <c r="J159" s="30"/>
      <c r="K159" s="30"/>
      <c r="L159" s="31" t="s">
        <v>7125</v>
      </c>
      <c r="M159" s="27"/>
      <c r="O159" s="2">
        <v>12</v>
      </c>
      <c r="T159" s="3"/>
      <c r="U159" s="3"/>
    </row>
    <row r="160" ht="16.5" customHeight="1" spans="1:21">
      <c r="A160" s="30">
        <v>13</v>
      </c>
      <c r="B160" s="30">
        <v>171810262</v>
      </c>
      <c r="C160" s="48" t="s">
        <v>7384</v>
      </c>
      <c r="D160" s="23" t="s">
        <v>7111</v>
      </c>
      <c r="E160" s="24" t="s">
        <v>7385</v>
      </c>
      <c r="F160" s="25" t="s">
        <v>18</v>
      </c>
      <c r="G160" s="25"/>
      <c r="H160" s="25"/>
      <c r="I160" s="25"/>
      <c r="J160" s="25"/>
      <c r="K160" s="25"/>
      <c r="L160" s="26" t="s">
        <v>6150</v>
      </c>
      <c r="M160" s="27"/>
      <c r="O160" s="2">
        <v>13</v>
      </c>
    </row>
    <row r="161" ht="16.5" customHeight="1" spans="1:15">
      <c r="A161" s="21">
        <v>14</v>
      </c>
      <c r="B161" s="47">
        <v>171810302</v>
      </c>
      <c r="C161" s="48" t="s">
        <v>7386</v>
      </c>
      <c r="D161" s="23" t="s">
        <v>7103</v>
      </c>
      <c r="E161" s="29" t="s">
        <v>7387</v>
      </c>
      <c r="F161" s="30" t="s">
        <v>23</v>
      </c>
      <c r="G161" s="30"/>
      <c r="H161" s="30"/>
      <c r="I161" s="30"/>
      <c r="J161" s="30"/>
      <c r="K161" s="30"/>
      <c r="L161" s="31" t="s">
        <v>3124</v>
      </c>
      <c r="M161" s="27"/>
      <c r="O161" s="2">
        <v>14</v>
      </c>
    </row>
    <row r="162" ht="16.5" customHeight="1" spans="1:15">
      <c r="A162" s="30">
        <v>15</v>
      </c>
      <c r="B162" s="30">
        <v>171810267</v>
      </c>
      <c r="C162" s="48" t="s">
        <v>7388</v>
      </c>
      <c r="D162" s="23" t="s">
        <v>7111</v>
      </c>
      <c r="E162" s="24" t="s">
        <v>7389</v>
      </c>
      <c r="F162" s="25" t="s">
        <v>18</v>
      </c>
      <c r="G162" s="25"/>
      <c r="H162" s="25"/>
      <c r="I162" s="25"/>
      <c r="J162" s="25"/>
      <c r="K162" s="25"/>
      <c r="L162" s="26" t="s">
        <v>7390</v>
      </c>
      <c r="M162" s="27"/>
      <c r="O162" s="2">
        <v>15</v>
      </c>
    </row>
    <row r="163" ht="16.5" customHeight="1" spans="1:15">
      <c r="A163" s="21">
        <v>16</v>
      </c>
      <c r="B163" s="47">
        <v>171810268</v>
      </c>
      <c r="C163" s="48"/>
      <c r="D163" s="23" t="s">
        <v>7111</v>
      </c>
      <c r="E163" s="29" t="s">
        <v>7391</v>
      </c>
      <c r="F163" s="30" t="s">
        <v>18</v>
      </c>
      <c r="G163" s="30"/>
      <c r="H163" s="30"/>
      <c r="I163" s="30"/>
      <c r="J163" s="30"/>
      <c r="K163" s="30"/>
      <c r="L163" s="31" t="s">
        <v>7392</v>
      </c>
      <c r="M163" s="27"/>
      <c r="O163" s="2">
        <v>16</v>
      </c>
    </row>
    <row r="164" ht="16.5" customHeight="1" spans="1:15">
      <c r="A164" s="30">
        <v>17</v>
      </c>
      <c r="B164" s="47">
        <v>171810305</v>
      </c>
      <c r="C164" s="48" t="s">
        <v>7393</v>
      </c>
      <c r="D164" s="23" t="s">
        <v>7103</v>
      </c>
      <c r="E164" s="29" t="s">
        <v>7394</v>
      </c>
      <c r="F164" s="30" t="s">
        <v>23</v>
      </c>
      <c r="G164" s="30"/>
      <c r="H164" s="30"/>
      <c r="I164" s="30"/>
      <c r="J164" s="30"/>
      <c r="K164" s="30"/>
      <c r="L164" s="31" t="s">
        <v>7125</v>
      </c>
      <c r="M164" s="27"/>
    </row>
    <row r="165" ht="16.5" customHeight="1" spans="1:15">
      <c r="A165" s="21">
        <v>18</v>
      </c>
      <c r="B165" s="30">
        <v>171810238</v>
      </c>
      <c r="C165" s="48" t="s">
        <v>7395</v>
      </c>
      <c r="D165" s="23" t="s">
        <v>7107</v>
      </c>
      <c r="E165" s="29" t="s">
        <v>7396</v>
      </c>
      <c r="F165" s="30" t="s">
        <v>23</v>
      </c>
      <c r="G165" s="30"/>
      <c r="H165" s="30"/>
      <c r="I165" s="30"/>
      <c r="J165" s="30"/>
      <c r="K165" s="30"/>
      <c r="L165" s="31" t="s">
        <v>4427</v>
      </c>
      <c r="M165" s="27"/>
    </row>
    <row r="166" ht="16.5" customHeight="1" spans="1:15">
      <c r="A166" s="30">
        <v>19</v>
      </c>
      <c r="B166" s="47">
        <v>171810200</v>
      </c>
      <c r="C166" s="48" t="s">
        <v>7397</v>
      </c>
      <c r="D166" s="23" t="s">
        <v>7099</v>
      </c>
      <c r="E166" s="24" t="s">
        <v>7398</v>
      </c>
      <c r="F166" s="25" t="s">
        <v>23</v>
      </c>
      <c r="G166" s="25"/>
      <c r="H166" s="25"/>
      <c r="I166" s="25"/>
      <c r="J166" s="25"/>
      <c r="K166" s="25"/>
      <c r="L166" s="28" t="s">
        <v>3124</v>
      </c>
      <c r="M166" s="27"/>
    </row>
    <row r="167" ht="16.5" customHeight="1" spans="1:15">
      <c r="A167" s="21">
        <v>20</v>
      </c>
      <c r="B167" s="30">
        <v>171810243</v>
      </c>
      <c r="C167" s="48" t="s">
        <v>7399</v>
      </c>
      <c r="D167" s="23" t="s">
        <v>7107</v>
      </c>
      <c r="E167" s="29" t="s">
        <v>7400</v>
      </c>
      <c r="F167" s="30" t="s">
        <v>23</v>
      </c>
      <c r="G167" s="30"/>
      <c r="H167" s="30"/>
      <c r="I167" s="30"/>
      <c r="J167" s="30"/>
      <c r="K167" s="30"/>
      <c r="L167" s="31" t="s">
        <v>3124</v>
      </c>
      <c r="M167" s="27"/>
    </row>
    <row r="168" ht="16.5" customHeight="1" spans="1:15">
      <c r="A168" s="30">
        <v>21</v>
      </c>
      <c r="B168" s="30">
        <v>171810313</v>
      </c>
      <c r="C168" s="48" t="s">
        <v>7401</v>
      </c>
      <c r="D168" s="23" t="s">
        <v>7103</v>
      </c>
      <c r="E168" s="29" t="s">
        <v>7402</v>
      </c>
      <c r="F168" s="30" t="s">
        <v>23</v>
      </c>
      <c r="G168" s="30"/>
      <c r="H168" s="30"/>
      <c r="I168" s="30"/>
      <c r="J168" s="30"/>
      <c r="K168" s="30"/>
      <c r="L168" s="31" t="s">
        <v>7360</v>
      </c>
      <c r="M168" s="27"/>
    </row>
    <row r="169" ht="16.5" customHeight="1" spans="1:15">
      <c r="A169" s="21">
        <v>22</v>
      </c>
      <c r="B169" s="47">
        <v>171810281</v>
      </c>
      <c r="C169" s="48" t="s">
        <v>7403</v>
      </c>
      <c r="D169" s="23" t="s">
        <v>7111</v>
      </c>
      <c r="E169" s="24" t="s">
        <v>7404</v>
      </c>
      <c r="F169" s="25" t="s">
        <v>18</v>
      </c>
      <c r="G169" s="25"/>
      <c r="H169" s="25"/>
      <c r="I169" s="25"/>
      <c r="J169" s="25"/>
      <c r="K169" s="25"/>
      <c r="L169" s="26" t="s">
        <v>7405</v>
      </c>
      <c r="M169" s="27"/>
    </row>
    <row r="170" ht="16.5" customHeight="1" spans="1:15">
      <c r="A170" s="30">
        <v>23</v>
      </c>
      <c r="B170" s="30">
        <v>171810315</v>
      </c>
      <c r="C170" s="48" t="s">
        <v>7406</v>
      </c>
      <c r="D170" s="23" t="s">
        <v>7103</v>
      </c>
      <c r="E170" s="29" t="s">
        <v>7407</v>
      </c>
      <c r="F170" s="30" t="s">
        <v>23</v>
      </c>
      <c r="G170" s="30"/>
      <c r="H170" s="30"/>
      <c r="I170" s="30"/>
      <c r="J170" s="30"/>
      <c r="K170" s="30"/>
      <c r="L170" s="31" t="s">
        <v>6254</v>
      </c>
      <c r="M170" s="27"/>
    </row>
    <row r="171" ht="16.5" customHeight="1" spans="1:15">
      <c r="A171" s="21">
        <v>24</v>
      </c>
      <c r="B171" s="49">
        <v>171810248</v>
      </c>
      <c r="C171" s="50" t="s">
        <v>7408</v>
      </c>
      <c r="D171" s="51" t="s">
        <v>7107</v>
      </c>
      <c r="E171" s="54" t="s">
        <v>7409</v>
      </c>
      <c r="F171" s="55" t="s">
        <v>23</v>
      </c>
      <c r="G171" s="30"/>
      <c r="H171" s="30"/>
      <c r="I171" s="30"/>
      <c r="J171" s="30"/>
      <c r="K171" s="30"/>
      <c r="L171" s="31" t="s">
        <v>3248</v>
      </c>
      <c r="M171" s="27"/>
    </row>
    <row r="172" ht="16.5" customHeight="1" spans="1:15">
      <c r="A172" s="30">
        <v>25</v>
      </c>
      <c r="B172" s="30">
        <v>171810354</v>
      </c>
      <c r="C172" s="48" t="s">
        <v>7410</v>
      </c>
      <c r="D172" s="23" t="s">
        <v>7094</v>
      </c>
      <c r="E172" s="29" t="s">
        <v>7411</v>
      </c>
      <c r="F172" s="30" t="s">
        <v>18</v>
      </c>
      <c r="G172" s="30"/>
      <c r="H172" s="30"/>
      <c r="I172" s="30"/>
      <c r="J172" s="30"/>
      <c r="K172" s="30"/>
      <c r="L172" s="31" t="s">
        <v>7125</v>
      </c>
      <c r="M172" s="27"/>
    </row>
    <row r="173" ht="16.5" customHeight="1" spans="1:15">
      <c r="A173" s="21">
        <v>26</v>
      </c>
      <c r="B173" s="47">
        <v>171810319</v>
      </c>
      <c r="C173" s="48" t="s">
        <v>7412</v>
      </c>
      <c r="D173" s="23" t="s">
        <v>7103</v>
      </c>
      <c r="E173" s="29" t="s">
        <v>7413</v>
      </c>
      <c r="F173" s="30" t="s">
        <v>18</v>
      </c>
      <c r="G173" s="30"/>
      <c r="H173" s="30"/>
      <c r="I173" s="30"/>
      <c r="J173" s="30"/>
      <c r="K173" s="30"/>
      <c r="L173" s="31" t="s">
        <v>7414</v>
      </c>
      <c r="M173" s="27"/>
    </row>
    <row r="174" ht="16.5" customHeight="1" spans="1:15">
      <c r="A174" s="30">
        <v>27</v>
      </c>
      <c r="B174" s="30">
        <v>171810356</v>
      </c>
      <c r="C174" s="48" t="s">
        <v>7415</v>
      </c>
      <c r="D174" s="23" t="s">
        <v>7094</v>
      </c>
      <c r="E174" s="24" t="s">
        <v>7416</v>
      </c>
      <c r="F174" s="25" t="s">
        <v>18</v>
      </c>
      <c r="G174" s="25"/>
      <c r="H174" s="25"/>
      <c r="I174" s="25"/>
      <c r="J174" s="25"/>
      <c r="K174" s="25"/>
      <c r="L174" s="31" t="s">
        <v>3248</v>
      </c>
      <c r="M174" s="27"/>
    </row>
    <row r="175" ht="16.5" customHeight="1" spans="1:15">
      <c r="A175" s="21">
        <v>28</v>
      </c>
      <c r="B175" s="47">
        <v>171810321</v>
      </c>
      <c r="C175" s="48" t="s">
        <v>7417</v>
      </c>
      <c r="D175" s="23" t="s">
        <v>7103</v>
      </c>
      <c r="E175" s="24" t="s">
        <v>7418</v>
      </c>
      <c r="F175" s="25" t="s">
        <v>23</v>
      </c>
      <c r="G175" s="25"/>
      <c r="H175" s="25"/>
      <c r="I175" s="25"/>
      <c r="J175" s="25"/>
      <c r="K175" s="25"/>
      <c r="L175" s="26" t="s">
        <v>4427</v>
      </c>
      <c r="M175" s="27"/>
    </row>
    <row r="176" ht="16.5" customHeight="1" spans="1:15">
      <c r="A176" s="30">
        <v>29</v>
      </c>
      <c r="B176" s="30">
        <v>171810286</v>
      </c>
      <c r="C176" s="48" t="s">
        <v>7419</v>
      </c>
      <c r="D176" s="23" t="s">
        <v>7111</v>
      </c>
      <c r="E176" s="24" t="s">
        <v>7420</v>
      </c>
      <c r="F176" s="25" t="s">
        <v>18</v>
      </c>
      <c r="G176" s="25"/>
      <c r="H176" s="25"/>
      <c r="I176" s="25"/>
      <c r="J176" s="25"/>
      <c r="K176" s="25"/>
      <c r="L176" s="26" t="s">
        <v>3248</v>
      </c>
      <c r="M176" s="27"/>
    </row>
    <row r="177" ht="16.5" customHeight="1" spans="1:13 16384:16384">
      <c r="A177" s="21">
        <v>30</v>
      </c>
      <c r="B177" s="56">
        <v>171810250</v>
      </c>
      <c r="C177" s="57" t="s">
        <v>7421</v>
      </c>
      <c r="D177" s="58" t="s">
        <v>7107</v>
      </c>
      <c r="E177" s="59" t="s">
        <v>7422</v>
      </c>
      <c r="F177" s="60" t="s">
        <v>18</v>
      </c>
      <c r="G177" s="60"/>
      <c r="H177" s="60"/>
      <c r="I177" s="60"/>
      <c r="J177" s="60"/>
      <c r="K177" s="60"/>
      <c r="L177" s="26" t="s">
        <v>7189</v>
      </c>
      <c r="M177" s="61"/>
    </row>
    <row r="178" s="1" customFormat="1" ht="16.5" customHeight="1" spans="1:13 16384:16384">
      <c r="A178" s="30">
        <v>31</v>
      </c>
      <c r="B178" s="30">
        <v>181911402</v>
      </c>
      <c r="C178" s="46" t="s">
        <v>7423</v>
      </c>
      <c r="D178" s="46"/>
      <c r="E178" s="46" t="s">
        <v>7424</v>
      </c>
      <c r="F178" s="30" t="s">
        <v>23</v>
      </c>
      <c r="G178" s="46"/>
      <c r="H178" s="46"/>
      <c r="I178" s="46"/>
      <c r="J178" s="46"/>
      <c r="K178" s="46"/>
      <c r="L178" s="46" t="s">
        <v>6254</v>
      </c>
      <c r="M178" s="62"/>
      <c r="XFD178" s="2"/>
    </row>
    <row r="179" s="1" customFormat="1" ht="16.5" customHeight="1" spans="1:13 16384:16384">
      <c r="A179" s="21">
        <v>32</v>
      </c>
      <c r="B179" s="30">
        <v>181911403</v>
      </c>
      <c r="C179" s="46" t="s">
        <v>7425</v>
      </c>
      <c r="D179" s="46"/>
      <c r="E179" s="46" t="s">
        <v>7426</v>
      </c>
      <c r="F179" s="30" t="s">
        <v>23</v>
      </c>
      <c r="G179" s="46"/>
      <c r="H179" s="46"/>
      <c r="I179" s="46"/>
      <c r="J179" s="46"/>
      <c r="K179" s="46"/>
      <c r="L179" s="46" t="s">
        <v>7427</v>
      </c>
      <c r="M179" s="62"/>
      <c r="XFD179" s="2"/>
    </row>
    <row r="180" s="1" customFormat="1" ht="15" customHeight="1" spans="1:13 16384:16384">
      <c r="A180" s="21"/>
      <c r="B180" s="30"/>
      <c r="C180" s="46"/>
      <c r="D180" s="46"/>
      <c r="E180" s="46"/>
      <c r="F180" s="30"/>
      <c r="G180" s="46"/>
      <c r="H180" s="46"/>
      <c r="I180" s="46"/>
      <c r="J180" s="46"/>
      <c r="K180" s="46"/>
      <c r="L180" s="12"/>
      <c r="XFD180" s="2"/>
    </row>
    <row r="181" s="1" customFormat="1" ht="15" customHeight="1" spans="1:13 16384:16384">
      <c r="A181" s="21"/>
      <c r="B181" s="30"/>
      <c r="C181" s="46"/>
      <c r="D181" s="46"/>
      <c r="E181" s="46"/>
      <c r="F181" s="30"/>
      <c r="G181" s="46"/>
      <c r="H181" s="46"/>
      <c r="I181" s="46"/>
      <c r="J181" s="46"/>
      <c r="K181" s="46"/>
      <c r="L181" s="12"/>
      <c r="XFD181" s="2"/>
    </row>
    <row r="182" s="1" customFormat="1" ht="15" customHeight="1" spans="1:13 16384:16384">
      <c r="A182" s="21"/>
      <c r="B182" s="30"/>
      <c r="C182" s="46"/>
      <c r="D182" s="46"/>
      <c r="E182" s="46"/>
      <c r="F182" s="30"/>
      <c r="G182" s="46"/>
      <c r="H182" s="46"/>
      <c r="I182" s="46"/>
      <c r="J182" s="46"/>
      <c r="K182" s="46"/>
      <c r="L182" s="12"/>
      <c r="XFD182" s="2"/>
    </row>
    <row r="183" s="1" customFormat="1" ht="15" customHeight="1" spans="1:13 16384:16384">
      <c r="A183" s="21"/>
      <c r="B183" s="30"/>
      <c r="C183" s="46"/>
      <c r="D183" s="46"/>
      <c r="E183" s="46"/>
      <c r="F183" s="30"/>
      <c r="G183" s="46"/>
      <c r="H183" s="46"/>
      <c r="I183" s="46"/>
      <c r="J183" s="46"/>
      <c r="K183" s="46"/>
      <c r="L183" s="12"/>
      <c r="XFD183" s="2"/>
    </row>
    <row r="184" spans="1:13 16384:16384">
      <c r="A184" s="7"/>
      <c r="B184" s="34"/>
      <c r="C184" s="34"/>
      <c r="D184" s="34"/>
      <c r="E184" s="35" t="s">
        <v>7194</v>
      </c>
      <c r="F184" s="34">
        <v>14</v>
      </c>
      <c r="G184" s="34"/>
      <c r="H184" s="34"/>
      <c r="I184" s="34"/>
      <c r="J184" s="34"/>
      <c r="K184" s="34"/>
      <c r="L184" s="34"/>
      <c r="M184" s="34"/>
    </row>
    <row r="185" spans="1:13 16384:16384">
      <c r="A185" s="7"/>
      <c r="B185" s="34"/>
      <c r="C185" s="34"/>
      <c r="D185" s="34"/>
      <c r="E185" s="35" t="s">
        <v>7195</v>
      </c>
      <c r="F185" s="34">
        <f>COUNTIF(F148:F179,"p")</f>
        <v>18</v>
      </c>
      <c r="G185" s="34"/>
      <c r="H185" s="34"/>
      <c r="I185" s="34"/>
      <c r="J185" s="34"/>
      <c r="K185" s="34"/>
      <c r="L185" s="34"/>
      <c r="M185" s="34"/>
    </row>
    <row r="186" spans="1:13 16384:16384">
      <c r="A186" s="7"/>
      <c r="B186" s="7" t="s">
        <v>7196</v>
      </c>
      <c r="C186" s="34"/>
      <c r="D186" s="34"/>
      <c r="E186" s="7"/>
      <c r="F186" s="12" t="s">
        <v>7197</v>
      </c>
      <c r="G186" s="34"/>
      <c r="H186" s="34"/>
      <c r="I186" s="34"/>
      <c r="J186" s="34"/>
      <c r="K186" s="34"/>
      <c r="L186" s="34"/>
      <c r="M186" s="34"/>
    </row>
    <row r="187" spans="1:13 16384:16384">
      <c r="A187" s="7"/>
      <c r="B187" s="34"/>
      <c r="C187" s="34"/>
      <c r="D187" s="34"/>
      <c r="E187" s="7"/>
      <c r="F187" s="34"/>
      <c r="G187" s="34"/>
      <c r="H187" s="34"/>
      <c r="I187" s="34"/>
      <c r="J187" s="34"/>
      <c r="K187" s="34"/>
      <c r="L187" s="34"/>
      <c r="M187" s="34"/>
    </row>
    <row r="188" spans="1:13 16384:16384">
      <c r="A188" s="7"/>
      <c r="B188" s="34"/>
      <c r="C188" s="34"/>
      <c r="D188" s="34"/>
      <c r="E188" s="7"/>
      <c r="F188" s="34"/>
      <c r="G188" s="34"/>
      <c r="H188" s="34"/>
      <c r="I188" s="34"/>
      <c r="J188" s="34"/>
      <c r="K188" s="34"/>
      <c r="L188" s="34"/>
      <c r="M188" s="34"/>
    </row>
    <row r="189" spans="1:13 16384:16384">
      <c r="A189" s="7"/>
      <c r="B189" s="36" t="s">
        <v>7198</v>
      </c>
      <c r="C189" s="34"/>
      <c r="D189" s="34"/>
      <c r="E189" s="7"/>
      <c r="F189" s="37"/>
      <c r="G189" s="37"/>
      <c r="H189" s="37"/>
      <c r="I189" s="37"/>
      <c r="J189" s="37"/>
      <c r="K189" s="34"/>
      <c r="L189" s="37"/>
      <c r="M189" s="37"/>
    </row>
    <row r="190" spans="1:13 16384:16384">
      <c r="A190" s="7"/>
      <c r="B190" s="7" t="s">
        <v>7199</v>
      </c>
      <c r="C190" s="34"/>
      <c r="D190" s="34"/>
      <c r="E190" s="7"/>
      <c r="F190" s="34"/>
      <c r="G190" s="34"/>
      <c r="H190" s="34"/>
      <c r="I190" s="34"/>
      <c r="J190" s="34"/>
      <c r="K190" s="34"/>
      <c r="L190" s="34"/>
      <c r="M190" s="34"/>
    </row>
    <row r="191" spans="1:13 16384:16384">
      <c r="A191" s="11" t="s">
        <v>7428</v>
      </c>
      <c r="B191" s="7"/>
      <c r="C191" s="7"/>
      <c r="D191" s="7"/>
      <c r="E191" s="7"/>
      <c r="F191" s="12" t="s">
        <v>7089</v>
      </c>
      <c r="G191" s="39"/>
      <c r="H191" s="39"/>
      <c r="I191" s="39"/>
      <c r="J191" s="39"/>
      <c r="K191" s="39"/>
    </row>
    <row r="192" ht="30" customHeight="1" spans="1:13 16384:16384">
      <c r="A192" s="18" t="s">
        <v>7090</v>
      </c>
      <c r="B192" s="15" t="s">
        <v>11</v>
      </c>
      <c r="C192" s="16" t="s">
        <v>12</v>
      </c>
      <c r="D192" s="40" t="s">
        <v>7091</v>
      </c>
      <c r="E192" s="18" t="s">
        <v>13</v>
      </c>
      <c r="F192" s="18" t="s">
        <v>14</v>
      </c>
      <c r="G192" s="18"/>
      <c r="H192" s="18"/>
      <c r="I192" s="18"/>
      <c r="J192" s="18"/>
      <c r="K192" s="18"/>
      <c r="L192" s="19" t="s">
        <v>4299</v>
      </c>
      <c r="M192" s="19" t="s">
        <v>7092</v>
      </c>
    </row>
    <row r="193" ht="16.5" customHeight="1" spans="1:21">
      <c r="A193" s="21">
        <v>1</v>
      </c>
      <c r="B193" s="30">
        <v>171810287</v>
      </c>
      <c r="C193" s="43" t="s">
        <v>7429</v>
      </c>
      <c r="D193" s="23" t="s">
        <v>7103</v>
      </c>
      <c r="E193" s="29" t="s">
        <v>7430</v>
      </c>
      <c r="F193" s="30" t="s">
        <v>18</v>
      </c>
      <c r="G193" s="25"/>
      <c r="H193" s="25"/>
      <c r="I193" s="25"/>
      <c r="J193" s="25"/>
      <c r="K193" s="25"/>
      <c r="L193" s="31" t="s">
        <v>7392</v>
      </c>
      <c r="M193" s="27"/>
      <c r="O193" s="2">
        <v>1</v>
      </c>
    </row>
    <row r="194" ht="16.5" customHeight="1" spans="1:21">
      <c r="A194" s="30">
        <v>2</v>
      </c>
      <c r="B194" s="30">
        <v>171810219</v>
      </c>
      <c r="C194" s="43" t="s">
        <v>7431</v>
      </c>
      <c r="D194" s="23" t="s">
        <v>7107</v>
      </c>
      <c r="E194" s="24" t="s">
        <v>7432</v>
      </c>
      <c r="F194" s="25" t="s">
        <v>18</v>
      </c>
      <c r="G194" s="30"/>
      <c r="H194" s="30"/>
      <c r="I194" s="30"/>
      <c r="J194" s="30"/>
      <c r="K194" s="30"/>
      <c r="L194" s="28" t="s">
        <v>6150</v>
      </c>
      <c r="M194" s="27"/>
      <c r="O194" s="2">
        <v>2</v>
      </c>
    </row>
    <row r="195" ht="16.5" customHeight="1" spans="1:21">
      <c r="A195" s="21">
        <v>3</v>
      </c>
      <c r="B195" s="30">
        <v>171810181</v>
      </c>
      <c r="C195" s="43" t="s">
        <v>7433</v>
      </c>
      <c r="D195" s="23" t="s">
        <v>7099</v>
      </c>
      <c r="E195" s="29" t="s">
        <v>7434</v>
      </c>
      <c r="F195" s="30" t="s">
        <v>23</v>
      </c>
      <c r="G195" s="25"/>
      <c r="H195" s="25"/>
      <c r="I195" s="25"/>
      <c r="J195" s="25"/>
      <c r="K195" s="25"/>
      <c r="L195" s="31" t="s">
        <v>4385</v>
      </c>
      <c r="M195" s="27"/>
      <c r="O195" s="2">
        <v>3</v>
      </c>
    </row>
    <row r="196" ht="16.5" customHeight="1" spans="1:21">
      <c r="A196" s="30">
        <v>4</v>
      </c>
      <c r="B196" s="30">
        <v>171810324</v>
      </c>
      <c r="C196" s="43" t="s">
        <v>7435</v>
      </c>
      <c r="D196" s="23" t="s">
        <v>7094</v>
      </c>
      <c r="E196" s="24" t="s">
        <v>7436</v>
      </c>
      <c r="F196" s="25" t="s">
        <v>23</v>
      </c>
      <c r="G196" s="30"/>
      <c r="H196" s="30"/>
      <c r="I196" s="30"/>
      <c r="J196" s="30"/>
      <c r="K196" s="30"/>
      <c r="L196" s="26" t="s">
        <v>6684</v>
      </c>
      <c r="M196" s="27"/>
      <c r="O196" s="2">
        <v>4</v>
      </c>
    </row>
    <row r="197" ht="16.5" customHeight="1" spans="1:21">
      <c r="A197" s="21">
        <v>5</v>
      </c>
      <c r="B197" s="30">
        <v>171810253</v>
      </c>
      <c r="C197" s="43" t="s">
        <v>7437</v>
      </c>
      <c r="D197" s="23" t="s">
        <v>7111</v>
      </c>
      <c r="E197" s="29" t="s">
        <v>7438</v>
      </c>
      <c r="F197" s="30" t="s">
        <v>18</v>
      </c>
      <c r="G197" s="25"/>
      <c r="H197" s="25"/>
      <c r="I197" s="25"/>
      <c r="J197" s="25"/>
      <c r="K197" s="25"/>
      <c r="L197" s="31" t="s">
        <v>4385</v>
      </c>
      <c r="M197" s="27"/>
      <c r="O197" s="2">
        <v>5</v>
      </c>
    </row>
    <row r="198" ht="16.5" customHeight="1" spans="1:21">
      <c r="A198" s="30">
        <v>6</v>
      </c>
      <c r="B198" s="30">
        <v>171810183</v>
      </c>
      <c r="C198" s="43" t="s">
        <v>7439</v>
      </c>
      <c r="D198" s="23" t="s">
        <v>7099</v>
      </c>
      <c r="E198" s="24" t="s">
        <v>7440</v>
      </c>
      <c r="F198" s="25" t="s">
        <v>23</v>
      </c>
      <c r="G198" s="30"/>
      <c r="H198" s="30"/>
      <c r="I198" s="30"/>
      <c r="J198" s="30"/>
      <c r="K198" s="30"/>
      <c r="L198" s="28" t="s">
        <v>3124</v>
      </c>
      <c r="M198" s="27"/>
      <c r="O198" s="2">
        <v>6</v>
      </c>
    </row>
    <row r="199" ht="16.5" customHeight="1" spans="1:21">
      <c r="A199" s="21">
        <v>7</v>
      </c>
      <c r="B199" s="30">
        <v>171810221</v>
      </c>
      <c r="C199" s="43" t="s">
        <v>7441</v>
      </c>
      <c r="D199" s="23" t="s">
        <v>7107</v>
      </c>
      <c r="E199" s="29" t="s">
        <v>7442</v>
      </c>
      <c r="F199" s="30" t="s">
        <v>18</v>
      </c>
      <c r="G199" s="30"/>
      <c r="H199" s="30"/>
      <c r="I199" s="30"/>
      <c r="J199" s="30"/>
      <c r="K199" s="30"/>
      <c r="L199" s="31" t="s">
        <v>4385</v>
      </c>
      <c r="M199" s="27"/>
      <c r="O199" s="2">
        <v>7</v>
      </c>
    </row>
    <row r="200" ht="16.5" customHeight="1" spans="1:21">
      <c r="A200" s="30">
        <v>8</v>
      </c>
      <c r="B200" s="30">
        <v>171810184</v>
      </c>
      <c r="C200" s="43" t="s">
        <v>7443</v>
      </c>
      <c r="D200" s="23" t="s">
        <v>7099</v>
      </c>
      <c r="E200" s="24" t="s">
        <v>7444</v>
      </c>
      <c r="F200" s="25" t="s">
        <v>18</v>
      </c>
      <c r="G200" s="25"/>
      <c r="H200" s="25"/>
      <c r="I200" s="25"/>
      <c r="J200" s="25"/>
      <c r="K200" s="25"/>
      <c r="L200" s="28" t="s">
        <v>3124</v>
      </c>
      <c r="M200" s="27"/>
      <c r="O200" s="2">
        <v>8</v>
      </c>
    </row>
    <row r="201" ht="16.5" customHeight="1" spans="1:21">
      <c r="A201" s="21">
        <v>9</v>
      </c>
      <c r="B201" s="30">
        <v>171810291</v>
      </c>
      <c r="C201" s="43" t="s">
        <v>7445</v>
      </c>
      <c r="D201" s="23" t="s">
        <v>7103</v>
      </c>
      <c r="E201" s="24" t="s">
        <v>7446</v>
      </c>
      <c r="F201" s="25" t="s">
        <v>18</v>
      </c>
      <c r="G201" s="25"/>
      <c r="H201" s="25"/>
      <c r="I201" s="25"/>
      <c r="J201" s="25"/>
      <c r="K201" s="25"/>
      <c r="L201" s="26" t="s">
        <v>3940</v>
      </c>
      <c r="M201" s="27"/>
      <c r="O201" s="2">
        <v>9</v>
      </c>
    </row>
    <row r="202" ht="16.5" customHeight="1" spans="1:21">
      <c r="A202" s="30">
        <v>10</v>
      </c>
      <c r="B202" s="30">
        <v>171810332</v>
      </c>
      <c r="C202" s="43" t="s">
        <v>7447</v>
      </c>
      <c r="D202" s="23" t="s">
        <v>7094</v>
      </c>
      <c r="E202" s="29" t="s">
        <v>7448</v>
      </c>
      <c r="F202" s="30" t="s">
        <v>18</v>
      </c>
      <c r="G202" s="30"/>
      <c r="H202" s="30"/>
      <c r="I202" s="30"/>
      <c r="J202" s="30"/>
      <c r="K202" s="30"/>
      <c r="L202" s="31" t="s">
        <v>3124</v>
      </c>
      <c r="M202" s="27"/>
      <c r="O202" s="2">
        <v>10</v>
      </c>
    </row>
    <row r="203" ht="16.5" customHeight="1" spans="1:21">
      <c r="A203" s="21">
        <v>11</v>
      </c>
      <c r="B203" s="30">
        <v>171810227</v>
      </c>
      <c r="C203" s="43" t="s">
        <v>7449</v>
      </c>
      <c r="D203" s="23" t="s">
        <v>7107</v>
      </c>
      <c r="E203" s="29" t="s">
        <v>7450</v>
      </c>
      <c r="F203" s="30" t="s">
        <v>18</v>
      </c>
      <c r="G203" s="30"/>
      <c r="H203" s="30"/>
      <c r="I203" s="30"/>
      <c r="J203" s="30"/>
      <c r="K203" s="30"/>
      <c r="L203" s="31" t="s">
        <v>7096</v>
      </c>
      <c r="M203" s="27"/>
      <c r="O203" s="2">
        <v>11</v>
      </c>
    </row>
    <row r="204" ht="16.5" customHeight="1" spans="1:21">
      <c r="A204" s="30">
        <v>12</v>
      </c>
      <c r="B204" s="30">
        <v>171810298</v>
      </c>
      <c r="C204" s="43" t="s">
        <v>7451</v>
      </c>
      <c r="D204" s="23" t="s">
        <v>7103</v>
      </c>
      <c r="E204" s="29" t="s">
        <v>7452</v>
      </c>
      <c r="F204" s="30" t="s">
        <v>18</v>
      </c>
      <c r="G204" s="30"/>
      <c r="H204" s="30"/>
      <c r="I204" s="30"/>
      <c r="J204" s="30"/>
      <c r="K204" s="30"/>
      <c r="L204" s="31" t="s">
        <v>7392</v>
      </c>
      <c r="M204" s="27"/>
      <c r="O204" s="2">
        <v>12</v>
      </c>
    </row>
    <row r="205" ht="16.5" customHeight="1" spans="1:21">
      <c r="A205" s="21">
        <v>13</v>
      </c>
      <c r="B205" s="30">
        <v>171810232</v>
      </c>
      <c r="C205" s="43" t="s">
        <v>7453</v>
      </c>
      <c r="D205" s="23" t="s">
        <v>7107</v>
      </c>
      <c r="E205" s="29" t="s">
        <v>7454</v>
      </c>
      <c r="F205" s="30" t="s">
        <v>18</v>
      </c>
      <c r="G205" s="30"/>
      <c r="H205" s="30"/>
      <c r="I205" s="30"/>
      <c r="J205" s="30"/>
      <c r="K205" s="30"/>
      <c r="L205" s="31" t="s">
        <v>3124</v>
      </c>
      <c r="M205" s="27"/>
      <c r="O205" s="2">
        <v>13</v>
      </c>
    </row>
    <row r="206" ht="16.5" customHeight="1" spans="1:21">
      <c r="A206" s="30">
        <v>14</v>
      </c>
      <c r="B206" s="30">
        <v>171810261</v>
      </c>
      <c r="C206" s="43" t="s">
        <v>7455</v>
      </c>
      <c r="D206" s="23" t="s">
        <v>7111</v>
      </c>
      <c r="E206" s="29" t="s">
        <v>7456</v>
      </c>
      <c r="F206" s="30" t="s">
        <v>23</v>
      </c>
      <c r="G206" s="30"/>
      <c r="H206" s="30"/>
      <c r="I206" s="30"/>
      <c r="J206" s="30"/>
      <c r="K206" s="30"/>
      <c r="L206" s="31" t="s">
        <v>4385</v>
      </c>
      <c r="M206" s="27"/>
      <c r="O206" s="2">
        <v>14</v>
      </c>
      <c r="T206" s="3"/>
      <c r="U206" s="3"/>
    </row>
    <row r="207" ht="16.5" customHeight="1" spans="1:21">
      <c r="A207" s="21">
        <v>15</v>
      </c>
      <c r="B207" s="30">
        <v>171810341</v>
      </c>
      <c r="C207" s="43" t="s">
        <v>7457</v>
      </c>
      <c r="D207" s="23" t="s">
        <v>7094</v>
      </c>
      <c r="E207" s="29" t="s">
        <v>7458</v>
      </c>
      <c r="F207" s="30" t="s">
        <v>23</v>
      </c>
      <c r="G207" s="30"/>
      <c r="H207" s="30"/>
      <c r="I207" s="30"/>
      <c r="J207" s="30"/>
      <c r="K207" s="30"/>
      <c r="L207" s="31" t="s">
        <v>3450</v>
      </c>
      <c r="M207" s="27"/>
      <c r="O207" s="1">
        <v>1</v>
      </c>
      <c r="T207" s="3"/>
      <c r="U207" s="3"/>
    </row>
    <row r="208" ht="16.5" customHeight="1" spans="1:21">
      <c r="A208" s="30">
        <v>16</v>
      </c>
      <c r="B208" s="30">
        <v>171810195</v>
      </c>
      <c r="C208" s="43" t="s">
        <v>7459</v>
      </c>
      <c r="D208" s="23" t="s">
        <v>7099</v>
      </c>
      <c r="E208" s="24" t="s">
        <v>7460</v>
      </c>
      <c r="F208" s="25" t="s">
        <v>23</v>
      </c>
      <c r="G208" s="25"/>
      <c r="H208" s="25"/>
      <c r="I208" s="25"/>
      <c r="J208" s="25"/>
      <c r="K208" s="25"/>
      <c r="L208" s="28" t="s">
        <v>7461</v>
      </c>
      <c r="M208" s="27"/>
      <c r="O208" s="1">
        <v>2</v>
      </c>
      <c r="T208" s="3"/>
      <c r="U208" s="3"/>
    </row>
    <row r="209" ht="16.5" customHeight="1" spans="1:15">
      <c r="A209" s="21">
        <v>17</v>
      </c>
      <c r="B209" s="30">
        <v>171810304</v>
      </c>
      <c r="C209" s="43" t="s">
        <v>7462</v>
      </c>
      <c r="D209" s="23" t="s">
        <v>7103</v>
      </c>
      <c r="E209" s="24" t="s">
        <v>7463</v>
      </c>
      <c r="F209" s="25" t="s">
        <v>23</v>
      </c>
      <c r="G209" s="25"/>
      <c r="H209" s="25"/>
      <c r="I209" s="25"/>
      <c r="J209" s="25"/>
      <c r="K209" s="25"/>
      <c r="L209" s="26" t="s">
        <v>6254</v>
      </c>
      <c r="M209" s="27"/>
      <c r="O209" s="1">
        <v>3</v>
      </c>
    </row>
    <row r="210" ht="16.5" customHeight="1" spans="1:15">
      <c r="A210" s="30">
        <v>18</v>
      </c>
      <c r="B210" s="30">
        <v>171810199</v>
      </c>
      <c r="C210" s="43" t="s">
        <v>7464</v>
      </c>
      <c r="D210" s="23" t="s">
        <v>7099</v>
      </c>
      <c r="E210" s="24" t="s">
        <v>7465</v>
      </c>
      <c r="F210" s="25" t="s">
        <v>23</v>
      </c>
      <c r="G210" s="25"/>
      <c r="H210" s="25"/>
      <c r="I210" s="25"/>
      <c r="J210" s="25"/>
      <c r="K210" s="25"/>
      <c r="L210" s="28" t="s">
        <v>3248</v>
      </c>
      <c r="M210" s="27"/>
      <c r="O210" s="1">
        <v>4</v>
      </c>
    </row>
    <row r="211" ht="16.5" customHeight="1" spans="1:15">
      <c r="A211" s="21">
        <v>19</v>
      </c>
      <c r="B211" s="30">
        <v>171810307</v>
      </c>
      <c r="C211" s="43" t="s">
        <v>7466</v>
      </c>
      <c r="D211" s="23" t="s">
        <v>7103</v>
      </c>
      <c r="E211" s="24" t="s">
        <v>7467</v>
      </c>
      <c r="F211" s="25" t="s">
        <v>23</v>
      </c>
      <c r="G211" s="25"/>
      <c r="H211" s="25"/>
      <c r="I211" s="25"/>
      <c r="J211" s="25"/>
      <c r="K211" s="25"/>
      <c r="L211" s="26" t="s">
        <v>7233</v>
      </c>
      <c r="M211" s="27"/>
      <c r="O211" s="1">
        <v>5</v>
      </c>
    </row>
    <row r="212" ht="16.5" customHeight="1" spans="1:15">
      <c r="A212" s="30">
        <v>20</v>
      </c>
      <c r="B212" s="30">
        <v>171810241</v>
      </c>
      <c r="C212" s="43" t="s">
        <v>7468</v>
      </c>
      <c r="D212" s="23" t="s">
        <v>7107</v>
      </c>
      <c r="E212" s="44" t="s">
        <v>7469</v>
      </c>
      <c r="F212" s="25" t="s">
        <v>18</v>
      </c>
      <c r="G212" s="25"/>
      <c r="H212" s="25"/>
      <c r="I212" s="25"/>
      <c r="J212" s="25"/>
      <c r="K212" s="25"/>
      <c r="L212" s="31" t="s">
        <v>3124</v>
      </c>
      <c r="M212" s="27"/>
      <c r="O212" s="1">
        <v>6</v>
      </c>
    </row>
    <row r="213" ht="16.5" customHeight="1" spans="1:15">
      <c r="A213" s="21">
        <v>21</v>
      </c>
      <c r="B213" s="30">
        <v>171810347</v>
      </c>
      <c r="C213" s="43" t="s">
        <v>7470</v>
      </c>
      <c r="D213" s="23" t="s">
        <v>7094</v>
      </c>
      <c r="E213" s="29" t="s">
        <v>7471</v>
      </c>
      <c r="F213" s="30" t="s">
        <v>18</v>
      </c>
      <c r="G213" s="30"/>
      <c r="H213" s="30"/>
      <c r="I213" s="30"/>
      <c r="J213" s="30"/>
      <c r="K213" s="30"/>
      <c r="L213" s="26" t="s">
        <v>7472</v>
      </c>
      <c r="M213" s="27"/>
      <c r="O213" s="1">
        <v>7</v>
      </c>
    </row>
    <row r="214" ht="16.5" customHeight="1" spans="1:15">
      <c r="A214" s="30">
        <v>22</v>
      </c>
      <c r="B214" s="30">
        <v>171810203</v>
      </c>
      <c r="C214" s="43" t="s">
        <v>7473</v>
      </c>
      <c r="D214" s="23" t="s">
        <v>7099</v>
      </c>
      <c r="E214" s="29" t="s">
        <v>7474</v>
      </c>
      <c r="F214" s="30" t="s">
        <v>18</v>
      </c>
      <c r="G214" s="30"/>
      <c r="H214" s="30"/>
      <c r="I214" s="30"/>
      <c r="J214" s="30"/>
      <c r="K214" s="30"/>
      <c r="L214" s="31" t="s">
        <v>4385</v>
      </c>
      <c r="M214" s="27"/>
      <c r="O214" s="1">
        <v>8</v>
      </c>
    </row>
    <row r="215" ht="16.5" customHeight="1" spans="1:15">
      <c r="A215" s="21">
        <v>23</v>
      </c>
      <c r="B215" s="30">
        <v>171810205</v>
      </c>
      <c r="C215" s="43" t="s">
        <v>7475</v>
      </c>
      <c r="D215" s="23" t="s">
        <v>7099</v>
      </c>
      <c r="E215" s="29" t="s">
        <v>7476</v>
      </c>
      <c r="F215" s="30" t="s">
        <v>18</v>
      </c>
      <c r="G215" s="30"/>
      <c r="H215" s="30"/>
      <c r="I215" s="30"/>
      <c r="J215" s="30"/>
      <c r="K215" s="30"/>
      <c r="L215" s="31" t="s">
        <v>4385</v>
      </c>
      <c r="M215" s="27"/>
      <c r="O215" s="1">
        <v>9</v>
      </c>
    </row>
    <row r="216" ht="16.5" customHeight="1" spans="1:15">
      <c r="A216" s="30">
        <v>24</v>
      </c>
      <c r="B216" s="30">
        <v>171810350</v>
      </c>
      <c r="C216" s="43" t="s">
        <v>7477</v>
      </c>
      <c r="D216" s="23" t="s">
        <v>7094</v>
      </c>
      <c r="E216" s="24" t="s">
        <v>7478</v>
      </c>
      <c r="F216" s="25" t="s">
        <v>23</v>
      </c>
      <c r="G216" s="25"/>
      <c r="H216" s="25"/>
      <c r="I216" s="25"/>
      <c r="J216" s="25"/>
      <c r="K216" s="25"/>
      <c r="L216" s="26" t="s">
        <v>3124</v>
      </c>
      <c r="M216" s="27"/>
      <c r="O216" s="1">
        <v>10</v>
      </c>
    </row>
    <row r="217" ht="16.5" customHeight="1" spans="1:15">
      <c r="A217" s="21">
        <v>25</v>
      </c>
      <c r="B217" s="30">
        <v>171810351</v>
      </c>
      <c r="C217" s="43" t="s">
        <v>7479</v>
      </c>
      <c r="D217" s="23" t="s">
        <v>7094</v>
      </c>
      <c r="E217" s="24" t="s">
        <v>7480</v>
      </c>
      <c r="F217" s="25" t="s">
        <v>23</v>
      </c>
      <c r="G217" s="25"/>
      <c r="H217" s="25"/>
      <c r="I217" s="25"/>
      <c r="J217" s="25"/>
      <c r="K217" s="25"/>
      <c r="L217" s="31" t="s">
        <v>3248</v>
      </c>
      <c r="M217" s="27"/>
      <c r="O217" s="1">
        <v>11</v>
      </c>
    </row>
    <row r="218" ht="16.5" customHeight="1" spans="1:15">
      <c r="A218" s="30">
        <v>26</v>
      </c>
      <c r="B218" s="30">
        <v>171810207</v>
      </c>
      <c r="C218" s="43" t="s">
        <v>7481</v>
      </c>
      <c r="D218" s="23" t="s">
        <v>7099</v>
      </c>
      <c r="E218" s="29" t="s">
        <v>7482</v>
      </c>
      <c r="F218" s="30" t="s">
        <v>23</v>
      </c>
      <c r="G218" s="30"/>
      <c r="H218" s="30"/>
      <c r="I218" s="30"/>
      <c r="J218" s="30"/>
      <c r="K218" s="30"/>
      <c r="L218" s="31" t="s">
        <v>7184</v>
      </c>
      <c r="M218" s="27"/>
      <c r="O218" s="1">
        <v>12</v>
      </c>
    </row>
    <row r="219" ht="16.5" customHeight="1" spans="1:15">
      <c r="A219" s="21">
        <v>27</v>
      </c>
      <c r="B219" s="30">
        <v>171810208</v>
      </c>
      <c r="C219" s="43" t="s">
        <v>7483</v>
      </c>
      <c r="D219" s="23" t="s">
        <v>7099</v>
      </c>
      <c r="E219" s="24" t="s">
        <v>7484</v>
      </c>
      <c r="F219" s="25" t="s">
        <v>23</v>
      </c>
      <c r="G219" s="25"/>
      <c r="H219" s="25"/>
      <c r="I219" s="25"/>
      <c r="J219" s="25"/>
      <c r="K219" s="25"/>
      <c r="L219" s="28" t="s">
        <v>3124</v>
      </c>
      <c r="M219" s="27"/>
      <c r="O219" s="1">
        <v>13</v>
      </c>
    </row>
    <row r="220" ht="16.5" customHeight="1" spans="1:15">
      <c r="A220" s="30">
        <v>28</v>
      </c>
      <c r="B220" s="30">
        <v>171810280</v>
      </c>
      <c r="C220" s="43" t="s">
        <v>7485</v>
      </c>
      <c r="D220" s="23" t="s">
        <v>7111</v>
      </c>
      <c r="E220" s="24" t="s">
        <v>7486</v>
      </c>
      <c r="F220" s="25" t="s">
        <v>23</v>
      </c>
      <c r="G220" s="25"/>
      <c r="H220" s="25"/>
      <c r="I220" s="25"/>
      <c r="J220" s="25"/>
      <c r="K220" s="25"/>
      <c r="L220" s="26" t="s">
        <v>5784</v>
      </c>
      <c r="M220" s="27"/>
      <c r="O220" s="1">
        <v>14</v>
      </c>
    </row>
    <row r="221" ht="16.5" customHeight="1" spans="1:15">
      <c r="A221" s="21">
        <v>29</v>
      </c>
      <c r="B221" s="30">
        <v>171810282</v>
      </c>
      <c r="C221" s="43" t="s">
        <v>7487</v>
      </c>
      <c r="D221" s="23" t="s">
        <v>7111</v>
      </c>
      <c r="E221" s="24" t="s">
        <v>7488</v>
      </c>
      <c r="F221" s="25" t="s">
        <v>18</v>
      </c>
      <c r="G221" s="25"/>
      <c r="H221" s="25"/>
      <c r="I221" s="25"/>
      <c r="J221" s="25"/>
      <c r="K221" s="25"/>
      <c r="L221" s="26" t="s">
        <v>3124</v>
      </c>
      <c r="M221" s="27"/>
      <c r="O221" s="1">
        <v>15</v>
      </c>
    </row>
    <row r="222" ht="16.5" customHeight="1" spans="1:15">
      <c r="A222" s="30">
        <v>30</v>
      </c>
      <c r="B222" s="30">
        <v>171810247</v>
      </c>
      <c r="C222" s="43" t="s">
        <v>7489</v>
      </c>
      <c r="D222" s="23" t="s">
        <v>7107</v>
      </c>
      <c r="E222" s="29" t="s">
        <v>7490</v>
      </c>
      <c r="F222" s="30" t="s">
        <v>18</v>
      </c>
      <c r="G222" s="30"/>
      <c r="H222" s="30"/>
      <c r="I222" s="30"/>
      <c r="J222" s="30"/>
      <c r="K222" s="30"/>
      <c r="L222" s="31" t="s">
        <v>7491</v>
      </c>
      <c r="M222" s="27"/>
      <c r="O222" s="1">
        <v>16</v>
      </c>
    </row>
    <row r="223" ht="16.5" customHeight="1" spans="1:15">
      <c r="A223" s="21">
        <v>31</v>
      </c>
      <c r="B223" s="30">
        <v>171810320</v>
      </c>
      <c r="C223" s="43" t="s">
        <v>7492</v>
      </c>
      <c r="D223" s="23" t="s">
        <v>7103</v>
      </c>
      <c r="E223" s="24" t="s">
        <v>7493</v>
      </c>
      <c r="F223" s="25" t="s">
        <v>18</v>
      </c>
      <c r="G223" s="25"/>
      <c r="H223" s="25"/>
      <c r="I223" s="25"/>
      <c r="J223" s="25"/>
      <c r="K223" s="25"/>
      <c r="L223" s="26" t="s">
        <v>7184</v>
      </c>
      <c r="M223" s="27"/>
      <c r="O223" s="1">
        <v>17</v>
      </c>
    </row>
    <row r="224" ht="16.5" customHeight="1" spans="1:15">
      <c r="A224" s="30">
        <v>32</v>
      </c>
      <c r="B224" s="30">
        <v>171810322</v>
      </c>
      <c r="C224" s="43" t="s">
        <v>7494</v>
      </c>
      <c r="D224" s="23" t="s">
        <v>7103</v>
      </c>
      <c r="E224" s="24" t="s">
        <v>7495</v>
      </c>
      <c r="F224" s="25" t="s">
        <v>18</v>
      </c>
      <c r="G224" s="25"/>
      <c r="H224" s="25"/>
      <c r="I224" s="25"/>
      <c r="J224" s="25"/>
      <c r="K224" s="25"/>
      <c r="L224" s="26" t="s">
        <v>7121</v>
      </c>
      <c r="M224" s="27"/>
      <c r="O224" s="1">
        <v>18</v>
      </c>
    </row>
    <row r="225" ht="16.5" customHeight="1" spans="1:22">
      <c r="A225" s="21">
        <v>33</v>
      </c>
      <c r="B225" s="30">
        <v>171810214</v>
      </c>
      <c r="C225" s="43" t="s">
        <v>7496</v>
      </c>
      <c r="D225" s="23" t="s">
        <v>7099</v>
      </c>
      <c r="E225" s="24" t="s">
        <v>7497</v>
      </c>
      <c r="F225" s="25" t="s">
        <v>18</v>
      </c>
      <c r="G225" s="25"/>
      <c r="H225" s="25"/>
      <c r="I225" s="25"/>
      <c r="J225" s="25"/>
      <c r="K225" s="25"/>
      <c r="L225" s="28" t="s">
        <v>7233</v>
      </c>
      <c r="M225" s="27"/>
      <c r="O225" s="1">
        <v>19</v>
      </c>
      <c r="U225" s="3"/>
      <c r="V225" s="3"/>
    </row>
    <row r="226" ht="16.5" customHeight="1" spans="1:22">
      <c r="A226" s="30">
        <v>34</v>
      </c>
      <c r="B226" s="30">
        <v>181911404</v>
      </c>
      <c r="C226" s="43" t="s">
        <v>7498</v>
      </c>
      <c r="D226" s="23"/>
      <c r="E226" s="24" t="s">
        <v>7499</v>
      </c>
      <c r="F226" s="25" t="s">
        <v>18</v>
      </c>
      <c r="G226" s="25"/>
      <c r="H226" s="25"/>
      <c r="I226" s="25"/>
      <c r="J226" s="25"/>
      <c r="K226" s="25"/>
      <c r="L226" s="46" t="s">
        <v>7139</v>
      </c>
      <c r="M226" s="27"/>
      <c r="O226" s="1"/>
      <c r="U226" s="3"/>
      <c r="V226" s="3"/>
    </row>
    <row r="227" ht="16.5" customHeight="1" spans="1:22">
      <c r="A227" s="30">
        <v>36</v>
      </c>
      <c r="B227" s="30">
        <v>181911407</v>
      </c>
      <c r="C227" s="43" t="s">
        <v>7500</v>
      </c>
      <c r="D227" s="23"/>
      <c r="E227" s="63" t="s">
        <v>7501</v>
      </c>
      <c r="F227" s="25" t="s">
        <v>23</v>
      </c>
      <c r="G227" s="25"/>
      <c r="H227" s="25"/>
      <c r="I227" s="25"/>
      <c r="J227" s="25"/>
      <c r="K227" s="25"/>
      <c r="L227" s="46" t="s">
        <v>4846</v>
      </c>
      <c r="M227" s="27"/>
      <c r="O227" s="1"/>
      <c r="U227" s="3"/>
      <c r="V227" s="3"/>
    </row>
    <row r="228" ht="16.5" customHeight="1" spans="1:22">
      <c r="A228" s="30"/>
      <c r="B228" s="30"/>
      <c r="C228" s="43"/>
      <c r="D228" s="23"/>
      <c r="E228" s="63"/>
      <c r="F228" s="25"/>
      <c r="G228" s="25"/>
      <c r="H228" s="25"/>
      <c r="I228" s="25"/>
      <c r="J228" s="25"/>
      <c r="K228" s="25"/>
      <c r="L228" s="46" t="s">
        <v>7491</v>
      </c>
      <c r="M228" s="27"/>
      <c r="O228" s="1"/>
      <c r="U228" s="3"/>
      <c r="V228" s="3"/>
    </row>
    <row r="229" ht="15.15" spans="1:22">
      <c r="A229" s="7"/>
      <c r="B229" s="34"/>
      <c r="C229" s="34"/>
      <c r="D229" s="34"/>
      <c r="E229" s="35" t="s">
        <v>7194</v>
      </c>
      <c r="F229" s="34">
        <f>COUNTIF(F193:F228,"l")</f>
        <v>15</v>
      </c>
      <c r="G229" s="34"/>
      <c r="H229" s="34"/>
      <c r="I229" s="34"/>
      <c r="J229" s="34"/>
      <c r="K229" s="34"/>
      <c r="L229" s="34"/>
      <c r="M229" s="34"/>
      <c r="P229" s="64"/>
    </row>
    <row r="230" spans="1:22">
      <c r="A230" s="7"/>
      <c r="B230" s="34"/>
      <c r="C230" s="34"/>
      <c r="D230" s="34"/>
      <c r="E230" s="35" t="s">
        <v>7195</v>
      </c>
      <c r="F230" s="34">
        <f>COUNTIF(F193:F228,"p")</f>
        <v>20</v>
      </c>
      <c r="G230" s="34"/>
      <c r="H230" s="34"/>
      <c r="I230" s="34"/>
      <c r="J230" s="34"/>
      <c r="K230" s="34"/>
      <c r="L230" s="34"/>
      <c r="M230" s="34"/>
    </row>
    <row r="231" spans="1:22">
      <c r="A231" s="7"/>
      <c r="B231" s="7" t="s">
        <v>7196</v>
      </c>
      <c r="C231" s="34"/>
      <c r="D231" s="34"/>
      <c r="E231" s="7"/>
      <c r="F231" s="1" t="s">
        <v>7197</v>
      </c>
      <c r="K231" s="34"/>
      <c r="L231" s="34"/>
      <c r="M231" s="34"/>
    </row>
    <row r="232" spans="1:22">
      <c r="A232" s="7"/>
      <c r="B232" s="34"/>
      <c r="C232" s="34"/>
      <c r="D232" s="34"/>
      <c r="E232" s="7"/>
      <c r="K232" s="34"/>
      <c r="L232" s="34"/>
      <c r="M232" s="34"/>
    </row>
    <row r="233" ht="12" customHeight="1" spans="1:22">
      <c r="A233" s="7"/>
      <c r="B233" s="34"/>
      <c r="C233" s="34"/>
      <c r="D233" s="34"/>
      <c r="E233" s="7"/>
      <c r="K233" s="34"/>
      <c r="L233" s="34"/>
      <c r="M233" s="34"/>
    </row>
    <row r="234" spans="1:22">
      <c r="A234" s="7"/>
      <c r="B234" s="36" t="s">
        <v>7198</v>
      </c>
      <c r="C234" s="34"/>
      <c r="D234" s="34"/>
      <c r="E234" s="7"/>
      <c r="F234" s="38"/>
      <c r="G234" s="38"/>
      <c r="H234" s="38"/>
      <c r="I234" s="38"/>
      <c r="J234" s="38"/>
      <c r="K234" s="34"/>
      <c r="L234" s="37"/>
      <c r="M234" s="37"/>
    </row>
    <row r="235" spans="1:22">
      <c r="A235" s="7"/>
      <c r="B235" s="7" t="s">
        <v>7199</v>
      </c>
      <c r="C235" s="34"/>
      <c r="D235" s="34"/>
      <c r="E235" s="7"/>
      <c r="F235" s="34"/>
      <c r="G235" s="34"/>
      <c r="H235" s="34"/>
      <c r="I235" s="34"/>
      <c r="J235" s="34"/>
      <c r="K235" s="34"/>
      <c r="L235" s="34"/>
      <c r="M235" s="34"/>
    </row>
    <row r="237" ht="30.75" customHeight="1"/>
    <row r="281" spans="2:4">
      <c r="B281" s="3"/>
      <c r="C281" s="3"/>
      <c r="D281" s="3"/>
    </row>
    <row r="283" ht="30.75" customHeight="1"/>
  </sheetData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pageMargins left="0.590277777777778" right="0.236111111111111" top="0.315277777777778" bottom="0.354166666666667" header="0.511811023622047" footer="0.511811023622047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LibreOffice/26.2.5.2$Linux_X86_64 LibreOffice_project/30643f3b95f81f04449dc87ba649cc313a42270e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KELAS XII</vt:lpstr>
      <vt:lpstr>KELAS XI</vt:lpstr>
      <vt:lpstr>KELAS X</vt:lpstr>
      <vt:lpstr>BUKU INDUK BELUM</vt:lpstr>
      <vt:lpstr>Sheet1</vt:lpstr>
      <vt:lpstr>Sheet2</vt:lpstr>
      <vt:lpstr>BUKU INDUK 2526</vt:lpstr>
      <vt:lpstr>XII 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daniarsyah</cp:lastModifiedBy>
  <cp:revision>2</cp:revision>
  <dcterms:created xsi:type="dcterms:W3CDTF">2018-07-07T23:56:00Z</dcterms:created>
  <cp:lastPrinted>2023-08-04T17:05:00Z</cp:lastPrinted>
  <dcterms:modified xsi:type="dcterms:W3CDTF">2026-09-27T06:09:31Z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64C138A253A14EBE9CE9DFF8AD709AFB_13</vt:lpwstr>
  </property>
  <property fmtid="{D5CDD505-2E9C-101B-9397-08002B2CF9AE}" pid="4" name="KSOProductBuildVer">
    <vt:lpwstr>1033-12.1.2.28080</vt:lpwstr>
  </property>
</Properties>
</file>